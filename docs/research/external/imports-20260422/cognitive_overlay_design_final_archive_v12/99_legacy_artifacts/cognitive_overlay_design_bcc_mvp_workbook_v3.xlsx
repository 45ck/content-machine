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2ff4b7a42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2c74b99cd6b42f3"/>
    <x:sheet xmlns:r="http://schemas.openxmlformats.org/officeDocument/2006/relationships" name="Method Glossary" sheetId="2" r:id="R6ed714eab9504bbd"/>
    <x:sheet xmlns:r="http://schemas.openxmlformats.org/officeDocument/2006/relationships" name="Beat Sheet" sheetId="3" r:id="Recc3250ded4f4159"/>
    <x:sheet xmlns:r="http://schemas.openxmlformats.org/officeDocument/2006/relationships" name="Variant Matrix" sheetId="4" r:id="R4f300e5bcc084773"/>
    <x:sheet xmlns:r="http://schemas.openxmlformats.org/officeDocument/2006/relationships" name="Production Checklist" sheetId="5" r:id="Re2dfeff61e4f4a0a"/>
    <x:sheet xmlns:r="http://schemas.openxmlformats.org/officeDocument/2006/relationships" name="Pilot Data Template" sheetId="6" r:id="Rdd542a4530554996"/>
    <x:sheet xmlns:r="http://schemas.openxmlformats.org/officeDocument/2006/relationships" name="Dashboard" sheetId="7" r:id="R7283f25a2ade46c4"/>
    <x:sheet xmlns:r="http://schemas.openxmlformats.org/officeDocument/2006/relationships" name="Scoring Template" sheetId="8" r:id="Rbd1742cfd6374dfc"/>
    <x:sheet xmlns:r="http://schemas.openxmlformats.org/officeDocument/2006/relationships" name="Research Backlog" sheetId="9" r:id="R3324e0584bb341bb"/>
    <x:sheet xmlns:r="http://schemas.openxmlformats.org/officeDocument/2006/relationships" name="Automation Spec" sheetId="10" r:id="R715fafa26f6e406f"/>
    <x:sheet xmlns:r="http://schemas.openxmlformats.org/officeDocument/2006/relationships" name="Sources" sheetId="11" r:id="R98542541648b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"/>
    <x:numFmt numFmtId="165" formatCode="0.000"/>
    <x:numFmt numFmtId="166" formatCode="0.0%"/>
  </x:numFmts>
  <x:fonts count="8">
    <x:font>
      <x:sz val="11"/>
      <x:color theme="1"/>
      <x:name val="Calibri"/>
      <x:family val="2"/>
      <x:scheme val="minor"/>
    </x:font>
    <x:font>
      <x:b/>
      <x:sz val="18"/>
      <x:color rgb="00FFFFFF"/>
    </x:font>
    <x:font>
      <x:i/>
      <x:color rgb="00111827"/>
    </x:font>
    <x:font>
      <x:b/>
      <x:color rgb="00FFFFFF"/>
    </x:font>
    <x:font>
      <x:u val="single"/>
      <x:color rgb="0015803D"/>
    </x:font>
    <x:font>
      <x:b/>
      <x:sz val="10"/>
      <x:color rgb="00FFFFFF"/>
    </x:font>
    <x:font>
      <x:sz val="10"/>
      <x:color rgb="00111827"/>
      <x:name val="Calibri"/>
      <x:family val="2"/>
      <x:scheme val="minor"/>
    </x:font>
    <x:font>
      <x:u val="single"/>
      <x:sz val="10"/>
      <x:color rgb="0015803D"/>
    </x:font>
  </x:fonts>
  <x:fills count="6">
    <x:fill>
      <x:patternFill patternType="none"/>
    </x:fill>
    <x:fill>
      <x:patternFill patternType="gray125"/>
    </x:fill>
    <x:fill>
      <x:patternFill patternType="solid">
        <x:fgColor rgb="001F2937"/>
      </x:patternFill>
    </x:fill>
    <x:fill>
      <x:patternFill patternType="solid">
        <x:fgColor rgb="002563EB"/>
      </x:patternFill>
    </x:fill>
    <x:fill>
      <x:patternFill patternType="solid">
        <x:fgColor rgb="007C3AED"/>
      </x:patternFill>
    </x:fill>
    <x:fill>
      <x:patternFill patternType="solid">
        <x:fgColor rgb="000F766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5" fillId="3" borderId="0" xfId="0" applyAlignment="1">
      <x:alignment vertical="top" wrapText="1"/>
    </x:xf>
    <x:xf numFmtId="0" fontId="6" fillId="0" borderId="0" xfId="0" applyAlignment="1">
      <x:alignment vertical="top" wrapText="1"/>
    </x:xf>
    <x:xf numFmtId="164" fontId="6" fillId="0" borderId="0" xfId="0" applyAlignment="1">
      <x:alignment vertical="top" wrapText="1"/>
    </x:xf>
    <x:xf numFmtId="165" fontId="6" fillId="0" borderId="0" xfId="0" applyAlignment="1">
      <x:alignment vertical="top" wrapText="1"/>
    </x:xf>
    <x:xf numFmtId="0" fontId="5" fillId="4" borderId="0" xfId="0" applyAlignment="1">
      <x:alignment vertical="top" wrapText="1"/>
    </x:xf>
    <x:xf numFmtId="166" fontId="6" fillId="0" borderId="0" xfId="0" applyAlignment="1">
      <x:alignment vertical="top" wrapText="1"/>
    </x:xf>
    <x:xf numFmtId="2" fontId="6" fillId="0" borderId="0" xfId="0" applyAlignment="1">
      <x:alignment vertical="top" wrapText="1"/>
    </x:xf>
    <x:xf numFmtId="0" fontId="5" fillId="5" borderId="0" xfId="0" applyAlignment="1">
      <x:alignment vertical="top" wrapText="1"/>
    </x:xf>
    <x:xf numFmtId="0" fontId="7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4bcaa9503497d" /><Relationship Type="http://schemas.openxmlformats.org/officeDocument/2006/relationships/theme" Target="/xl/theme/theme1.xml" Id="R539c41d5ddd74c4c" /><Relationship Type="http://schemas.openxmlformats.org/officeDocument/2006/relationships/sharedStrings" Target="/xl/sharedStrings.xml" Id="R912f5ee9cfea4379" /><Relationship Type="http://schemas.openxmlformats.org/officeDocument/2006/relationships/worksheet" Target="/xl/worksheets/sheet1.xml" Id="Rf2c74b99cd6b42f3" /><Relationship Type="http://schemas.openxmlformats.org/officeDocument/2006/relationships/worksheet" Target="/xl/worksheets/sheet2.xml" Id="R6ed714eab9504bbd" /><Relationship Type="http://schemas.openxmlformats.org/officeDocument/2006/relationships/worksheet" Target="/xl/worksheets/sheet3.xml" Id="Recc3250ded4f4159" /><Relationship Type="http://schemas.openxmlformats.org/officeDocument/2006/relationships/worksheet" Target="/xl/worksheets/sheet4.xml" Id="R4f300e5bcc084773" /><Relationship Type="http://schemas.openxmlformats.org/officeDocument/2006/relationships/worksheet" Target="/xl/worksheets/sheet5.xml" Id="Re2dfeff61e4f4a0a" /><Relationship Type="http://schemas.openxmlformats.org/officeDocument/2006/relationships/worksheet" Target="/xl/worksheets/sheet6.xml" Id="Rdd542a4530554996" /><Relationship Type="http://schemas.openxmlformats.org/officeDocument/2006/relationships/worksheet" Target="/xl/worksheets/sheet7.xml" Id="R7283f25a2ade46c4" /><Relationship Type="http://schemas.openxmlformats.org/officeDocument/2006/relationships/worksheet" Target="/xl/worksheets/sheet8.xml" Id="Rbd1742cfd6374dfc" /><Relationship Type="http://schemas.openxmlformats.org/officeDocument/2006/relationships/worksheet" Target="/xl/worksheets/sheet9.xml" Id="R3324e0584bb341bb" /><Relationship Type="http://schemas.openxmlformats.org/officeDocument/2006/relationships/worksheet" Target="/xl/worksheets/sheet10.xml" Id="R715fafa26f6e406f" /><Relationship Type="http://schemas.openxmlformats.org/officeDocument/2006/relationships/worksheet" Target="/xl/worksheets/sheet11.xml" Id="R98542541648b46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faf2af24cb4760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Meaning per second by variant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'Dashboard'!K4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'Dashboard'!$A$5:$A$10</c:f>
              <c:strCache>
                <c:ptCount val="0"/>
              </c:strCache>
            </c:strRef>
          </c:cat>
          <c:val>
            <c:numRef>
              <c:f>'Dashboard'!$K$5:$K$10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Variant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Meaning/sec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faf2af24cb476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readme" displayName="tbl_readme" ref="A4:C10" headerRowCount="1">
  <x:autoFilter ref="A4:C10"/>
  <x:tableColumns count="3">
    <x:tableColumn id="1" name="Layer"/>
    <x:tableColumn id="2" name="Name"/>
    <x:tableColumn id="3" name="Definition"/>
  </x:tableColumns>
  <x:tableStyleInfo name="TableStyleMedium2" showRowStripes="1"/>
</x:table>
</file>

<file path=xl/tables/table2.xml><?xml version="1.0" encoding="utf-8"?>
<x:table xmlns:x="http://schemas.openxmlformats.org/spreadsheetml/2006/main" id="2" name="tbl_glossary" displayName="tbl_glossary" ref="A4:C14" headerRowCount="1">
  <x:autoFilter ref="A4:C14"/>
  <x:tableColumns count="3">
    <x:tableColumn id="1" name="Term"/>
    <x:tableColumn id="2" name="Definition"/>
    <x:tableColumn id="3" name="Design Rule"/>
  </x:tableColumns>
  <x:tableStyleInfo name="TableStyleMedium2" showRowStripes="1"/>
</x:table>
</file>

<file path=xl/tables/table3.xml><?xml version="1.0" encoding="utf-8"?>
<x:table xmlns:x="http://schemas.openxmlformats.org/spreadsheetml/2006/main" id="3" name="tbl_beat_sheet" displayName="tbl_beat_sheet" ref="A4:K41" headerRowCount="1">
  <x:autoFilter ref="A4:K41"/>
  <x:tableColumns count="11">
    <x:tableColumn id="1" name="video_id"/>
    <x:tableColumn id="2" name="category"/>
    <x:tableColumn id="3" name="beat_id"/>
    <x:tableColumn id="4" name="start"/>
    <x:tableColumn id="5" name="end"/>
    <x:tableColumn id="6" name="spoken_text"/>
    <x:tableColumn id="7" name="semantic_caption"/>
    <x:tableColumn id="8" name="role"/>
    <x:tableColumn id="9" name="keywords"/>
    <x:tableColumn id="10" name="placement_zone"/>
    <x:tableColumn id="11" name="visual_load"/>
  </x:tableColumns>
  <x:tableStyleInfo name="TableStyleMedium2" showRowStripes="1"/>
</x:table>
</file>

<file path=xl/tables/table4.xml><?xml version="1.0" encoding="utf-8"?>
<x:table xmlns:x="http://schemas.openxmlformats.org/spreadsheetml/2006/main" id="4" name="tbl_variant_matrix" displayName="tbl_variant_matrix" ref="A4:L226" headerRowCount="1">
  <x:autoFilter ref="A4:L226"/>
  <x:tableColumns count="12">
    <x:tableColumn id="1" name="video_id"/>
    <x:tableColumn id="2" name="category"/>
    <x:tableColumn id="3" name="beat_id"/>
    <x:tableColumn id="4" name="variant"/>
    <x:tableColumn id="5" name="start"/>
    <x:tableColumn id="6" name="end"/>
    <x:tableColumn id="7" name="overlay_text_html"/>
    <x:tableColumn id="8" name="overlay_text_plain"/>
    <x:tableColumn id="9" name="role"/>
    <x:tableColumn id="10" name="keywords"/>
    <x:tableColumn id="11" name="placement_zone"/>
    <x:tableColumn id="12" name="visual_load"/>
  </x:tableColumns>
  <x:tableStyleInfo name="TableStyleMedium2" showRowStripes="1"/>
</x:table>
</file>

<file path=xl/tables/table5.xml><?xml version="1.0" encoding="utf-8"?>
<x:table xmlns:x="http://schemas.openxmlformats.org/spreadsheetml/2006/main" id="5" name="tbl_checklist" displayName="tbl_checklist" ref="A4:D14" headerRowCount="1">
  <x:autoFilter ref="A4:D14"/>
  <x:tableColumns count="4">
    <x:tableColumn id="1" name="Step"/>
    <x:tableColumn id="2" name="Check"/>
    <x:tableColumn id="3" name="Pass Condition"/>
    <x:tableColumn id="4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tbl_pilot_data" displayName="tbl_pilot_data" ref="A4:T580" headerRowCount="1">
  <x:autoFilter ref="A4:T580"/>
  <x:tableColumns count="20">
    <x:tableColumn id="1" name="participant_id"/>
    <x:tableColumn id="2" name="trial"/>
    <x:tableColumn id="3" name="video_id"/>
    <x:tableColumn id="4" name="variant"/>
    <x:tableColumn id="5" name="audio_mode"/>
    <x:tableColumn id="6" name="watch_time_sec"/>
    <x:tableColumn id="7" name="video_length_sec"/>
    <x:tableColumn id="8" name="completed"/>
    <x:tableColumn id="9" name="gist_recall_score_0_2"/>
    <x:tableColumn id="10" name="action_recall_score_0_2"/>
    <x:tableColumn id="11" name="contrast_recall_score_0_2"/>
    <x:tableColumn id="12" name="exact_recall_score_0_2"/>
    <x:tableColumn id="13" name="visual_recall_score_0_2"/>
    <x:tableColumn id="14" name="effort_1_5"/>
    <x:tableColumn id="15" name="text_helped"/>
    <x:tableColumn id="16" name="would_keep_watching"/>
    <x:tableColumn id="17" name="notes"/>
    <x:tableColumn id="18" name="completion_formula"/>
    <x:tableColumn id="19" name="meaning_per_sec"/>
    <x:tableColumn id="20" name="gist_action_contrast_total"/>
  </x:tableColumns>
  <x:tableStyleInfo name="TableStyleMedium2" showRowStripes="1"/>
</x:table>
</file>

<file path=xl/tables/table7.xml><?xml version="1.0" encoding="utf-8"?>
<x:table xmlns:x="http://schemas.openxmlformats.org/spreadsheetml/2006/main" id="7" name="tbl_scoring" displayName="tbl_scoring" ref="A4:O76" headerRowCount="1">
  <x:autoFilter ref="A4:O76"/>
  <x:tableColumns count="15">
    <x:tableColumn id="1" name="video_id"/>
    <x:tableColumn id="2" name="variant"/>
    <x:tableColumn id="3" name="compression_1_5"/>
    <x:tableColumn id="4" name="semantic_clarity_1_5"/>
    <x:tableColumn id="5" name="operator_strength_1_5"/>
    <x:tableColumn id="6" name="concept_anchoring_1_5"/>
    <x:tableColumn id="7" name="placement_1_5"/>
    <x:tableColumn id="8" name="timing_1_5"/>
    <x:tableColumn id="9" name="muted_comprehension_1_5"/>
    <x:tableColumn id="10" name="visual_load_1_5"/>
    <x:tableColumn id="11" name="accessibility_1_5"/>
    <x:tableColumn id="12" name="memorability_1_5"/>
    <x:tableColumn id="13" name="average_score"/>
    <x:tableColumn id="14" name="publish_ready"/>
    <x:tableColumn id="15" name="notes"/>
  </x:tableColumns>
  <x:tableStyleInfo name="TableStyleMedium4" showRowStripes="1"/>
</x:table>
</file>

<file path=xl/tables/table8.xml><?xml version="1.0" encoding="utf-8"?>
<x:table xmlns:x="http://schemas.openxmlformats.org/spreadsheetml/2006/main" id="8" name="tbl_backlog" displayName="tbl_backlog" ref="A4:E14" headerRowCount="1">
  <x:autoFilter ref="A4:E14"/>
  <x:tableColumns count="5">
    <x:tableColumn id="1" name="Priority"/>
    <x:tableColumn id="2" name="Unknown"/>
    <x:tableColumn id="3" name="Research Question"/>
    <x:tableColumn id="4" name="Test Method"/>
    <x:tableColumn id="5" name="Importance"/>
  </x:tableColumns>
  <x:tableStyleInfo name="TableStyleMedium2" showRowStripes="1"/>
</x:table>
</file>

<file path=xl/tables/table9.xml><?xml version="1.0" encoding="utf-8"?>
<x:table xmlns:x="http://schemas.openxmlformats.org/spreadsheetml/2006/main" id="9" name="tbl_spec" displayName="tbl_spec" ref="A4:D15" headerRowCount="1">
  <x:autoFilter ref="A4:D15"/>
  <x:tableColumns count="4">
    <x:tableColumn id="1" name="Module"/>
    <x:tableColumn id="2" name="Function"/>
    <x:tableColumn id="3" name="Possible Approach"/>
    <x:tableColumn id="4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tbl_sources" displayName="tbl_sources" ref="A4:B14" headerRowCount="1">
  <x:autoFilter ref="A4:B14"/>
  <x:tableColumns count="2">
    <x:tableColumn id="1" name="Source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28608bb9a74c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63f0a59af64c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09fedc5fe843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454221745c4d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451c6a9f734e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e051b2b66f349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3ea76d9afb44d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2f895adabf4a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fc0f028bc64e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179ec51596b47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d92e64dfce14a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34" customWidth="1"/>
    <x:col min="3" max="3" width="8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</x:cols>
  <x:sheetData>
    <x:row r="1" ht="30" customHeight="1">
      <x:c r="A1" s="1" t="inlineStr">
        <x:is>
          <x:t xml:space="preserve">Cognitive Overlay Design + BCC+ MVP Workbook</x:t>
        </x:is>
      </x:c>
    </x:row>
    <x:row r="2" ht="38" customHeight="1">
      <x:c r="A2" s="3" t="inlineStr">
        <x:is>
          <x:t xml:space="preserve">Prototype workbook for producing and validating Bionic Compression Captioning overlays.</x:t>
        </x:is>
      </x:c>
    </x:row>
    <x:row r="3" ht="24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 ht="42" customHeight="1">
      <x:c r="A4" s="4" t="inlineStr">
        <x:is>
          <x:t xml:space="preserve">Layer</x:t>
        </x:is>
      </x:c>
      <x:c r="B4" s="4" t="inlineStr">
        <x:is>
          <x:t xml:space="preserve">Name</x:t>
        </x:is>
      </x:c>
      <x:c r="C4" s="4" t="inlineStr">
        <x:is>
          <x:t xml:space="preserve">Definition</x:t>
        </x:is>
      </x:c>
      <x:c r="D4" s="5" t="n"/>
      <x:c r="E4" s="5" t="n"/>
      <x:c r="F4" s="5" t="n"/>
      <x:c r="G4" s="5" t="n"/>
      <x:c r="H4" s="5" t="n"/>
    </x:row>
    <x:row r="5" ht="38" customHeight="1">
      <x:c r="A5" s="5" t="inlineStr">
        <x:is>
          <x:t xml:space="preserve">Field</x:t>
        </x:is>
      </x:c>
      <x:c r="B5" s="5" t="inlineStr">
        <x:is>
          <x:t xml:space="preserve">Cognitive Overlay Design</x:t>
        </x:is>
      </x:c>
      <x:c r="C5" s="5" t="inlineStr">
        <x:is>
          <x:t xml:space="preserve">Text, timing, motion, placement, and emphasis designed to improve attention, comprehension, retention, and accessibility in video.</x:t>
        </x:is>
      </x:c>
      <x:c r="D5" s="5" t="n"/>
      <x:c r="E5" s="5" t="n"/>
      <x:c r="F5" s="5" t="n"/>
      <x:c r="G5" s="5" t="n"/>
      <x:c r="H5" s="5" t="n"/>
    </x:row>
    <x:row r="6" ht="38" customHeight="1">
      <x:c r="A6" s="5" t="inlineStr">
        <x:is>
          <x:t xml:space="preserve">Short-form branch</x:t>
        </x:is>
      </x:c>
      <x:c r="B6" s="5" t="inlineStr">
        <x:is>
          <x:t xml:space="preserve">Physiological Retention Typography</x:t>
        </x:is>
      </x:c>
      <x:c r="C6" s="5" t="inlineStr">
        <x:is>
          <x:t xml:space="preserve">Mobile/short-form overlay design based on vision, attention, memory, saliency, fatigue, and scroll behavior.</x:t>
        </x:is>
      </x:c>
      <x:c r="D6" s="5" t="n"/>
      <x:c r="E6" s="5" t="n"/>
      <x:c r="F6" s="5" t="n"/>
      <x:c r="G6" s="5" t="n"/>
      <x:c r="H6" s="5" t="n"/>
    </x:row>
    <x:row r="7" ht="38" customHeight="1">
      <x:c r="A7" s="5" t="inlineStr">
        <x:is>
          <x:t xml:space="preserve">Method family</x:t>
        </x:is>
      </x:c>
      <x:c r="B7" s="5" t="inlineStr">
        <x:is>
          <x:t xml:space="preserve">Semantic Compression Captions</x:t>
        </x:is>
      </x:c>
      <x:c r="C7" s="5" t="inlineStr">
        <x:is>
          <x:t xml:space="preserve">Rewrite speech into compact meaning units instead of displaying the full transcript.</x:t>
        </x:is>
      </x:c>
      <x:c r="D7" s="5" t="n"/>
      <x:c r="E7" s="5" t="n"/>
      <x:c r="F7" s="5" t="n"/>
      <x:c r="G7" s="5" t="n"/>
      <x:c r="H7" s="5" t="n"/>
    </x:row>
    <x:row r="8" ht="38" customHeight="1">
      <x:c r="A8" s="5" t="inlineStr">
        <x:is>
          <x:t xml:space="preserve">Named method</x:t>
        </x:is>
      </x:c>
      <x:c r="B8" s="5" t="inlineStr">
        <x:is>
          <x:t xml:space="preserve">Bionic Compression Captioning</x:t>
        </x:is>
      </x:c>
      <x:c r="C8" s="5" t="inlineStr">
        <x:is>
          <x:t xml:space="preserve">Semantic compression + operator anchors + bionic concept anchors + beat timing.</x:t>
        </x:is>
      </x:c>
      <x:c r="D8" s="5" t="n"/>
      <x:c r="E8" s="5" t="n"/>
      <x:c r="F8" s="5" t="n"/>
      <x:c r="G8" s="5" t="n"/>
      <x:c r="H8" s="5" t="n"/>
    </x:row>
    <x:row r="9" ht="38" customHeight="1">
      <x:c r="A9" s="5" t="inlineStr">
        <x:is>
          <x:t xml:space="preserve">Advanced protocol</x:t>
        </x:is>
      </x:c>
      <x:c r="B9" s="5" t="inlineStr">
        <x:is>
          <x:t xml:space="preserve">BCC+</x:t>
        </x:is>
      </x:c>
      <x:c r="C9" s="5" t="inlineStr">
        <x:is>
          <x:t xml:space="preserve">BCC plus gaze-safe placement, visual-load adaptation, muted-first design, and full accessibility captions.</x:t>
        </x:is>
      </x:c>
      <x:c r="D9" s="5" t="n"/>
      <x:c r="E9" s="5" t="n"/>
      <x:c r="F9" s="5" t="n"/>
      <x:c r="G9" s="5" t="n"/>
      <x:c r="H9" s="5" t="n"/>
    </x:row>
    <x:row r="10" ht="38" customHeight="1">
      <x:c r="A10" s="5" t="inlineStr">
        <x:is>
          <x:t xml:space="preserve">Operating law</x:t>
        </x:is>
      </x:c>
      <x:c r="B10" s="5" t="inlineStr">
        <x:is>
          <x:t xml:space="preserve">Meaning per fixation</x:t>
        </x:is>
      </x:c>
      <x:c r="C10" s="5" t="inlineStr">
        <x:is>
          <x:t xml:space="preserve">Do not make viewers read faster. Make them need fewer fixations to understand more.</x:t>
        </x:is>
      </x:c>
      <x:c r="D10" s="5" t="n"/>
      <x:c r="E10" s="5" t="n"/>
      <x:c r="F10" s="5" t="n"/>
      <x:c r="G10" s="5" t="n"/>
      <x:c r="H10" s="5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4a28608bb9a74c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70" customWidth="1"/>
    <x:col min="3" max="3" width="7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</x:cols>
  <x:sheetData>
    <x:row r="1" ht="30" customHeight="1">
      <x:c r="A1" s="1" t="inlineStr">
        <x:is>
          <x:t xml:space="preserve">Method Glossary</x:t>
        </x:is>
      </x:c>
    </x:row>
    <x:row r="2" ht="24" customHeight="1">
      <x:c r="A2" s="3" t="inlineStr">
        <x:is>
          <x:t xml:space="preserve">Definitions and decision rules for the prototype.</x:t>
        </x:is>
      </x:c>
    </x:row>
    <x:row r="3" ht="24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 ht="42" customHeight="1">
      <x:c r="A4" s="4" t="inlineStr">
        <x:is>
          <x:t xml:space="preserve">Term</x:t>
        </x:is>
      </x:c>
      <x:c r="B4" s="4" t="inlineStr">
        <x:is>
          <x:t xml:space="preserve">Definition</x:t>
        </x:is>
      </x:c>
      <x:c r="C4" s="4" t="inlineStr">
        <x:is>
          <x:t xml:space="preserve">Design Rule</x:t>
        </x:is>
      </x:c>
      <x:c r="D4" s="5" t="n"/>
      <x:c r="E4" s="5" t="n"/>
      <x:c r="F4" s="5" t="n"/>
      <x:c r="G4" s="5" t="n"/>
      <x:c r="H4" s="5" t="n"/>
    </x:row>
    <x:row r="5" ht="38" customHeight="1">
      <x:c r="A5" s="5" t="inlineStr">
        <x:is>
          <x:t xml:space="preserve">Closed captions</x:t>
        </x:is>
      </x:c>
      <x:c r="B5" s="5" t="inlineStr">
        <x:is>
          <x:t xml:space="preserve">Accessibility layer containing full speech and meaningful non-speech audio.</x:t>
        </x:is>
      </x:c>
      <x:c r="C5" s="5" t="inlineStr">
        <x:is>
          <x:t xml:space="preserve">Always keep this separate from creative overlays.</x:t>
        </x:is>
      </x:c>
      <x:c r="D5" s="5" t="n"/>
      <x:c r="E5" s="5" t="n"/>
      <x:c r="F5" s="5" t="n"/>
      <x:c r="G5" s="5" t="n"/>
      <x:c r="H5" s="5" t="n"/>
    </x:row>
    <x:row r="6" ht="24" customHeight="1">
      <x:c r="A6" s="5" t="inlineStr">
        <x:is>
          <x:t xml:space="preserve">Semantic Compression</x:t>
        </x:is>
      </x:c>
      <x:c r="B6" s="5" t="inlineStr">
        <x:is>
          <x:t xml:space="preserve">Condensing speech into the smallest meaningful visual unit.</x:t>
        </x:is>
      </x:c>
      <x:c r="C6" s="5" t="inlineStr">
        <x:is>
          <x:t xml:space="preserve">Parent method; likely creates most of the gain.</x:t>
        </x:is>
      </x:c>
      <x:c r="D6" s="5" t="n"/>
      <x:c r="E6" s="5" t="n"/>
      <x:c r="F6" s="5" t="n"/>
      <x:c r="G6" s="5" t="n"/>
      <x:c r="H6" s="5" t="n"/>
    </x:row>
    <x:row r="7" ht="38" customHeight="1">
      <x:c r="A7" s="5" t="inlineStr">
        <x:is>
          <x:t xml:space="preserve">Operator Anchor</x:t>
        </x:is>
      </x:c>
      <x:c r="B7" s="5" t="inlineStr">
        <x:is>
          <x:t xml:space="preserve">Full-word emphasis on logic/control words such as not, stop, first, less.</x:t>
        </x:is>
      </x:c>
      <x:c r="C7" s="5" t="inlineStr">
        <x:is>
          <x:t xml:space="preserve">Use full bold.</x:t>
        </x:is>
      </x:c>
      <x:c r="D7" s="5" t="n"/>
      <x:c r="E7" s="5" t="n"/>
      <x:c r="F7" s="5" t="n"/>
      <x:c r="G7" s="5" t="n"/>
      <x:c r="H7" s="5" t="n"/>
    </x:row>
    <x:row r="8" ht="38" customHeight="1">
      <x:c r="A8" s="5" t="inlineStr">
        <x:is>
          <x:t xml:space="preserve">Concept Anchor</x:t>
        </x:is>
      </x:c>
      <x:c r="B8" s="5" t="inlineStr">
        <x:is>
          <x:t xml:space="preserve">Emphasis on meaning-heavy nouns/verbs such as motivation, structure, friction.</x:t>
        </x:is>
      </x:c>
      <x:c r="C8" s="5" t="inlineStr">
        <x:is>
          <x:t xml:space="preserve">Use partial bionic emphasis only if useful.</x:t>
        </x:is>
      </x:c>
      <x:c r="D8" s="5" t="n"/>
      <x:c r="E8" s="5" t="n"/>
      <x:c r="F8" s="5" t="n"/>
      <x:c r="G8" s="5" t="n"/>
      <x:c r="H8" s="5" t="n"/>
    </x:row>
    <x:row r="9" ht="24" customHeight="1">
      <x:c r="A9" s="5" t="inlineStr">
        <x:is>
          <x:t xml:space="preserve">BCC</x:t>
        </x:is>
      </x:c>
      <x:c r="B9" s="5" t="inlineStr">
        <x:is>
          <x:t xml:space="preserve">Semantic compression plus operator and concept anchors.</x:t>
        </x:is>
      </x:c>
      <x:c r="C9" s="5" t="inlineStr">
        <x:is>
          <x:t xml:space="preserve">Test against semantic compression alone.</x:t>
        </x:is>
      </x:c>
      <x:c r="D9" s="5" t="n"/>
      <x:c r="E9" s="5" t="n"/>
      <x:c r="F9" s="5" t="n"/>
      <x:c r="G9" s="5" t="n"/>
      <x:c r="H9" s="5" t="n"/>
    </x:row>
    <x:row r="10" ht="24" customHeight="1">
      <x:c r="A10" s="5" t="inlineStr">
        <x:is>
          <x:t xml:space="preserve">BCC+</x:t>
        </x:is>
      </x:c>
      <x:c r="B10" s="5" t="inlineStr">
        <x:is>
          <x:t xml:space="preserve">BCC plus placement, density, timing, and muted-first rules.</x:t>
        </x:is>
      </x:c>
      <x:c r="C10" s="5" t="inlineStr">
        <x:is>
          <x:t xml:space="preserve">Test against BCC.</x:t>
        </x:is>
      </x:c>
      <x:c r="D10" s="5" t="n"/>
      <x:c r="E10" s="5" t="n"/>
      <x:c r="F10" s="5" t="n"/>
      <x:c r="G10" s="5" t="n"/>
      <x:c r="H10" s="5" t="n"/>
    </x:row>
    <x:row r="11" ht="24" customHeight="1">
      <x:c r="A11" s="5" t="inlineStr">
        <x:is>
          <x:t xml:space="preserve">Heavy Bionic</x:t>
        </x:is>
      </x:c>
      <x:c r="B11" s="5" t="inlineStr">
        <x:is>
          <x:t xml:space="preserve">Partial bolding across most transcript words.</x:t>
        </x:is>
      </x:c>
      <x:c r="C11" s="5" t="inlineStr">
        <x:is>
          <x:t xml:space="preserve">Control condition; expected to underperform.</x:t>
        </x:is>
      </x:c>
      <x:c r="D11" s="5" t="n"/>
      <x:c r="E11" s="5" t="n"/>
      <x:c r="F11" s="5" t="n"/>
      <x:c r="G11" s="5" t="n"/>
      <x:c r="H11" s="5" t="n"/>
    </x:row>
    <x:row r="12" ht="38" customHeight="1">
      <x:c r="A12" s="5" t="inlineStr">
        <x:is>
          <x:t xml:space="preserve">Gaze-safe placement</x:t>
        </x:is>
      </x:c>
      <x:c r="B12" s="5" t="inlineStr">
        <x:is>
          <x:t xml:space="preserve">Avoids covering face, mouth, hands, product, UI, or demonstration target.</x:t>
        </x:is>
      </x:c>
      <x:c r="C12" s="5" t="inlineStr">
        <x:is>
          <x:t xml:space="preserve">Core BCC+ rule.</x:t>
        </x:is>
      </x:c>
      <x:c r="D12" s="5" t="n"/>
      <x:c r="E12" s="5" t="n"/>
      <x:c r="F12" s="5" t="n"/>
      <x:c r="G12" s="5" t="n"/>
      <x:c r="H12" s="5" t="n"/>
    </x:row>
    <x:row r="13" ht="24" customHeight="1">
      <x:c r="A13" s="5" t="inlineStr">
        <x:is>
          <x:t xml:space="preserve">Visual-load adaptation</x:t>
        </x:is>
      </x:c>
      <x:c r="B13" s="5" t="inlineStr">
        <x:is>
          <x:t xml:space="preserve">Caption density changes based on scene complexity.</x:t>
        </x:is>
      </x:c>
      <x:c r="C13" s="5" t="inlineStr">
        <x:is>
          <x:t xml:space="preserve">High visual load means fewer words.</x:t>
        </x:is>
      </x:c>
      <x:c r="D13" s="5" t="n"/>
      <x:c r="E13" s="5" t="n"/>
      <x:c r="F13" s="5" t="n"/>
      <x:c r="G13" s="5" t="n"/>
      <x:c r="H13" s="5" t="n"/>
    </x:row>
    <x:row r="14" ht="24" customHeight="1">
      <x:c r="A14" s="5" t="inlineStr">
        <x:is>
          <x:t xml:space="preserve">Muted-first design</x:t>
        </x:is>
      </x:c>
      <x:c r="B14" s="5" t="inlineStr">
        <x:is>
          <x:t xml:space="preserve">Overlay still communicates gist/action without sound.</x:t>
        </x:is>
      </x:c>
      <x:c r="C14" s="5" t="inlineStr">
        <x:is>
          <x:t xml:space="preserve">Core short-form test.</x:t>
        </x:is>
      </x:c>
      <x:c r="D14" s="5" t="n"/>
      <x:c r="E14" s="5" t="n"/>
      <x:c r="F14" s="5" t="n"/>
      <x:c r="G14" s="5" t="n"/>
      <x:c r="H14" s="5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063f0a59af64c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8" customWidth="1"/>
    <x:col min="3" max="3" width="10" customWidth="1"/>
    <x:col min="4" max="4" width="14" customWidth="1"/>
    <x:col min="5" max="5" width="14" customWidth="1"/>
    <x:col min="6" max="6" width="65" customWidth="1"/>
    <x:col min="7" max="7" width="30" customWidth="1"/>
    <x:col min="8" max="8" width="18" customWidth="1"/>
    <x:col min="9" max="9" width="24" customWidth="1"/>
    <x:col min="10" max="10" width="18" customWidth="1"/>
    <x:col min="11" max="11" width="16" customWidth="1"/>
  </x:cols>
  <x:sheetData>
    <x:row r="1" ht="30" customHeight="1">
      <x:c r="A1" s="1" t="inlineStr">
        <x:is>
          <x:t xml:space="preserve">Beat Sheet</x:t>
        </x:is>
      </x:c>
      <x:c r="I1" s="2" t="n"/>
      <x:c r="J1" s="2" t="n"/>
      <x:c r="K1" s="2" t="n"/>
    </x:row>
    <x:row r="2" ht="22" customHeight="1">
      <x:c r="A2" s="3" t="inlineStr">
        <x:is>
          <x:t xml:space="preserve">Human-reviewed semantic beats for the 12-video pilot corpus.</x:t>
        </x:is>
      </x:c>
      <x:c r="I2" s="2" t="n"/>
      <x:c r="J2" s="2" t="n"/>
      <x:c r="K2" s="2" t="n"/>
    </x:row>
    <x:row r="3" ht="22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</x:row>
    <x:row r="4" ht="42" customHeight="1">
      <x:c r="A4" s="4" t="inlineStr">
        <x:is>
          <x:t xml:space="preserve">video_id</x:t>
        </x:is>
      </x:c>
      <x:c r="B4" s="4" t="inlineStr">
        <x:is>
          <x:t xml:space="preserve">category</x:t>
        </x:is>
      </x:c>
      <x:c r="C4" s="4" t="inlineStr">
        <x:is>
          <x:t xml:space="preserve">beat_id</x:t>
        </x:is>
      </x:c>
      <x:c r="D4" s="4" t="inlineStr">
        <x:is>
          <x:t xml:space="preserve">start</x:t>
        </x:is>
      </x:c>
      <x:c r="E4" s="4" t="inlineStr">
        <x:is>
          <x:t xml:space="preserve">end</x:t>
        </x:is>
      </x:c>
      <x:c r="F4" s="4" t="inlineStr">
        <x:is>
          <x:t xml:space="preserve">spoken_text</x:t>
        </x:is>
      </x:c>
      <x:c r="G4" s="4" t="inlineStr">
        <x:is>
          <x:t xml:space="preserve">semantic_caption</x:t>
        </x:is>
      </x:c>
      <x:c r="H4" s="4" t="inlineStr">
        <x:is>
          <x:t xml:space="preserve">role</x:t>
        </x:is>
      </x:c>
      <x:c r="I4" s="4" t="inlineStr">
        <x:is>
          <x:t xml:space="preserve">keywords</x:t>
        </x:is>
      </x:c>
      <x:c r="J4" s="4" t="inlineStr">
        <x:is>
          <x:t xml:space="preserve">placement_zone</x:t>
        </x:is>
      </x:c>
      <x:c r="K4" s="4" t="inlineStr">
        <x:is>
          <x:t xml:space="preserve">visual_load</x:t>
        </x:is>
      </x:c>
    </x:row>
    <x:row r="5" ht="22" customHeight="1">
      <x:c r="A5" s="5" t="inlineStr">
        <x:is>
          <x:t xml:space="preserve">V01_productivity_friction</x:t>
        </x:is>
      </x:c>
      <x:c r="B5" s="5" t="inlineStr">
        <x:is>
          <x:t xml:space="preserve">productivity</x:t>
        </x:is>
      </x:c>
      <x:c r="C5" s="5" t="inlineStr">
        <x:is>
          <x:t xml:space="preserve">1</x:t>
        </x:is>
      </x:c>
      <x:c r="D5" s="5" t="inlineStr">
        <x:is>
          <x:t xml:space="preserve">00:00:00.000</x:t>
        </x:is>
      </x:c>
      <x:c r="E5" s="5" t="inlineStr">
        <x:is>
          <x:t xml:space="preserve">00:00:02.000</x:t>
        </x:is>
      </x:c>
      <x:c r="F5" s="5" t="inlineStr">
        <x:is>
          <x:t xml:space="preserve">Most people do not fail because they lack motivation.</x:t>
        </x:is>
      </x:c>
      <x:c r="G5" s="5" t="inlineStr">
        <x:is>
          <x:t xml:space="preserve">Not motivation.</x:t>
        </x:is>
      </x:c>
      <x:c r="H5" s="5" t="inlineStr">
        <x:is>
          <x:t xml:space="preserve">false_belief</x:t>
        </x:is>
      </x:c>
      <x:c r="I5" s="5" t="inlineStr">
        <x:is>
          <x:t xml:space="preserve">motivation</x:t>
        </x:is>
      </x:c>
      <x:c r="J5" s="5" t="inlineStr">
        <x:is>
          <x:t xml:space="preserve">center_upper</x:t>
        </x:is>
      </x:c>
      <x:c r="K5" s="5" t="inlineStr">
        <x:is>
          <x:t xml:space="preserve">low</x:t>
        </x:is>
      </x:c>
    </x:row>
    <x:row r="6" ht="22" customHeight="1">
      <x:c r="A6" s="5" t="inlineStr">
        <x:is>
          <x:t xml:space="preserve">V01_productivity_friction</x:t>
        </x:is>
      </x:c>
      <x:c r="B6" s="5" t="inlineStr">
        <x:is>
          <x:t xml:space="preserve">productivity</x:t>
        </x:is>
      </x:c>
      <x:c r="C6" s="5" t="inlineStr">
        <x:is>
          <x:t xml:space="preserve">2</x:t>
        </x:is>
      </x:c>
      <x:c r="D6" s="5" t="inlineStr">
        <x:is>
          <x:t xml:space="preserve">00:00:02.000</x:t>
        </x:is>
      </x:c>
      <x:c r="E6" s="5" t="inlineStr">
        <x:is>
          <x:t xml:space="preserve">00:00:04.000</x:t>
        </x:is>
      </x:c>
      <x:c r="F6" s="5" t="inlineStr">
        <x:is>
          <x:t xml:space="preserve">They fail because their day has no structure.</x:t>
        </x:is>
      </x:c>
      <x:c r="G6" s="5" t="inlineStr">
        <x:is>
          <x:t xml:space="preserve">Structure.</x:t>
        </x:is>
      </x:c>
      <x:c r="H6" s="5" t="inlineStr">
        <x:is>
          <x:t xml:space="preserve">correction</x:t>
        </x:is>
      </x:c>
      <x:c r="I6" s="5" t="inlineStr">
        <x:is>
          <x:t xml:space="preserve">structure</x:t>
        </x:is>
      </x:c>
      <x:c r="J6" s="5" t="inlineStr">
        <x:is>
          <x:t xml:space="preserve">center_upper</x:t>
        </x:is>
      </x:c>
      <x:c r="K6" s="5" t="inlineStr">
        <x:is>
          <x:t xml:space="preserve">low</x:t>
        </x:is>
      </x:c>
    </x:row>
    <x:row r="7" ht="22" customHeight="1">
      <x:c r="A7" s="5" t="inlineStr">
        <x:is>
          <x:t xml:space="preserve">V01_productivity_friction</x:t>
        </x:is>
      </x:c>
      <x:c r="B7" s="5" t="inlineStr">
        <x:is>
          <x:t xml:space="preserve">productivity</x:t>
        </x:is>
      </x:c>
      <x:c r="C7" s="5" t="inlineStr">
        <x:is>
          <x:t xml:space="preserve">3</x:t>
        </x:is>
      </x:c>
      <x:c r="D7" s="5" t="inlineStr">
        <x:is>
          <x:t xml:space="preserve">00:00:04.000</x:t>
        </x:is>
      </x:c>
      <x:c r="E7" s="5" t="inlineStr">
        <x:is>
          <x:t xml:space="preserve">00:00:06.000</x:t>
        </x:is>
      </x:c>
      <x:c r="F7" s="5" t="inlineStr">
        <x:is>
          <x:t xml:space="preserve">If you want to change the habit, reduce the friction around the first step.</x:t>
        </x:is>
      </x:c>
      <x:c r="G7" s="5" t="inlineStr">
        <x:is>
          <x:t xml:space="preserve">Reduce friction.</x:t>
        </x:is>
      </x:c>
      <x:c r="H7" s="5" t="inlineStr">
        <x:is>
          <x:t xml:space="preserve">mechanism</x:t>
        </x:is>
      </x:c>
      <x:c r="I7" s="5" t="inlineStr">
        <x:is>
          <x:t xml:space="preserve">friction</x:t>
        </x:is>
      </x:c>
      <x:c r="J7" s="5" t="inlineStr">
        <x:is>
          <x:t xml:space="preserve">left_mid</x:t>
        </x:is>
      </x:c>
      <x:c r="K7" s="5" t="inlineStr">
        <x:is>
          <x:t xml:space="preserve">medium</x:t>
        </x:is>
      </x:c>
    </x:row>
    <x:row r="8" ht="22" customHeight="1">
      <x:c r="A8" s="5" t="inlineStr">
        <x:is>
          <x:t xml:space="preserve">V01_productivity_friction</x:t>
        </x:is>
      </x:c>
      <x:c r="B8" s="5" t="inlineStr">
        <x:is>
          <x:t xml:space="preserve">productivity</x:t>
        </x:is>
      </x:c>
      <x:c r="C8" s="5" t="inlineStr">
        <x:is>
          <x:t xml:space="preserve">4</x:t>
        </x:is>
      </x:c>
      <x:c r="D8" s="5" t="inlineStr">
        <x:is>
          <x:t xml:space="preserve">00:00:06.000</x:t>
        </x:is>
      </x:c>
      <x:c r="E8" s="5" t="inlineStr">
        <x:is>
          <x:t xml:space="preserve">00:00:08.000</x:t>
        </x:is>
      </x:c>
      <x:c r="F8" s="5" t="inlineStr">
        <x:is>
          <x:t xml:space="preserve">Make the first step smaller than your resistance.</x:t>
        </x:is>
      </x:c>
      <x:c r="G8" s="5" t="inlineStr">
        <x:is>
          <x:t xml:space="preserve">Shrink the start.</x:t>
        </x:is>
      </x:c>
      <x:c r="H8" s="5" t="inlineStr">
        <x:is>
          <x:t xml:space="preserve">action</x:t>
        </x:is>
      </x:c>
      <x:c r="I8" s="5" t="inlineStr">
        <x:is>
          <x:t xml:space="preserve">start</x:t>
        </x:is>
      </x:c>
      <x:c r="J8" s="5" t="inlineStr">
        <x:is>
          <x:t xml:space="preserve">left_mid</x:t>
        </x:is>
      </x:c>
      <x:c r="K8" s="5" t="inlineStr">
        <x:is>
          <x:t xml:space="preserve">medium</x:t>
        </x:is>
      </x:c>
    </x:row>
    <x:row r="9" ht="22" customHeight="1">
      <x:c r="A9" s="5" t="inlineStr">
        <x:is>
          <x:t xml:space="preserve">V02_study_recall</x:t>
        </x:is>
      </x:c>
      <x:c r="B9" s="5" t="inlineStr">
        <x:is>
          <x:t xml:space="preserve">study</x:t>
        </x:is>
      </x:c>
      <x:c r="C9" s="5" t="inlineStr">
        <x:is>
          <x:t xml:space="preserve">1</x:t>
        </x:is>
      </x:c>
      <x:c r="D9" s="5" t="inlineStr">
        <x:is>
          <x:t xml:space="preserve">00:00:00.000</x:t>
        </x:is>
      </x:c>
      <x:c r="E9" s="5" t="inlineStr">
        <x:is>
          <x:t xml:space="preserve">00:00:02.000</x:t>
        </x:is>
      </x:c>
      <x:c r="F9" s="5" t="inlineStr">
        <x:is>
          <x:t xml:space="preserve">Rereading feels productive because it is familiar.</x:t>
        </x:is>
      </x:c>
      <x:c r="G9" s="5" t="inlineStr">
        <x:is>
          <x:t xml:space="preserve">Rereading feels safe.</x:t>
        </x:is>
      </x:c>
      <x:c r="H9" s="5" t="inlineStr">
        <x:is>
          <x:t xml:space="preserve">false_belief</x:t>
        </x:is>
      </x:c>
      <x:c r="I9" s="5" t="inlineStr">
        <x:is>
          <x:t xml:space="preserve">rereading</x:t>
        </x:is>
      </x:c>
      <x:c r="J9" s="5" t="inlineStr">
        <x:is>
          <x:t xml:space="preserve">center_upper</x:t>
        </x:is>
      </x:c>
      <x:c r="K9" s="5" t="inlineStr">
        <x:is>
          <x:t xml:space="preserve">low</x:t>
        </x:is>
      </x:c>
    </x:row>
    <x:row r="10" ht="22" customHeight="1">
      <x:c r="A10" s="5" t="inlineStr">
        <x:is>
          <x:t xml:space="preserve">V02_study_recall</x:t>
        </x:is>
      </x:c>
      <x:c r="B10" s="5" t="inlineStr">
        <x:is>
          <x:t xml:space="preserve">study</x:t>
        </x:is>
      </x:c>
      <x:c r="C10" s="5" t="inlineStr">
        <x:is>
          <x:t xml:space="preserve">2</x:t>
        </x:is>
      </x:c>
      <x:c r="D10" s="5" t="inlineStr">
        <x:is>
          <x:t xml:space="preserve">00:00:02.000</x:t>
        </x:is>
      </x:c>
      <x:c r="E10" s="5" t="inlineStr">
        <x:is>
          <x:t xml:space="preserve">00:00:04.000</x:t>
        </x:is>
      </x:c>
      <x:c r="F10" s="5" t="inlineStr">
        <x:is>
          <x:t xml:space="preserve">But recall is the test that exposes what you actually know.</x:t>
        </x:is>
      </x:c>
      <x:c r="G10" s="5" t="inlineStr">
        <x:is>
          <x:t xml:space="preserve">Recall proves it.</x:t>
        </x:is>
      </x:c>
      <x:c r="H10" s="5" t="inlineStr">
        <x:is>
          <x:t xml:space="preserve">correction</x:t>
        </x:is>
      </x:c>
      <x:c r="I10" s="5" t="inlineStr">
        <x:is>
          <x:t xml:space="preserve">recall</x:t>
        </x:is>
      </x:c>
      <x:c r="J10" s="5" t="inlineStr">
        <x:is>
          <x:t xml:space="preserve">center_upper</x:t>
        </x:is>
      </x:c>
      <x:c r="K10" s="5" t="inlineStr">
        <x:is>
          <x:t xml:space="preserve">low</x:t>
        </x:is>
      </x:c>
    </x:row>
    <x:row r="11" ht="22" customHeight="1">
      <x:c r="A11" s="5" t="inlineStr">
        <x:is>
          <x:t xml:space="preserve">V02_study_recall</x:t>
        </x:is>
      </x:c>
      <x:c r="B11" s="5" t="inlineStr">
        <x:is>
          <x:t xml:space="preserve">study</x:t>
        </x:is>
      </x:c>
      <x:c r="C11" s="5" t="inlineStr">
        <x:is>
          <x:t xml:space="preserve">3</x:t>
        </x:is>
      </x:c>
      <x:c r="D11" s="5" t="inlineStr">
        <x:is>
          <x:t xml:space="preserve">00:00:04.000</x:t>
        </x:is>
      </x:c>
      <x:c r="E11" s="5" t="inlineStr">
        <x:is>
          <x:t xml:space="preserve">00:00:06.000</x:t>
        </x:is>
      </x:c>
      <x:c r="F11" s="5" t="inlineStr">
        <x:is>
          <x:t xml:space="preserve">Close the notes, retrieve the answer, then check.</x:t>
        </x:is>
      </x:c>
      <x:c r="G11" s="5" t="inlineStr">
        <x:is>
          <x:t xml:space="preserve">Close notes. Retrieve. Check.</x:t>
        </x:is>
      </x:c>
      <x:c r="H11" s="5" t="inlineStr">
        <x:is>
          <x:t xml:space="preserve">action</x:t>
        </x:is>
      </x:c>
      <x:c r="I11" s="5" t="inlineStr">
        <x:is>
          <x:t xml:space="preserve">retrieve</x:t>
        </x:is>
      </x:c>
      <x:c r="J11" s="5" t="inlineStr">
        <x:is>
          <x:t xml:space="preserve">center_upper</x:t>
        </x:is>
      </x:c>
      <x:c r="K11" s="5" t="inlineStr">
        <x:is>
          <x:t xml:space="preserve">medium</x:t>
        </x:is>
      </x:c>
    </x:row>
    <x:row r="12" ht="22" customHeight="1">
      <x:c r="A12" s="5" t="inlineStr">
        <x:is>
          <x:t xml:space="preserve">V03_fitness_setup</x:t>
        </x:is>
      </x:c>
      <x:c r="B12" s="5" t="inlineStr">
        <x:is>
          <x:t xml:space="preserve">fitness</x:t>
        </x:is>
      </x:c>
      <x:c r="C12" s="5" t="inlineStr">
        <x:is>
          <x:t xml:space="preserve">1</x:t>
        </x:is>
      </x:c>
      <x:c r="D12" s="5" t="inlineStr">
        <x:is>
          <x:t xml:space="preserve">00:00:00.000</x:t>
        </x:is>
      </x:c>
      <x:c r="E12" s="5" t="inlineStr">
        <x:is>
          <x:t xml:space="preserve">00:00:02.000</x:t>
        </x:is>
      </x:c>
      <x:c r="F12" s="5" t="inlineStr">
        <x:is>
          <x:t xml:space="preserve">The problem is not discipline.</x:t>
        </x:is>
      </x:c>
      <x:c r="G12" s="5" t="inlineStr">
        <x:is>
          <x:t xml:space="preserve">Not discipline.</x:t>
        </x:is>
      </x:c>
      <x:c r="H12" s="5" t="inlineStr">
        <x:is>
          <x:t xml:space="preserve">false_belief</x:t>
        </x:is>
      </x:c>
      <x:c r="I12" s="5" t="inlineStr">
        <x:is>
          <x:t xml:space="preserve">discipline</x:t>
        </x:is>
      </x:c>
      <x:c r="J12" s="5" t="inlineStr">
        <x:is>
          <x:t xml:space="preserve">center_upper</x:t>
        </x:is>
      </x:c>
      <x:c r="K12" s="5" t="inlineStr">
        <x:is>
          <x:t xml:space="preserve">low</x:t>
        </x:is>
      </x:c>
    </x:row>
    <x:row r="13" ht="36" customHeight="1">
      <x:c r="A13" s="5" t="inlineStr">
        <x:is>
          <x:t xml:space="preserve">V03_fitness_setup</x:t>
        </x:is>
      </x:c>
      <x:c r="B13" s="5" t="inlineStr">
        <x:is>
          <x:t xml:space="preserve">fitness</x:t>
        </x:is>
      </x:c>
      <x:c r="C13" s="5" t="inlineStr">
        <x:is>
          <x:t xml:space="preserve">2</x:t>
        </x:is>
      </x:c>
      <x:c r="D13" s="5" t="inlineStr">
        <x:is>
          <x:t xml:space="preserve">00:00:02.000</x:t>
        </x:is>
      </x:c>
      <x:c r="E13" s="5" t="inlineStr">
        <x:is>
          <x:t xml:space="preserve">00:00:04.000</x:t>
        </x:is>
      </x:c>
      <x:c r="F13" s="5" t="inlineStr">
        <x:is>
          <x:t xml:space="preserve">The problem is that your environment makes the good choice harder than the bad choice.</x:t>
        </x:is>
      </x:c>
      <x:c r="G13" s="5" t="inlineStr">
        <x:is>
          <x:t xml:space="preserve">Bad setup.</x:t>
        </x:is>
      </x:c>
      <x:c r="H13" s="5" t="inlineStr">
        <x:is>
          <x:t xml:space="preserve">diagnosis</x:t>
        </x:is>
      </x:c>
      <x:c r="I13" s="5" t="inlineStr">
        <x:is>
          <x:t xml:space="preserve">setup</x:t>
        </x:is>
      </x:c>
      <x:c r="J13" s="5" t="inlineStr">
        <x:is>
          <x:t xml:space="preserve">center_upper</x:t>
        </x:is>
      </x:c>
      <x:c r="K13" s="5" t="inlineStr">
        <x:is>
          <x:t xml:space="preserve">low</x:t>
        </x:is>
      </x:c>
    </x:row>
    <x:row r="14" ht="22" customHeight="1">
      <x:c r="A14" s="5" t="inlineStr">
        <x:is>
          <x:t xml:space="preserve">V03_fitness_setup</x:t>
        </x:is>
      </x:c>
      <x:c r="B14" s="5" t="inlineStr">
        <x:is>
          <x:t xml:space="preserve">fitness</x:t>
        </x:is>
      </x:c>
      <x:c r="C14" s="5" t="inlineStr">
        <x:is>
          <x:t xml:space="preserve">3</x:t>
        </x:is>
      </x:c>
      <x:c r="D14" s="5" t="inlineStr">
        <x:is>
          <x:t xml:space="preserve">00:00:04.000</x:t>
        </x:is>
      </x:c>
      <x:c r="E14" s="5" t="inlineStr">
        <x:is>
          <x:t xml:space="preserve">00:00:06.000</x:t>
        </x:is>
      </x:c>
      <x:c r="F14" s="5" t="inlineStr">
        <x:is>
          <x:t xml:space="preserve">Put the shoes near the door before motivation is needed.</x:t>
        </x:is>
      </x:c>
      <x:c r="G14" s="5" t="inlineStr">
        <x:is>
          <x:t xml:space="preserve">Make good easy.</x:t>
        </x:is>
      </x:c>
      <x:c r="H14" s="5" t="inlineStr">
        <x:is>
          <x:t xml:space="preserve">action</x:t>
        </x:is>
      </x:c>
      <x:c r="I14" s="5" t="inlineStr">
        <x:is>
          <x:t xml:space="preserve">easy</x:t>
        </x:is>
      </x:c>
      <x:c r="J14" s="5" t="inlineStr">
        <x:is>
          <x:t xml:space="preserve">left_mid</x:t>
        </x:is>
      </x:c>
      <x:c r="K14" s="5" t="inlineStr">
        <x:is>
          <x:t xml:space="preserve">medium</x:t>
        </x:is>
      </x:c>
    </x:row>
    <x:row r="15" ht="22" customHeight="1">
      <x:c r="A15" s="5" t="inlineStr">
        <x:is>
          <x:t xml:space="preserve">V04_money_visibility</x:t>
        </x:is>
      </x:c>
      <x:c r="B15" s="5" t="inlineStr">
        <x:is>
          <x:t xml:space="preserve">finance</x:t>
        </x:is>
      </x:c>
      <x:c r="C15" s="5" t="inlineStr">
        <x:is>
          <x:t xml:space="preserve">1</x:t>
        </x:is>
      </x:c>
      <x:c r="D15" s="5" t="inlineStr">
        <x:is>
          <x:t xml:space="preserve">00:00:00.000</x:t>
        </x:is>
      </x:c>
      <x:c r="E15" s="5" t="inlineStr">
        <x:is>
          <x:t xml:space="preserve">00:00:02.000</x:t>
        </x:is>
      </x:c>
      <x:c r="F15" s="5" t="inlineStr">
        <x:is>
          <x:t xml:space="preserve">You do not have a budgeting problem yet.</x:t>
        </x:is>
      </x:c>
      <x:c r="G15" s="5" t="inlineStr">
        <x:is>
          <x:t xml:space="preserve">Not budgeting.</x:t>
        </x:is>
      </x:c>
      <x:c r="H15" s="5" t="inlineStr">
        <x:is>
          <x:t xml:space="preserve">false_belief</x:t>
        </x:is>
      </x:c>
      <x:c r="I15" s="5" t="inlineStr">
        <x:is>
          <x:t xml:space="preserve">budgeting</x:t>
        </x:is>
      </x:c>
      <x:c r="J15" s="5" t="inlineStr">
        <x:is>
          <x:t xml:space="preserve">center_upper</x:t>
        </x:is>
      </x:c>
      <x:c r="K15" s="5" t="inlineStr">
        <x:is>
          <x:t xml:space="preserve">low</x:t>
        </x:is>
      </x:c>
    </x:row>
    <x:row r="16" ht="22" customHeight="1">
      <x:c r="A16" s="5" t="inlineStr">
        <x:is>
          <x:t xml:space="preserve">V04_money_visibility</x:t>
        </x:is>
      </x:c>
      <x:c r="B16" s="5" t="inlineStr">
        <x:is>
          <x:t xml:space="preserve">finance</x:t>
        </x:is>
      </x:c>
      <x:c r="C16" s="5" t="inlineStr">
        <x:is>
          <x:t xml:space="preserve">2</x:t>
        </x:is>
      </x:c>
      <x:c r="D16" s="5" t="inlineStr">
        <x:is>
          <x:t xml:space="preserve">00:00:02.000</x:t>
        </x:is>
      </x:c>
      <x:c r="E16" s="5" t="inlineStr">
        <x:is>
          <x:t xml:space="preserve">00:00:04.000</x:t>
        </x:is>
      </x:c>
      <x:c r="F16" s="5" t="inlineStr">
        <x:is>
          <x:t xml:space="preserve">You have a visibility problem.</x:t>
        </x:is>
      </x:c>
      <x:c r="G16" s="5" t="inlineStr">
        <x:is>
          <x:t xml:space="preserve">Visibility.</x:t>
        </x:is>
      </x:c>
      <x:c r="H16" s="5" t="inlineStr">
        <x:is>
          <x:t xml:space="preserve">correction</x:t>
        </x:is>
      </x:c>
      <x:c r="I16" s="5" t="inlineStr">
        <x:is>
          <x:t xml:space="preserve">visibility</x:t>
        </x:is>
      </x:c>
      <x:c r="J16" s="5" t="inlineStr">
        <x:is>
          <x:t xml:space="preserve">center_upper</x:t>
        </x:is>
      </x:c>
      <x:c r="K16" s="5" t="inlineStr">
        <x:is>
          <x:t xml:space="preserve">low</x:t>
        </x:is>
      </x:c>
    </x:row>
    <x:row r="17" ht="22" customHeight="1">
      <x:c r="A17" s="5" t="inlineStr">
        <x:is>
          <x:t xml:space="preserve">V04_money_visibility</x:t>
        </x:is>
      </x:c>
      <x:c r="B17" s="5" t="inlineStr">
        <x:is>
          <x:t xml:space="preserve">finance</x:t>
        </x:is>
      </x:c>
      <x:c r="C17" s="5" t="inlineStr">
        <x:is>
          <x:t xml:space="preserve">3</x:t>
        </x:is>
      </x:c>
      <x:c r="D17" s="5" t="inlineStr">
        <x:is>
          <x:t xml:space="preserve">00:00:04.000</x:t>
        </x:is>
      </x:c>
      <x:c r="E17" s="5" t="inlineStr">
        <x:is>
          <x:t xml:space="preserve">00:00:06.000</x:t>
        </x:is>
      </x:c>
      <x:c r="F17" s="5" t="inlineStr">
        <x:is>
          <x:t xml:space="preserve">Track where the money goes before you try to control it.</x:t>
        </x:is>
      </x:c>
      <x:c r="G17" s="5" t="inlineStr">
        <x:is>
          <x:t xml:space="preserve">Track first.</x:t>
        </x:is>
      </x:c>
      <x:c r="H17" s="5" t="inlineStr">
        <x:is>
          <x:t xml:space="preserve">action</x:t>
        </x:is>
      </x:c>
      <x:c r="I17" s="5" t="inlineStr">
        <x:is>
          <x:t xml:space="preserve">track</x:t>
        </x:is>
      </x:c>
      <x:c r="J17" s="5" t="inlineStr">
        <x:is>
          <x:t xml:space="preserve">center_upper</x:t>
        </x:is>
      </x:c>
      <x:c r="K17" s="5" t="inlineStr">
        <x:is>
          <x:t xml:space="preserve">medium</x:t>
        </x:is>
      </x:c>
    </x:row>
    <x:row r="18" ht="22" customHeight="1">
      <x:c r="A18" s="5" t="inlineStr">
        <x:is>
          <x:t xml:space="preserve">V05_coding_assumptions</x:t>
        </x:is>
      </x:c>
      <x:c r="B18" s="5" t="inlineStr">
        <x:is>
          <x:t xml:space="preserve">software</x:t>
        </x:is>
      </x:c>
      <x:c r="C18" s="5" t="inlineStr">
        <x:is>
          <x:t xml:space="preserve">1</x:t>
        </x:is>
      </x:c>
      <x:c r="D18" s="5" t="inlineStr">
        <x:is>
          <x:t xml:space="preserve">00:00:00.000</x:t>
        </x:is>
      </x:c>
      <x:c r="E18" s="5" t="inlineStr">
        <x:is>
          <x:t xml:space="preserve">00:00:02.000</x:t>
        </x:is>
      </x:c>
      <x:c r="F18" s="5" t="inlineStr">
        <x:is>
          <x:t xml:space="preserve">Most debugging stalls because you are chasing symptoms.</x:t>
        </x:is>
      </x:c>
      <x:c r="G18" s="5" t="inlineStr">
        <x:is>
          <x:t xml:space="preserve">Not symptoms.</x:t>
        </x:is>
      </x:c>
      <x:c r="H18" s="5" t="inlineStr">
        <x:is>
          <x:t xml:space="preserve">false_belief</x:t>
        </x:is>
      </x:c>
      <x:c r="I18" s="5" t="inlineStr">
        <x:is>
          <x:t xml:space="preserve">symptoms</x:t>
        </x:is>
      </x:c>
      <x:c r="J18" s="5" t="inlineStr">
        <x:is>
          <x:t xml:space="preserve">center_upper</x:t>
        </x:is>
      </x:c>
      <x:c r="K18" s="5" t="inlineStr">
        <x:is>
          <x:t xml:space="preserve">medium</x:t>
        </x:is>
      </x:c>
    </x:row>
    <x:row r="19" ht="22" customHeight="1">
      <x:c r="A19" s="5" t="inlineStr">
        <x:is>
          <x:t xml:space="preserve">V05_coding_assumptions</x:t>
        </x:is>
      </x:c>
      <x:c r="B19" s="5" t="inlineStr">
        <x:is>
          <x:t xml:space="preserve">software</x:t>
        </x:is>
      </x:c>
      <x:c r="C19" s="5" t="inlineStr">
        <x:is>
          <x:t xml:space="preserve">2</x:t>
        </x:is>
      </x:c>
      <x:c r="D19" s="5" t="inlineStr">
        <x:is>
          <x:t xml:space="preserve">00:00:02.000</x:t>
        </x:is>
      </x:c>
      <x:c r="E19" s="5" t="inlineStr">
        <x:is>
          <x:t xml:space="preserve">00:00:04.000</x:t>
        </x:is>
      </x:c>
      <x:c r="F19" s="5" t="inlineStr">
        <x:is>
          <x:t xml:space="preserve">Log the assumption, isolate the input, and make the failure reproducible.</x:t>
        </x:is>
      </x:c>
      <x:c r="G19" s="5" t="inlineStr">
        <x:is>
          <x:t xml:space="preserve">Log assumptions.</x:t>
        </x:is>
      </x:c>
      <x:c r="H19" s="5" t="inlineStr">
        <x:is>
          <x:t xml:space="preserve">action</x:t>
        </x:is>
      </x:c>
      <x:c r="I19" s="5" t="inlineStr">
        <x:is>
          <x:t xml:space="preserve">assumptions</x:t>
        </x:is>
      </x:c>
      <x:c r="J19" s="5" t="inlineStr">
        <x:is>
          <x:t xml:space="preserve">right_mid</x:t>
        </x:is>
      </x:c>
      <x:c r="K19" s="5" t="inlineStr">
        <x:is>
          <x:t xml:space="preserve">high</x:t>
        </x:is>
      </x:c>
    </x:row>
    <x:row r="20" ht="22" customHeight="1">
      <x:c r="A20" s="5" t="inlineStr">
        <x:is>
          <x:t xml:space="preserve">V05_coding_assumptions</x:t>
        </x:is>
      </x:c>
      <x:c r="B20" s="5" t="inlineStr">
        <x:is>
          <x:t xml:space="preserve">software</x:t>
        </x:is>
      </x:c>
      <x:c r="C20" s="5" t="inlineStr">
        <x:is>
          <x:t xml:space="preserve">3</x:t>
        </x:is>
      </x:c>
      <x:c r="D20" s="5" t="inlineStr">
        <x:is>
          <x:t xml:space="preserve">00:00:04.000</x:t>
        </x:is>
      </x:c>
      <x:c r="E20" s="5" t="inlineStr">
        <x:is>
          <x:t xml:space="preserve">00:00:06.000</x:t>
        </x:is>
      </x:c>
      <x:c r="F20" s="5" t="inlineStr">
        <x:is>
          <x:t xml:space="preserve">Then isolate the input and make the failure reproducible.</x:t>
        </x:is>
      </x:c>
      <x:c r="G20" s="5" t="inlineStr">
        <x:is>
          <x:t xml:space="preserve">Make failure repeat.</x:t>
        </x:is>
      </x:c>
      <x:c r="H20" s="5" t="inlineStr">
        <x:is>
          <x:t xml:space="preserve">action</x:t>
        </x:is>
      </x:c>
      <x:c r="I20" s="5" t="inlineStr">
        <x:is>
          <x:t xml:space="preserve">repeat</x:t>
        </x:is>
      </x:c>
      <x:c r="J20" s="5" t="inlineStr">
        <x:is>
          <x:t xml:space="preserve">right_mid</x:t>
        </x:is>
      </x:c>
      <x:c r="K20" s="5" t="inlineStr">
        <x:is>
          <x:t xml:space="preserve">high</x:t>
        </x:is>
      </x:c>
    </x:row>
    <x:row r="21" ht="22" customHeight="1">
      <x:c r="A21" s="5" t="inlineStr">
        <x:is>
          <x:t xml:space="preserve">V06_overload_open_loops</x:t>
        </x:is>
      </x:c>
      <x:c r="B21" s="5" t="inlineStr">
        <x:is>
          <x:t xml:space="preserve">attention</x:t>
        </x:is>
      </x:c>
      <x:c r="C21" s="5" t="inlineStr">
        <x:is>
          <x:t xml:space="preserve">1</x:t>
        </x:is>
      </x:c>
      <x:c r="D21" s="5" t="inlineStr">
        <x:is>
          <x:t xml:space="preserve">00:00:00.000</x:t>
        </x:is>
      </x:c>
      <x:c r="E21" s="5" t="inlineStr">
        <x:is>
          <x:t xml:space="preserve">00:00:02.000</x:t>
        </x:is>
      </x:c>
      <x:c r="F21" s="5" t="inlineStr">
        <x:is>
          <x:t xml:space="preserve">When everything feels urgent, moving faster is not the answer.</x:t>
        </x:is>
      </x:c>
      <x:c r="G21" s="5" t="inlineStr">
        <x:is>
          <x:t xml:space="preserve">Not faster.</x:t>
        </x:is>
      </x:c>
      <x:c r="H21" s="5" t="inlineStr">
        <x:is>
          <x:t xml:space="preserve">false_belief</x:t>
        </x:is>
      </x:c>
      <x:c r="I21" s="5" t="inlineStr">
        <x:is>
          <x:t xml:space="preserve">faster</x:t>
        </x:is>
      </x:c>
      <x:c r="J21" s="5" t="inlineStr">
        <x:is>
          <x:t xml:space="preserve">center_upper</x:t>
        </x:is>
      </x:c>
      <x:c r="K21" s="5" t="inlineStr">
        <x:is>
          <x:t xml:space="preserve">low</x:t>
        </x:is>
      </x:c>
    </x:row>
    <x:row r="22" ht="22" customHeight="1">
      <x:c r="A22" s="5" t="inlineStr">
        <x:is>
          <x:t xml:space="preserve">V06_overload_open_loops</x:t>
        </x:is>
      </x:c>
      <x:c r="B22" s="5" t="inlineStr">
        <x:is>
          <x:t xml:space="preserve">attention</x:t>
        </x:is>
      </x:c>
      <x:c r="C22" s="5" t="inlineStr">
        <x:is>
          <x:t xml:space="preserve">2</x:t>
        </x:is>
      </x:c>
      <x:c r="D22" s="5" t="inlineStr">
        <x:is>
          <x:t xml:space="preserve">00:00:02.000</x:t>
        </x:is>
      </x:c>
      <x:c r="E22" s="5" t="inlineStr">
        <x:is>
          <x:t xml:space="preserve">00:00:04.000</x:t>
        </x:is>
      </x:c>
      <x:c r="F22" s="5" t="inlineStr">
        <x:is>
          <x:t xml:space="preserve">You need fewer open loops.</x:t>
        </x:is>
      </x:c>
      <x:c r="G22" s="5" t="inlineStr">
        <x:is>
          <x:t xml:space="preserve">Fewer loops.</x:t>
        </x:is>
      </x:c>
      <x:c r="H22" s="5" t="inlineStr">
        <x:is>
          <x:t xml:space="preserve">correction</x:t>
        </x:is>
      </x:c>
      <x:c r="I22" s="5" t="inlineStr">
        <x:is>
          <x:t xml:space="preserve">loops</x:t>
        </x:is>
      </x:c>
      <x:c r="J22" s="5" t="inlineStr">
        <x:is>
          <x:t xml:space="preserve">center_upper</x:t>
        </x:is>
      </x:c>
      <x:c r="K22" s="5" t="inlineStr">
        <x:is>
          <x:t xml:space="preserve">low</x:t>
        </x:is>
      </x:c>
    </x:row>
    <x:row r="23" ht="22" customHeight="1">
      <x:c r="A23" s="5" t="inlineStr">
        <x:is>
          <x:t xml:space="preserve">V06_overload_open_loops</x:t>
        </x:is>
      </x:c>
      <x:c r="B23" s="5" t="inlineStr">
        <x:is>
          <x:t xml:space="preserve">attention</x:t>
        </x:is>
      </x:c>
      <x:c r="C23" s="5" t="inlineStr">
        <x:is>
          <x:t xml:space="preserve">3</x:t>
        </x:is>
      </x:c>
      <x:c r="D23" s="5" t="inlineStr">
        <x:is>
          <x:t xml:space="preserve">00:00:04.000</x:t>
        </x:is>
      </x:c>
      <x:c r="E23" s="5" t="inlineStr">
        <x:is>
          <x:t xml:space="preserve">00:00:06.000</x:t>
        </x:is>
      </x:c>
      <x:c r="F23" s="5" t="inlineStr">
        <x:is>
          <x:t xml:space="preserve">Close one loop before you open another.</x:t>
        </x:is>
      </x:c>
      <x:c r="G23" s="5" t="inlineStr">
        <x:is>
          <x:t xml:space="preserve">Close one first.</x:t>
        </x:is>
      </x:c>
      <x:c r="H23" s="5" t="inlineStr">
        <x:is>
          <x:t xml:space="preserve">action</x:t>
        </x:is>
      </x:c>
      <x:c r="I23" s="5" t="inlineStr">
        <x:is>
          <x:t xml:space="preserve">close</x:t>
        </x:is>
      </x:c>
      <x:c r="J23" s="5" t="inlineStr">
        <x:is>
          <x:t xml:space="preserve">center_upper</x:t>
        </x:is>
      </x:c>
      <x:c r="K23" s="5" t="inlineStr">
        <x:is>
          <x:t xml:space="preserve">medium</x:t>
        </x:is>
      </x:c>
    </x:row>
    <x:row r="24" ht="22" customHeight="1">
      <x:c r="A24" s="5" t="inlineStr">
        <x:is>
          <x:t xml:space="preserve">V07_business_clarity</x:t>
        </x:is>
      </x:c>
      <x:c r="B24" s="5" t="inlineStr">
        <x:is>
          <x:t xml:space="preserve">business</x:t>
        </x:is>
      </x:c>
      <x:c r="C24" s="5" t="inlineStr">
        <x:is>
          <x:t xml:space="preserve">1</x:t>
        </x:is>
      </x:c>
      <x:c r="D24" s="5" t="inlineStr">
        <x:is>
          <x:t xml:space="preserve">00:00:00.000</x:t>
        </x:is>
      </x:c>
      <x:c r="E24" s="5" t="inlineStr">
        <x:is>
          <x:t xml:space="preserve">00:00:02.000</x:t>
        </x:is>
      </x:c>
      <x:c r="F24" s="5" t="inlineStr">
        <x:is>
          <x:t xml:space="preserve">If people are not buying, the first issue is often not price.</x:t>
        </x:is>
      </x:c>
      <x:c r="G24" s="5" t="inlineStr">
        <x:is>
          <x:t xml:space="preserve">Not price.</x:t>
        </x:is>
      </x:c>
      <x:c r="H24" s="5" t="inlineStr">
        <x:is>
          <x:t xml:space="preserve">false_belief</x:t>
        </x:is>
      </x:c>
      <x:c r="I24" s="5" t="inlineStr">
        <x:is>
          <x:t xml:space="preserve">price</x:t>
        </x:is>
      </x:c>
      <x:c r="J24" s="5" t="inlineStr">
        <x:is>
          <x:t xml:space="preserve">center_upper</x:t>
        </x:is>
      </x:c>
      <x:c r="K24" s="5" t="inlineStr">
        <x:is>
          <x:t xml:space="preserve">low</x:t>
        </x:is>
      </x:c>
    </x:row>
    <x:row r="25" ht="22" customHeight="1">
      <x:c r="A25" s="5" t="inlineStr">
        <x:is>
          <x:t xml:space="preserve">V07_business_clarity</x:t>
        </x:is>
      </x:c>
      <x:c r="B25" s="5" t="inlineStr">
        <x:is>
          <x:t xml:space="preserve">business</x:t>
        </x:is>
      </x:c>
      <x:c r="C25" s="5" t="inlineStr">
        <x:is>
          <x:t xml:space="preserve">2</x:t>
        </x:is>
      </x:c>
      <x:c r="D25" s="5" t="inlineStr">
        <x:is>
          <x:t xml:space="preserve">00:00:02.000</x:t>
        </x:is>
      </x:c>
      <x:c r="E25" s="5" t="inlineStr">
        <x:is>
          <x:t xml:space="preserve">00:00:04.000</x:t>
        </x:is>
      </x:c>
      <x:c r="F25" s="5" t="inlineStr">
        <x:is>
          <x:t xml:space="preserve">It is clarity.</x:t>
        </x:is>
      </x:c>
      <x:c r="G25" s="5" t="inlineStr">
        <x:is>
          <x:t xml:space="preserve">Clarity.</x:t>
        </x:is>
      </x:c>
      <x:c r="H25" s="5" t="inlineStr">
        <x:is>
          <x:t xml:space="preserve">correction</x:t>
        </x:is>
      </x:c>
      <x:c r="I25" s="5" t="inlineStr">
        <x:is>
          <x:t xml:space="preserve">clarity</x:t>
        </x:is>
      </x:c>
      <x:c r="J25" s="5" t="inlineStr">
        <x:is>
          <x:t xml:space="preserve">center_upper</x:t>
        </x:is>
      </x:c>
      <x:c r="K25" s="5" t="inlineStr">
        <x:is>
          <x:t xml:space="preserve">low</x:t>
        </x:is>
      </x:c>
    </x:row>
    <x:row r="26" ht="22" customHeight="1">
      <x:c r="A26" s="5" t="inlineStr">
        <x:is>
          <x:t xml:space="preserve">V07_business_clarity</x:t>
        </x:is>
      </x:c>
      <x:c r="B26" s="5" t="inlineStr">
        <x:is>
          <x:t xml:space="preserve">business</x:t>
        </x:is>
      </x:c>
      <x:c r="C26" s="5" t="inlineStr">
        <x:is>
          <x:t xml:space="preserve">3</x:t>
        </x:is>
      </x:c>
      <x:c r="D26" s="5" t="inlineStr">
        <x:is>
          <x:t xml:space="preserve">00:00:04.000</x:t>
        </x:is>
      </x:c>
      <x:c r="E26" s="5" t="inlineStr">
        <x:is>
          <x:t xml:space="preserve">00:00:06.000</x:t>
        </x:is>
      </x:c>
      <x:c r="F26" s="5" t="inlineStr">
        <x:is>
          <x:t xml:space="preserve">They need to know what changes after they say yes.</x:t>
        </x:is>
      </x:c>
      <x:c r="G26" s="5" t="inlineStr">
        <x:is>
          <x:t xml:space="preserve">Show the change.</x:t>
        </x:is>
      </x:c>
      <x:c r="H26" s="5" t="inlineStr">
        <x:is>
          <x:t xml:space="preserve">action</x:t>
        </x:is>
      </x:c>
      <x:c r="I26" s="5" t="inlineStr">
        <x:is>
          <x:t xml:space="preserve">change</x:t>
        </x:is>
      </x:c>
      <x:c r="J26" s="5" t="inlineStr">
        <x:is>
          <x:t xml:space="preserve">left_mid</x:t>
        </x:is>
      </x:c>
      <x:c r="K26" s="5" t="inlineStr">
        <x:is>
          <x:t xml:space="preserve">medium</x:t>
        </x:is>
      </x:c>
    </x:row>
    <x:row r="27" ht="22" customHeight="1">
      <x:c r="A27" s="5" t="inlineStr">
        <x:is>
          <x:t xml:space="preserve">V08_calendar_system</x:t>
        </x:is>
      </x:c>
      <x:c r="B27" s="5" t="inlineStr">
        <x:is>
          <x:t xml:space="preserve">time_management</x:t>
        </x:is>
      </x:c>
      <x:c r="C27" s="5" t="inlineStr">
        <x:is>
          <x:t xml:space="preserve">1</x:t>
        </x:is>
      </x:c>
      <x:c r="D27" s="5" t="inlineStr">
        <x:is>
          <x:t xml:space="preserve">00:00:00.000</x:t>
        </x:is>
      </x:c>
      <x:c r="E27" s="5" t="inlineStr">
        <x:is>
          <x:t xml:space="preserve">00:00:02.000</x:t>
        </x:is>
      </x:c>
      <x:c r="F27" s="5" t="inlineStr">
        <x:is>
          <x:t xml:space="preserve">A to-do list tells you what exists.</x:t>
        </x:is>
      </x:c>
      <x:c r="G27" s="5" t="inlineStr">
        <x:is>
          <x:t xml:space="preserve">To-do lists store.</x:t>
        </x:is>
      </x:c>
      <x:c r="H27" s="5" t="inlineStr">
        <x:is>
          <x:t xml:space="preserve">diagnosis</x:t>
        </x:is>
      </x:c>
      <x:c r="I27" s="5" t="inlineStr">
        <x:is>
          <x:t xml:space="preserve">store</x:t>
        </x:is>
      </x:c>
      <x:c r="J27" s="5" t="inlineStr">
        <x:is>
          <x:t xml:space="preserve">center_upper</x:t>
        </x:is>
      </x:c>
      <x:c r="K27" s="5" t="inlineStr">
        <x:is>
          <x:t xml:space="preserve">low</x:t>
        </x:is>
      </x:c>
    </x:row>
    <x:row r="28" ht="22" customHeight="1">
      <x:c r="A28" s="5" t="inlineStr">
        <x:is>
          <x:t xml:space="preserve">V08_calendar_system</x:t>
        </x:is>
      </x:c>
      <x:c r="B28" s="5" t="inlineStr">
        <x:is>
          <x:t xml:space="preserve">time_management</x:t>
        </x:is>
      </x:c>
      <x:c r="C28" s="5" t="inlineStr">
        <x:is>
          <x:t xml:space="preserve">2</x:t>
        </x:is>
      </x:c>
      <x:c r="D28" s="5" t="inlineStr">
        <x:is>
          <x:t xml:space="preserve">00:00:02.000</x:t>
        </x:is>
      </x:c>
      <x:c r="E28" s="5" t="inlineStr">
        <x:is>
          <x:t xml:space="preserve">00:00:04.000</x:t>
        </x:is>
      </x:c>
      <x:c r="F28" s="5" t="inlineStr">
        <x:is>
          <x:t xml:space="preserve">A calendar tells you when it will happen.</x:t>
        </x:is>
      </x:c>
      <x:c r="G28" s="5" t="inlineStr">
        <x:is>
          <x:t xml:space="preserve">Calendars execute.</x:t>
        </x:is>
      </x:c>
      <x:c r="H28" s="5" t="inlineStr">
        <x:is>
          <x:t xml:space="preserve">correction</x:t>
        </x:is>
      </x:c>
      <x:c r="I28" s="5" t="inlineStr">
        <x:is>
          <x:t xml:space="preserve">execute</x:t>
        </x:is>
      </x:c>
      <x:c r="J28" s="5" t="inlineStr">
        <x:is>
          <x:t xml:space="preserve">center_upper</x:t>
        </x:is>
      </x:c>
      <x:c r="K28" s="5" t="inlineStr">
        <x:is>
          <x:t xml:space="preserve">low</x:t>
        </x:is>
      </x:c>
    </x:row>
    <x:row r="29" ht="22" customHeight="1">
      <x:c r="A29" s="5" t="inlineStr">
        <x:is>
          <x:t xml:space="preserve">V08_calendar_system</x:t>
        </x:is>
      </x:c>
      <x:c r="B29" s="5" t="inlineStr">
        <x:is>
          <x:t xml:space="preserve">time_management</x:t>
        </x:is>
      </x:c>
      <x:c r="C29" s="5" t="inlineStr">
        <x:is>
          <x:t xml:space="preserve">3</x:t>
        </x:is>
      </x:c>
      <x:c r="D29" s="5" t="inlineStr">
        <x:is>
          <x:t xml:space="preserve">00:00:04.000</x:t>
        </x:is>
      </x:c>
      <x:c r="E29" s="5" t="inlineStr">
        <x:is>
          <x:t xml:space="preserve">00:00:06.000</x:t>
        </x:is>
      </x:c>
      <x:c r="F29" s="5" t="inlineStr">
        <x:is>
          <x:t xml:space="preserve">If it matters, give it a time block.</x:t>
        </x:is>
      </x:c>
      <x:c r="G29" s="5" t="inlineStr">
        <x:is>
          <x:t xml:space="preserve">Block it.</x:t>
        </x:is>
      </x:c>
      <x:c r="H29" s="5" t="inlineStr">
        <x:is>
          <x:t xml:space="preserve">action</x:t>
        </x:is>
      </x:c>
      <x:c r="I29" s="5" t="inlineStr">
        <x:is>
          <x:t xml:space="preserve">block</x:t>
        </x:is>
      </x:c>
      <x:c r="J29" s="5" t="inlineStr">
        <x:is>
          <x:t xml:space="preserve">center_upper</x:t>
        </x:is>
      </x:c>
      <x:c r="K29" s="5" t="inlineStr">
        <x:is>
          <x:t xml:space="preserve">medium</x:t>
        </x:is>
      </x:c>
    </x:row>
    <x:row r="30" ht="22" customHeight="1">
      <x:c r="A30" s="5" t="inlineStr">
        <x:is>
          <x:t xml:space="preserve">V09_nutrition_satiety</x:t>
        </x:is>
      </x:c>
      <x:c r="B30" s="5" t="inlineStr">
        <x:is>
          <x:t xml:space="preserve">nutrition</x:t>
        </x:is>
      </x:c>
      <x:c r="C30" s="5" t="inlineStr">
        <x:is>
          <x:t xml:space="preserve">1</x:t>
        </x:is>
      </x:c>
      <x:c r="D30" s="5" t="inlineStr">
        <x:is>
          <x:t xml:space="preserve">00:00:00.000</x:t>
        </x:is>
      </x:c>
      <x:c r="E30" s="5" t="inlineStr">
        <x:is>
          <x:t xml:space="preserve">00:00:02.000</x:t>
        </x:is>
      </x:c>
      <x:c r="F30" s="5" t="inlineStr">
        <x:is>
          <x:t xml:space="preserve">If you are hungry an hour after eating, it might not be willpower.</x:t>
        </x:is>
      </x:c>
      <x:c r="G30" s="5" t="inlineStr">
        <x:is>
          <x:t xml:space="preserve">Not willpower.</x:t>
        </x:is>
      </x:c>
      <x:c r="H30" s="5" t="inlineStr">
        <x:is>
          <x:t xml:space="preserve">false_belief</x:t>
        </x:is>
      </x:c>
      <x:c r="I30" s="5" t="inlineStr">
        <x:is>
          <x:t xml:space="preserve">willpower</x:t>
        </x:is>
      </x:c>
      <x:c r="J30" s="5" t="inlineStr">
        <x:is>
          <x:t xml:space="preserve">center_upper</x:t>
        </x:is>
      </x:c>
      <x:c r="K30" s="5" t="inlineStr">
        <x:is>
          <x:t xml:space="preserve">low</x:t>
        </x:is>
      </x:c>
    </x:row>
    <x:row r="31" ht="22" customHeight="1">
      <x:c r="A31" s="5" t="inlineStr">
        <x:is>
          <x:t xml:space="preserve">V09_nutrition_satiety</x:t>
        </x:is>
      </x:c>
      <x:c r="B31" s="5" t="inlineStr">
        <x:is>
          <x:t xml:space="preserve">nutrition</x:t>
        </x:is>
      </x:c>
      <x:c r="C31" s="5" t="inlineStr">
        <x:is>
          <x:t xml:space="preserve">2</x:t>
        </x:is>
      </x:c>
      <x:c r="D31" s="5" t="inlineStr">
        <x:is>
          <x:t xml:space="preserve">00:00:02.000</x:t>
        </x:is>
      </x:c>
      <x:c r="E31" s="5" t="inlineStr">
        <x:is>
          <x:t xml:space="preserve">00:00:04.000</x:t>
        </x:is>
      </x:c>
      <x:c r="F31" s="5" t="inlineStr">
        <x:is>
          <x:t xml:space="preserve">It might be low satiety.</x:t>
        </x:is>
      </x:c>
      <x:c r="G31" s="5" t="inlineStr">
        <x:is>
          <x:t xml:space="preserve">Low satiety.</x:t>
        </x:is>
      </x:c>
      <x:c r="H31" s="5" t="inlineStr">
        <x:is>
          <x:t xml:space="preserve">diagnosis</x:t>
        </x:is>
      </x:c>
      <x:c r="I31" s="5" t="inlineStr">
        <x:is>
          <x:t xml:space="preserve">satiety</x:t>
        </x:is>
      </x:c>
      <x:c r="J31" s="5" t="inlineStr">
        <x:is>
          <x:t xml:space="preserve">center_upper</x:t>
        </x:is>
      </x:c>
      <x:c r="K31" s="5" t="inlineStr">
        <x:is>
          <x:t xml:space="preserve">low</x:t>
        </x:is>
      </x:c>
    </x:row>
    <x:row r="32" ht="22" customHeight="1">
      <x:c r="A32" s="5" t="inlineStr">
        <x:is>
          <x:t xml:space="preserve">V09_nutrition_satiety</x:t>
        </x:is>
      </x:c>
      <x:c r="B32" s="5" t="inlineStr">
        <x:is>
          <x:t xml:space="preserve">nutrition</x:t>
        </x:is>
      </x:c>
      <x:c r="C32" s="5" t="inlineStr">
        <x:is>
          <x:t xml:space="preserve">3</x:t>
        </x:is>
      </x:c>
      <x:c r="D32" s="5" t="inlineStr">
        <x:is>
          <x:t xml:space="preserve">00:00:04.000</x:t>
        </x:is>
      </x:c>
      <x:c r="E32" s="5" t="inlineStr">
        <x:is>
          <x:t xml:space="preserve">00:00:06.000</x:t>
        </x:is>
      </x:c>
      <x:c r="F32" s="5" t="inlineStr">
        <x:is>
          <x:t xml:space="preserve">Add protein, fiber, or volume first.</x:t>
        </x:is>
      </x:c>
      <x:c r="G32" s="5" t="inlineStr">
        <x:is>
          <x:t xml:space="preserve">Protein. Fiber. Volume.</x:t>
        </x:is>
      </x:c>
      <x:c r="H32" s="5" t="inlineStr">
        <x:is>
          <x:t xml:space="preserve">action</x:t>
        </x:is>
      </x:c>
      <x:c r="I32" s="5" t="inlineStr">
        <x:is>
          <x:t xml:space="preserve">protein;fiber;volume</x:t>
        </x:is>
      </x:c>
      <x:c r="J32" s="5" t="inlineStr">
        <x:is>
          <x:t xml:space="preserve">left_mid</x:t>
        </x:is>
      </x:c>
      <x:c r="K32" s="5" t="inlineStr">
        <x:is>
          <x:t xml:space="preserve">medium</x:t>
        </x:is>
      </x:c>
    </x:row>
    <x:row r="33" ht="22" customHeight="1">
      <x:c r="A33" s="5" t="inlineStr">
        <x:is>
          <x:t xml:space="preserve">V10_tutorial_ui</x:t>
        </x:is>
      </x:c>
      <x:c r="B33" s="5" t="inlineStr">
        <x:is>
          <x:t xml:space="preserve">tutorial</x:t>
        </x:is>
      </x:c>
      <x:c r="C33" s="5" t="inlineStr">
        <x:is>
          <x:t xml:space="preserve">1</x:t>
        </x:is>
      </x:c>
      <x:c r="D33" s="5" t="inlineStr">
        <x:is>
          <x:t xml:space="preserve">00:00:00.000</x:t>
        </x:is>
      </x:c>
      <x:c r="E33" s="5" t="inlineStr">
        <x:is>
          <x:t xml:space="preserve">00:00:02.000</x:t>
        </x:is>
      </x:c>
      <x:c r="F33" s="5" t="inlineStr">
        <x:is>
          <x:t xml:space="preserve">Do not search every menu.</x:t>
        </x:is>
      </x:c>
      <x:c r="G33" s="5" t="inlineStr">
        <x:is>
          <x:t xml:space="preserve">Stop searching.</x:t>
        </x:is>
      </x:c>
      <x:c r="H33" s="5" t="inlineStr">
        <x:is>
          <x:t xml:space="preserve">warning</x:t>
        </x:is>
      </x:c>
      <x:c r="I33" s="5" t="inlineStr">
        <x:is>
          <x:t xml:space="preserve">searching</x:t>
        </x:is>
      </x:c>
      <x:c r="J33" s="5" t="inlineStr">
        <x:is>
          <x:t xml:space="preserve">right_mid</x:t>
        </x:is>
      </x:c>
      <x:c r="K33" s="5" t="inlineStr">
        <x:is>
          <x:t xml:space="preserve">high</x:t>
        </x:is>
      </x:c>
    </x:row>
    <x:row r="34" ht="22" customHeight="1">
      <x:c r="A34" s="5" t="inlineStr">
        <x:is>
          <x:t xml:space="preserve">V10_tutorial_ui</x:t>
        </x:is>
      </x:c>
      <x:c r="B34" s="5" t="inlineStr">
        <x:is>
          <x:t xml:space="preserve">tutorial</x:t>
        </x:is>
      </x:c>
      <x:c r="C34" s="5" t="inlineStr">
        <x:is>
          <x:t xml:space="preserve">2</x:t>
        </x:is>
      </x:c>
      <x:c r="D34" s="5" t="inlineStr">
        <x:is>
          <x:t xml:space="preserve">00:00:02.000</x:t>
        </x:is>
      </x:c>
      <x:c r="E34" s="5" t="inlineStr">
        <x:is>
          <x:t xml:space="preserve">00:00:04.000</x:t>
        </x:is>
      </x:c>
      <x:c r="F34" s="5" t="inlineStr">
        <x:is>
          <x:t xml:space="preserve">Open settings, choose notifications, then turn off non-essential alerts.</x:t>
        </x:is>
      </x:c>
      <x:c r="G34" s="5" t="inlineStr">
        <x:is>
          <x:t xml:space="preserve">Settings. Notifications.</x:t>
        </x:is>
      </x:c>
      <x:c r="H34" s="5" t="inlineStr">
        <x:is>
          <x:t xml:space="preserve">sequence</x:t>
        </x:is>
      </x:c>
      <x:c r="I34" s="5" t="inlineStr">
        <x:is>
          <x:t xml:space="preserve">settings;notifications</x:t>
        </x:is>
      </x:c>
      <x:c r="J34" s="5" t="inlineStr">
        <x:is>
          <x:t xml:space="preserve">right_mid</x:t>
        </x:is>
      </x:c>
      <x:c r="K34" s="5" t="inlineStr">
        <x:is>
          <x:t xml:space="preserve">high</x:t>
        </x:is>
      </x:c>
    </x:row>
    <x:row r="35" ht="22" customHeight="1">
      <x:c r="A35" s="5" t="inlineStr">
        <x:is>
          <x:t xml:space="preserve">V10_tutorial_ui</x:t>
        </x:is>
      </x:c>
      <x:c r="B35" s="5" t="inlineStr">
        <x:is>
          <x:t xml:space="preserve">tutorial</x:t>
        </x:is>
      </x:c>
      <x:c r="C35" s="5" t="inlineStr">
        <x:is>
          <x:t xml:space="preserve">3</x:t>
        </x:is>
      </x:c>
      <x:c r="D35" s="5" t="inlineStr">
        <x:is>
          <x:t xml:space="preserve">00:00:04.000</x:t>
        </x:is>
      </x:c>
      <x:c r="E35" s="5" t="inlineStr">
        <x:is>
          <x:t xml:space="preserve">00:00:06.000</x:t>
        </x:is>
      </x:c>
      <x:c r="F35" s="5" t="inlineStr">
        <x:is>
          <x:t xml:space="preserve">Keep only the alerts that cause action.</x:t>
        </x:is>
      </x:c>
      <x:c r="G35" s="5" t="inlineStr">
        <x:is>
          <x:t xml:space="preserve">Keep action alerts.</x:t>
        </x:is>
      </x:c>
      <x:c r="H35" s="5" t="inlineStr">
        <x:is>
          <x:t xml:space="preserve">action</x:t>
        </x:is>
      </x:c>
      <x:c r="I35" s="5" t="inlineStr">
        <x:is>
          <x:t xml:space="preserve">alerts</x:t>
        </x:is>
      </x:c>
      <x:c r="J35" s="5" t="inlineStr">
        <x:is>
          <x:t xml:space="preserve">right_mid</x:t>
        </x:is>
      </x:c>
      <x:c r="K35" s="5" t="inlineStr">
        <x:is>
          <x:t xml:space="preserve">high</x:t>
        </x:is>
      </x:c>
    </x:row>
    <x:row r="36" ht="22" customHeight="1">
      <x:c r="A36" s="5" t="inlineStr">
        <x:is>
          <x:t xml:space="preserve">V11_story_burnout</x:t>
        </x:is>
      </x:c>
      <x:c r="B36" s="5" t="inlineStr">
        <x:is>
          <x:t xml:space="preserve">story</x:t>
        </x:is>
      </x:c>
      <x:c r="C36" s="5" t="inlineStr">
        <x:is>
          <x:t xml:space="preserve">1</x:t>
        </x:is>
      </x:c>
      <x:c r="D36" s="5" t="inlineStr">
        <x:is>
          <x:t xml:space="preserve">00:00:00.000</x:t>
        </x:is>
      </x:c>
      <x:c r="E36" s="5" t="inlineStr">
        <x:is>
          <x:t xml:space="preserve">00:00:02.000</x:t>
        </x:is>
      </x:c>
      <x:c r="F36" s="5" t="inlineStr">
        <x:is>
          <x:t xml:space="preserve">Burnout often hides inside tiny decisions.</x:t>
        </x:is>
      </x:c>
      <x:c r="G36" s="5" t="inlineStr">
        <x:is>
          <x:t xml:space="preserve">Tiny decisions.</x:t>
        </x:is>
      </x:c>
      <x:c r="H36" s="5" t="inlineStr">
        <x:is>
          <x:t xml:space="preserve">diagnosis</x:t>
        </x:is>
      </x:c>
      <x:c r="I36" s="5" t="inlineStr">
        <x:is>
          <x:t xml:space="preserve">decisions</x:t>
        </x:is>
      </x:c>
      <x:c r="J36" s="5" t="inlineStr">
        <x:is>
          <x:t xml:space="preserve">center_upper</x:t>
        </x:is>
      </x:c>
      <x:c r="K36" s="5" t="inlineStr">
        <x:is>
          <x:t xml:space="preserve">low</x:t>
        </x:is>
      </x:c>
    </x:row>
    <x:row r="37" ht="22" customHeight="1">
      <x:c r="A37" s="5" t="inlineStr">
        <x:is>
          <x:t xml:space="preserve">V11_story_burnout</x:t>
        </x:is>
      </x:c>
      <x:c r="B37" s="5" t="inlineStr">
        <x:is>
          <x:t xml:space="preserve">story</x:t>
        </x:is>
      </x:c>
      <x:c r="C37" s="5" t="inlineStr">
        <x:is>
          <x:t xml:space="preserve">2</x:t>
        </x:is>
      </x:c>
      <x:c r="D37" s="5" t="inlineStr">
        <x:is>
          <x:t xml:space="preserve">00:00:02.000</x:t>
        </x:is>
      </x:c>
      <x:c r="E37" s="5" t="inlineStr">
        <x:is>
          <x:t xml:space="preserve">00:00:04.000</x:t>
        </x:is>
      </x:c>
      <x:c r="F37" s="5" t="inlineStr">
        <x:is>
          <x:t xml:space="preserve">Not one big task, but a hundred unresolved choices.</x:t>
        </x:is>
      </x:c>
      <x:c r="G37" s="5" t="inlineStr">
        <x:is>
          <x:t xml:space="preserve">Not one task.</x:t>
        </x:is>
      </x:c>
      <x:c r="H37" s="5" t="inlineStr">
        <x:is>
          <x:t xml:space="preserve">false_belief</x:t>
        </x:is>
      </x:c>
      <x:c r="I37" s="5" t="inlineStr">
        <x:is>
          <x:t xml:space="preserve">task</x:t>
        </x:is>
      </x:c>
      <x:c r="J37" s="5" t="inlineStr">
        <x:is>
          <x:t xml:space="preserve">center_upper</x:t>
        </x:is>
      </x:c>
      <x:c r="K37" s="5" t="inlineStr">
        <x:is>
          <x:t xml:space="preserve">low</x:t>
        </x:is>
      </x:c>
    </x:row>
    <x:row r="38" ht="22" customHeight="1">
      <x:c r="A38" s="5" t="inlineStr">
        <x:is>
          <x:t xml:space="preserve">V11_story_burnout</x:t>
        </x:is>
      </x:c>
      <x:c r="B38" s="5" t="inlineStr">
        <x:is>
          <x:t xml:space="preserve">story</x:t>
        </x:is>
      </x:c>
      <x:c r="C38" s="5" t="inlineStr">
        <x:is>
          <x:t xml:space="preserve">3</x:t>
        </x:is>
      </x:c>
      <x:c r="D38" s="5" t="inlineStr">
        <x:is>
          <x:t xml:space="preserve">00:00:04.000</x:t>
        </x:is>
      </x:c>
      <x:c r="E38" s="5" t="inlineStr">
        <x:is>
          <x:t xml:space="preserve">00:00:06.000</x:t>
        </x:is>
      </x:c>
      <x:c r="F38" s="5" t="inlineStr">
        <x:is>
          <x:t xml:space="preserve">Reduce the decisions before you reduce the ambition.</x:t>
        </x:is>
      </x:c>
      <x:c r="G38" s="5" t="inlineStr">
        <x:is>
          <x:t xml:space="preserve">Reduce decisions.</x:t>
        </x:is>
      </x:c>
      <x:c r="H38" s="5" t="inlineStr">
        <x:is>
          <x:t xml:space="preserve">action</x:t>
        </x:is>
      </x:c>
      <x:c r="I38" s="5" t="inlineStr">
        <x:is>
          <x:t xml:space="preserve">decisions</x:t>
        </x:is>
      </x:c>
      <x:c r="J38" s="5" t="inlineStr">
        <x:is>
          <x:t xml:space="preserve">center_upper</x:t>
        </x:is>
      </x:c>
      <x:c r="K38" s="5" t="inlineStr">
        <x:is>
          <x:t xml:space="preserve">medium</x:t>
        </x:is>
      </x:c>
    </x:row>
    <x:row r="39" ht="22" customHeight="1">
      <x:c r="A39" s="5" t="inlineStr">
        <x:is>
          <x:t xml:space="preserve">V12_creativity_constraints</x:t>
        </x:is>
      </x:c>
      <x:c r="B39" s="5" t="inlineStr">
        <x:is>
          <x:t xml:space="preserve">creativity</x:t>
        </x:is>
      </x:c>
      <x:c r="C39" s="5" t="inlineStr">
        <x:is>
          <x:t xml:space="preserve">1</x:t>
        </x:is>
      </x:c>
      <x:c r="D39" s="5" t="inlineStr">
        <x:is>
          <x:t xml:space="preserve">00:00:00.000</x:t>
        </x:is>
      </x:c>
      <x:c r="E39" s="5" t="inlineStr">
        <x:is>
          <x:t xml:space="preserve">00:00:02.000</x:t>
        </x:is>
      </x:c>
      <x:c r="F39" s="5" t="inlineStr">
        <x:is>
          <x:t xml:space="preserve">Creativity does not need infinite freedom.</x:t>
        </x:is>
      </x:c>
      <x:c r="G39" s="5" t="inlineStr">
        <x:is>
          <x:t xml:space="preserve">Not freedom.</x:t>
        </x:is>
      </x:c>
      <x:c r="H39" s="5" t="inlineStr">
        <x:is>
          <x:t xml:space="preserve">false_belief</x:t>
        </x:is>
      </x:c>
      <x:c r="I39" s="5" t="inlineStr">
        <x:is>
          <x:t xml:space="preserve">freedom</x:t>
        </x:is>
      </x:c>
      <x:c r="J39" s="5" t="inlineStr">
        <x:is>
          <x:t xml:space="preserve">center_upper</x:t>
        </x:is>
      </x:c>
      <x:c r="K39" s="5" t="inlineStr">
        <x:is>
          <x:t xml:space="preserve">low</x:t>
        </x:is>
      </x:c>
    </x:row>
    <x:row r="40" ht="22" customHeight="1">
      <x:c r="A40" s="5" t="inlineStr">
        <x:is>
          <x:t xml:space="preserve">V12_creativity_constraints</x:t>
        </x:is>
      </x:c>
      <x:c r="B40" s="5" t="inlineStr">
        <x:is>
          <x:t xml:space="preserve">creativity</x:t>
        </x:is>
      </x:c>
      <x:c r="C40" s="5" t="inlineStr">
        <x:is>
          <x:t xml:space="preserve">2</x:t>
        </x:is>
      </x:c>
      <x:c r="D40" s="5" t="inlineStr">
        <x:is>
          <x:t xml:space="preserve">00:00:02.000</x:t>
        </x:is>
      </x:c>
      <x:c r="E40" s="5" t="inlineStr">
        <x:is>
          <x:t xml:space="preserve">00:00:04.000</x:t>
        </x:is>
      </x:c>
      <x:c r="F40" s="5" t="inlineStr">
        <x:is>
          <x:t xml:space="preserve">It needs useful constraints.</x:t>
        </x:is>
      </x:c>
      <x:c r="G40" s="5" t="inlineStr">
        <x:is>
          <x:t xml:space="preserve">Useful constraints.</x:t>
        </x:is>
      </x:c>
      <x:c r="H40" s="5" t="inlineStr">
        <x:is>
          <x:t xml:space="preserve">correction</x:t>
        </x:is>
      </x:c>
      <x:c r="I40" s="5" t="inlineStr">
        <x:is>
          <x:t xml:space="preserve">constraints</x:t>
        </x:is>
      </x:c>
      <x:c r="J40" s="5" t="inlineStr">
        <x:is>
          <x:t xml:space="preserve">center_upper</x:t>
        </x:is>
      </x:c>
      <x:c r="K40" s="5" t="inlineStr">
        <x:is>
          <x:t xml:space="preserve">low</x:t>
        </x:is>
      </x:c>
    </x:row>
    <x:row r="41" ht="22" customHeight="1">
      <x:c r="A41" s="5" t="inlineStr">
        <x:is>
          <x:t xml:space="preserve">V12_creativity_constraints</x:t>
        </x:is>
      </x:c>
      <x:c r="B41" s="5" t="inlineStr">
        <x:is>
          <x:t xml:space="preserve">creativity</x:t>
        </x:is>
      </x:c>
      <x:c r="C41" s="5" t="inlineStr">
        <x:is>
          <x:t xml:space="preserve">3</x:t>
        </x:is>
      </x:c>
      <x:c r="D41" s="5" t="inlineStr">
        <x:is>
          <x:t xml:space="preserve">00:00:04.000</x:t>
        </x:is>
      </x:c>
      <x:c r="E41" s="5" t="inlineStr">
        <x:is>
          <x:t xml:space="preserve">00:00:06.000</x:t>
        </x:is>
      </x:c>
      <x:c r="F41" s="5" t="inlineStr">
        <x:is>
          <x:t xml:space="preserve">Choose a format, set a deadline, and make one version.</x:t>
        </x:is>
      </x:c>
      <x:c r="G41" s="5" t="inlineStr">
        <x:is>
          <x:t xml:space="preserve">Format. Deadline. Version.</x:t>
        </x:is>
      </x:c>
      <x:c r="H41" s="5" t="inlineStr">
        <x:is>
          <x:t xml:space="preserve">action</x:t>
        </x:is>
      </x:c>
      <x:c r="I41" s="5" t="inlineStr">
        <x:is>
          <x:t xml:space="preserve">format;deadline;version</x:t>
        </x:is>
      </x:c>
      <x:c r="J41" s="5" t="inlineStr">
        <x:is>
          <x:t xml:space="preserve">center_upper</x:t>
        </x:is>
      </x:c>
      <x:c r="K41" s="5" t="inlineStr">
        <x:is>
          <x:t xml:space="preserve">medium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3b09fedc5fe843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16" customWidth="1"/>
    <x:col min="3" max="3" width="10" customWidth="1"/>
    <x:col min="4" max="4" width="22" customWidth="1"/>
    <x:col min="5" max="5" width="14" customWidth="1"/>
    <x:col min="6" max="6" width="14" customWidth="1"/>
    <x:col min="7" max="7" width="85" customWidth="1"/>
    <x:col min="8" max="8" width="55" customWidth="1"/>
    <x:col min="9" max="9" width="18" customWidth="1"/>
    <x:col min="10" max="10" width="24" customWidth="1"/>
    <x:col min="11" max="11" width="18" customWidth="1"/>
    <x:col min="12" max="12" width="14" customWidth="1"/>
  </x:cols>
  <x:sheetData>
    <x:row r="1" ht="30" customHeight="1">
      <x:c r="A1" s="1" t="inlineStr">
        <x:is>
          <x:t xml:space="preserve">Overlay Variant Matrix</x:t>
        </x:is>
      </x:c>
      <x:c r="I1" s="2" t="n"/>
      <x:c r="J1" s="2" t="n"/>
      <x:c r="K1" s="2" t="n"/>
      <x:c r="L1" s="2" t="n"/>
    </x:row>
    <x:row r="2" ht="36" customHeight="1">
      <x:c r="A2" s="3" t="inlineStr">
        <x:is>
          <x:t xml:space="preserve">Generated overlay examples for each video/variant. HTML bold tags are intentional and importable into compatible subtitle/editor workflows.</x:t>
        </x:is>
      </x:c>
      <x:c r="I2" s="2" t="n"/>
      <x:c r="J2" s="2" t="n"/>
      <x:c r="K2" s="2" t="n"/>
      <x:c r="L2" s="2" t="n"/>
    </x:row>
    <x:row r="3" ht="22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</x:row>
    <x:row r="4" ht="42" customHeight="1">
      <x:c r="A4" s="4" t="inlineStr">
        <x:is>
          <x:t xml:space="preserve">video_id</x:t>
        </x:is>
      </x:c>
      <x:c r="B4" s="4" t="inlineStr">
        <x:is>
          <x:t xml:space="preserve">category</x:t>
        </x:is>
      </x:c>
      <x:c r="C4" s="4" t="inlineStr">
        <x:is>
          <x:t xml:space="preserve">beat_id</x:t>
        </x:is>
      </x:c>
      <x:c r="D4" s="4" t="inlineStr">
        <x:is>
          <x:t xml:space="preserve">variant</x:t>
        </x:is>
      </x:c>
      <x:c r="E4" s="4" t="inlineStr">
        <x:is>
          <x:t xml:space="preserve">start</x:t>
        </x:is>
      </x:c>
      <x:c r="F4" s="4" t="inlineStr">
        <x:is>
          <x:t xml:space="preserve">end</x:t>
        </x:is>
      </x:c>
      <x:c r="G4" s="4" t="inlineStr">
        <x:is>
          <x:t xml:space="preserve">overlay_text_html</x:t>
        </x:is>
      </x:c>
      <x:c r="H4" s="4" t="inlineStr">
        <x:is>
          <x:t xml:space="preserve">overlay_text_plain</x:t>
        </x:is>
      </x:c>
      <x:c r="I4" s="4" t="inlineStr">
        <x:is>
          <x:t xml:space="preserve">role</x:t>
        </x:is>
      </x:c>
      <x:c r="J4" s="4" t="inlineStr">
        <x:is>
          <x:t xml:space="preserve">keywords</x:t>
        </x:is>
      </x:c>
      <x:c r="K4" s="4" t="inlineStr">
        <x:is>
          <x:t xml:space="preserve">placement_zone</x:t>
        </x:is>
      </x:c>
      <x:c r="L4" s="4" t="inlineStr">
        <x:is>
          <x:t xml:space="preserve">visual_load</x:t>
        </x:is>
      </x:c>
    </x:row>
    <x:row r="5" ht="22" customHeight="1">
      <x:c r="A5" s="5" t="inlineStr">
        <x:is>
          <x:t xml:space="preserve">V01_productivity_friction</x:t>
        </x:is>
      </x:c>
      <x:c r="B5" s="5" t="inlineStr">
        <x:is>
          <x:t xml:space="preserve">productivity</x:t>
        </x:is>
      </x:c>
      <x:c r="C5" s="5" t="inlineStr">
        <x:is>
          <x:t xml:space="preserve">1</x:t>
        </x:is>
      </x:c>
      <x:c r="D5" s="5" t="inlineStr">
        <x:is>
          <x:t xml:space="preserve">bcc</x:t>
        </x:is>
      </x:c>
      <x:c r="E5" s="5" t="inlineStr">
        <x:is>
          <x:t xml:space="preserve">00:00:00.000</x:t>
        </x:is>
      </x:c>
      <x:c r="F5" s="5" t="inlineStr">
        <x:is>
          <x:t xml:space="preserve">00:00:02.000</x:t>
        </x:is>
      </x:c>
      <x:c r="G5" s="5" t="inlineStr">
        <x:is>
          <x:t xml:space="preserve">&lt;b&gt;Not&lt;/b&gt; &lt;b&gt;moti&lt;/b&gt;vation.</x:t>
        </x:is>
      </x:c>
      <x:c r="H5" s="5" t="inlineStr">
        <x:is>
          <x:t xml:space="preserve">Not motivation.</x:t>
        </x:is>
      </x:c>
      <x:c r="I5" s="5" t="inlineStr">
        <x:is>
          <x:t xml:space="preserve">false_belief</x:t>
        </x:is>
      </x:c>
      <x:c r="J5" s="5" t="inlineStr">
        <x:is>
          <x:t xml:space="preserve">motivation</x:t>
        </x:is>
      </x:c>
      <x:c r="K5" s="5" t="inlineStr">
        <x:is>
          <x:t xml:space="preserve">center_upper</x:t>
        </x:is>
      </x:c>
      <x:c r="L5" s="5" t="inlineStr">
        <x:is>
          <x:t xml:space="preserve">low</x:t>
        </x:is>
      </x:c>
    </x:row>
    <x:row r="6" ht="22" customHeight="1">
      <x:c r="A6" s="5" t="inlineStr">
        <x:is>
          <x:t xml:space="preserve">V01_productivity_friction</x:t>
        </x:is>
      </x:c>
      <x:c r="B6" s="5" t="inlineStr">
        <x:is>
          <x:t xml:space="preserve">productivity</x:t>
        </x:is>
      </x:c>
      <x:c r="C6" s="5" t="inlineStr">
        <x:is>
          <x:t xml:space="preserve">2</x:t>
        </x:is>
      </x:c>
      <x:c r="D6" s="5" t="inlineStr">
        <x:is>
          <x:t xml:space="preserve">bcc</x:t>
        </x:is>
      </x:c>
      <x:c r="E6" s="5" t="inlineStr">
        <x:is>
          <x:t xml:space="preserve">00:00:02.000</x:t>
        </x:is>
      </x:c>
      <x:c r="F6" s="5" t="inlineStr">
        <x:is>
          <x:t xml:space="preserve">00:00:04.000</x:t>
        </x:is>
      </x:c>
      <x:c r="G6" s="5" t="inlineStr">
        <x:is>
          <x:t xml:space="preserve">&lt;b&gt;Stru&lt;/b&gt;cture.</x:t>
        </x:is>
      </x:c>
      <x:c r="H6" s="5" t="inlineStr">
        <x:is>
          <x:t xml:space="preserve">Structure.</x:t>
        </x:is>
      </x:c>
      <x:c r="I6" s="5" t="inlineStr">
        <x:is>
          <x:t xml:space="preserve">correction</x:t>
        </x:is>
      </x:c>
      <x:c r="J6" s="5" t="inlineStr">
        <x:is>
          <x:t xml:space="preserve">structure</x:t>
        </x:is>
      </x:c>
      <x:c r="K6" s="5" t="inlineStr">
        <x:is>
          <x:t xml:space="preserve">center_upper</x:t>
        </x:is>
      </x:c>
      <x:c r="L6" s="5" t="inlineStr">
        <x:is>
          <x:t xml:space="preserve">low</x:t>
        </x:is>
      </x:c>
    </x:row>
    <x:row r="7" ht="22" customHeight="1">
      <x:c r="A7" s="5" t="inlineStr">
        <x:is>
          <x:t xml:space="preserve">V01_productivity_friction</x:t>
        </x:is>
      </x:c>
      <x:c r="B7" s="5" t="inlineStr">
        <x:is>
          <x:t xml:space="preserve">productivity</x:t>
        </x:is>
      </x:c>
      <x:c r="C7" s="5" t="inlineStr">
        <x:is>
          <x:t xml:space="preserve">3</x:t>
        </x:is>
      </x:c>
      <x:c r="D7" s="5" t="inlineStr">
        <x:is>
          <x:t xml:space="preserve">bcc</x:t>
        </x:is>
      </x:c>
      <x:c r="E7" s="5" t="inlineStr">
        <x:is>
          <x:t xml:space="preserve">00:00:04.000</x:t>
        </x:is>
      </x:c>
      <x:c r="F7" s="5" t="inlineStr">
        <x:is>
          <x:t xml:space="preserve">00:00:06.000</x:t>
        </x:is>
      </x:c>
      <x:c r="G7" s="5" t="inlineStr">
        <x:is>
          <x:t xml:space="preserve">&lt;b&gt;Reduce&lt;/b&gt; &lt;b&gt;fric&lt;/b&gt;tion.</x:t>
        </x:is>
      </x:c>
      <x:c r="H7" s="5" t="inlineStr">
        <x:is>
          <x:t xml:space="preserve">Reduce friction.</x:t>
        </x:is>
      </x:c>
      <x:c r="I7" s="5" t="inlineStr">
        <x:is>
          <x:t xml:space="preserve">mechanism</x:t>
        </x:is>
      </x:c>
      <x:c r="J7" s="5" t="inlineStr">
        <x:is>
          <x:t xml:space="preserve">friction</x:t>
        </x:is>
      </x:c>
      <x:c r="K7" s="5" t="inlineStr">
        <x:is>
          <x:t xml:space="preserve">left_mid</x:t>
        </x:is>
      </x:c>
      <x:c r="L7" s="5" t="inlineStr">
        <x:is>
          <x:t xml:space="preserve">medium</x:t>
        </x:is>
      </x:c>
    </x:row>
    <x:row r="8" ht="22" customHeight="1">
      <x:c r="A8" s="5" t="inlineStr">
        <x:is>
          <x:t xml:space="preserve">V01_productivity_friction</x:t>
        </x:is>
      </x:c>
      <x:c r="B8" s="5" t="inlineStr">
        <x:is>
          <x:t xml:space="preserve">productivity</x:t>
        </x:is>
      </x:c>
      <x:c r="C8" s="5" t="inlineStr">
        <x:is>
          <x:t xml:space="preserve">4</x:t>
        </x:is>
      </x:c>
      <x:c r="D8" s="5" t="inlineStr">
        <x:is>
          <x:t xml:space="preserve">bcc</x:t>
        </x:is>
      </x:c>
      <x:c r="E8" s="5" t="inlineStr">
        <x:is>
          <x:t xml:space="preserve">00:00:06.000</x:t>
        </x:is>
      </x:c>
      <x:c r="F8" s="5" t="inlineStr">
        <x:is>
          <x:t xml:space="preserve">00:00:08.000</x:t>
        </x:is>
      </x:c>
      <x:c r="G8" s="5" t="inlineStr">
        <x:is>
          <x:t xml:space="preserve">&lt;b&gt;Shrink&lt;/b&gt; the &lt;b&gt;start&lt;/b&gt;.</x:t>
        </x:is>
      </x:c>
      <x:c r="H8" s="5" t="inlineStr">
        <x:is>
          <x:t xml:space="preserve">Shrink the start.</x:t>
        </x:is>
      </x:c>
      <x:c r="I8" s="5" t="inlineStr">
        <x:is>
          <x:t xml:space="preserve">action</x:t>
        </x:is>
      </x:c>
      <x:c r="J8" s="5" t="inlineStr">
        <x:is>
          <x:t xml:space="preserve">start</x:t>
        </x:is>
      </x:c>
      <x:c r="K8" s="5" t="inlineStr">
        <x:is>
          <x:t xml:space="preserve">left_mid</x:t>
        </x:is>
      </x:c>
      <x:c r="L8" s="5" t="inlineStr">
        <x:is>
          <x:t xml:space="preserve">medium</x:t>
        </x:is>
      </x:c>
    </x:row>
    <x:row r="9" ht="22" customHeight="1">
      <x:c r="A9" s="5" t="inlineStr">
        <x:is>
          <x:t xml:space="preserve">V01_productivity_friction</x:t>
        </x:is>
      </x:c>
      <x:c r="B9" s="5" t="inlineStr">
        <x:is>
          <x:t xml:space="preserve">productivity</x:t>
        </x:is>
      </x:c>
      <x:c r="C9" s="5" t="inlineStr">
        <x:is>
          <x:t xml:space="preserve">1</x:t>
        </x:is>
      </x:c>
      <x:c r="D9" s="5" t="inlineStr">
        <x:is>
          <x:t xml:space="preserve">bcc_plus</x:t>
        </x:is>
      </x:c>
      <x:c r="E9" s="5" t="inlineStr">
        <x:is>
          <x:t xml:space="preserve">00:00:00.000</x:t>
        </x:is>
      </x:c>
      <x:c r="F9" s="5" t="inlineStr">
        <x:is>
          <x:t xml:space="preserve">00:00:02.000</x:t>
        </x:is>
      </x:c>
      <x:c r="G9" s="5" t="inlineStr">
        <x:is>
          <x:t xml:space="preserve">&lt;b&gt;Not&lt;/b&gt; &lt;b&gt;moti&lt;/b&gt;vation.</x:t>
        </x:is>
      </x:c>
      <x:c r="H9" s="5" t="inlineStr">
        <x:is>
          <x:t xml:space="preserve">Not motivation.</x:t>
        </x:is>
      </x:c>
      <x:c r="I9" s="5" t="inlineStr">
        <x:is>
          <x:t xml:space="preserve">false_belief</x:t>
        </x:is>
      </x:c>
      <x:c r="J9" s="5" t="inlineStr">
        <x:is>
          <x:t xml:space="preserve">motivation</x:t>
        </x:is>
      </x:c>
      <x:c r="K9" s="5" t="inlineStr">
        <x:is>
          <x:t xml:space="preserve">center_upper</x:t>
        </x:is>
      </x:c>
      <x:c r="L9" s="5" t="inlineStr">
        <x:is>
          <x:t xml:space="preserve">low</x:t>
        </x:is>
      </x:c>
    </x:row>
    <x:row r="10" ht="22" customHeight="1">
      <x:c r="A10" s="5" t="inlineStr">
        <x:is>
          <x:t xml:space="preserve">V01_productivity_friction</x:t>
        </x:is>
      </x:c>
      <x:c r="B10" s="5" t="inlineStr">
        <x:is>
          <x:t xml:space="preserve">productivity</x:t>
        </x:is>
      </x:c>
      <x:c r="C10" s="5" t="inlineStr">
        <x:is>
          <x:t xml:space="preserve">2</x:t>
        </x:is>
      </x:c>
      <x:c r="D10" s="5" t="inlineStr">
        <x:is>
          <x:t xml:space="preserve">bcc_plus</x:t>
        </x:is>
      </x:c>
      <x:c r="E10" s="5" t="inlineStr">
        <x:is>
          <x:t xml:space="preserve">00:00:02.000</x:t>
        </x:is>
      </x:c>
      <x:c r="F10" s="5" t="inlineStr">
        <x:is>
          <x:t xml:space="preserve">00:00:04.000</x:t>
        </x:is>
      </x:c>
      <x:c r="G10" s="5" t="inlineStr">
        <x:is>
          <x:t xml:space="preserve">&lt;b&gt;Stru&lt;/b&gt;cture.</x:t>
        </x:is>
      </x:c>
      <x:c r="H10" s="5" t="inlineStr">
        <x:is>
          <x:t xml:space="preserve">Structure.</x:t>
        </x:is>
      </x:c>
      <x:c r="I10" s="5" t="inlineStr">
        <x:is>
          <x:t xml:space="preserve">correction</x:t>
        </x:is>
      </x:c>
      <x:c r="J10" s="5" t="inlineStr">
        <x:is>
          <x:t xml:space="preserve">structure</x:t>
        </x:is>
      </x:c>
      <x:c r="K10" s="5" t="inlineStr">
        <x:is>
          <x:t xml:space="preserve">center_upper</x:t>
        </x:is>
      </x:c>
      <x:c r="L10" s="5" t="inlineStr">
        <x:is>
          <x:t xml:space="preserve">low</x:t>
        </x:is>
      </x:c>
    </x:row>
    <x:row r="11" ht="22" customHeight="1">
      <x:c r="A11" s="5" t="inlineStr">
        <x:is>
          <x:t xml:space="preserve">V01_productivity_friction</x:t>
        </x:is>
      </x:c>
      <x:c r="B11" s="5" t="inlineStr">
        <x:is>
          <x:t xml:space="preserve">productivity</x:t>
        </x:is>
      </x:c>
      <x:c r="C11" s="5" t="inlineStr">
        <x:is>
          <x:t xml:space="preserve">3</x:t>
        </x:is>
      </x:c>
      <x:c r="D11" s="5" t="inlineStr">
        <x:is>
          <x:t xml:space="preserve">bcc_plus</x:t>
        </x:is>
      </x:c>
      <x:c r="E11" s="5" t="inlineStr">
        <x:is>
          <x:t xml:space="preserve">00:00:04.000</x:t>
        </x:is>
      </x:c>
      <x:c r="F11" s="5" t="inlineStr">
        <x:is>
          <x:t xml:space="preserve">00:00:06.000</x:t>
        </x:is>
      </x:c>
      <x:c r="G11" s="5" t="inlineStr">
        <x:is>
          <x:t xml:space="preserve">&lt;b&gt;Reduce&lt;/b&gt; &lt;b&gt;fric&lt;/b&gt;tion.</x:t>
        </x:is>
      </x:c>
      <x:c r="H11" s="5" t="inlineStr">
        <x:is>
          <x:t xml:space="preserve">Reduce friction.</x:t>
        </x:is>
      </x:c>
      <x:c r="I11" s="5" t="inlineStr">
        <x:is>
          <x:t xml:space="preserve">mechanism</x:t>
        </x:is>
      </x:c>
      <x:c r="J11" s="5" t="inlineStr">
        <x:is>
          <x:t xml:space="preserve">friction</x:t>
        </x:is>
      </x:c>
      <x:c r="K11" s="5" t="inlineStr">
        <x:is>
          <x:t xml:space="preserve">left_mid</x:t>
        </x:is>
      </x:c>
      <x:c r="L11" s="5" t="inlineStr">
        <x:is>
          <x:t xml:space="preserve">medium</x:t>
        </x:is>
      </x:c>
    </x:row>
    <x:row r="12" ht="22" customHeight="1">
      <x:c r="A12" s="5" t="inlineStr">
        <x:is>
          <x:t xml:space="preserve">V01_productivity_friction</x:t>
        </x:is>
      </x:c>
      <x:c r="B12" s="5" t="inlineStr">
        <x:is>
          <x:t xml:space="preserve">productivity</x:t>
        </x:is>
      </x:c>
      <x:c r="C12" s="5" t="inlineStr">
        <x:is>
          <x:t xml:space="preserve">4</x:t>
        </x:is>
      </x:c>
      <x:c r="D12" s="5" t="inlineStr">
        <x:is>
          <x:t xml:space="preserve">bcc_plus</x:t>
        </x:is>
      </x:c>
      <x:c r="E12" s="5" t="inlineStr">
        <x:is>
          <x:t xml:space="preserve">00:00:06.000</x:t>
        </x:is>
      </x:c>
      <x:c r="F12" s="5" t="inlineStr">
        <x:is>
          <x:t xml:space="preserve">00:00:08.000</x:t>
        </x:is>
      </x:c>
      <x:c r="G12" s="5" t="inlineStr">
        <x:is>
          <x:t xml:space="preserve">&lt;b&gt;Shrink&lt;/b&gt; the &lt;b&gt;start&lt;/b&gt;.</x:t>
        </x:is>
      </x:c>
      <x:c r="H12" s="5" t="inlineStr">
        <x:is>
          <x:t xml:space="preserve">Shrink the start.</x:t>
        </x:is>
      </x:c>
      <x:c r="I12" s="5" t="inlineStr">
        <x:is>
          <x:t xml:space="preserve">action</x:t>
        </x:is>
      </x:c>
      <x:c r="J12" s="5" t="inlineStr">
        <x:is>
          <x:t xml:space="preserve">start</x:t>
        </x:is>
      </x:c>
      <x:c r="K12" s="5" t="inlineStr">
        <x:is>
          <x:t xml:space="preserve">left_mid</x:t>
        </x:is>
      </x:c>
      <x:c r="L12" s="5" t="inlineStr">
        <x:is>
          <x:t xml:space="preserve">medium</x:t>
        </x:is>
      </x:c>
    </x:row>
    <x:row r="13" ht="22" customHeight="1">
      <x:c r="A13" s="5" t="inlineStr">
        <x:is>
          <x:t xml:space="preserve">V01_productivity_friction</x:t>
        </x:is>
      </x:c>
      <x:c r="B13" s="5" t="inlineStr">
        <x:is>
          <x:t xml:space="preserve">productivity</x:t>
        </x:is>
      </x:c>
      <x:c r="C13" s="5" t="inlineStr">
        <x:is>
          <x:t xml:space="preserve">1</x:t>
        </x:is>
      </x:c>
      <x:c r="D13" s="5" t="inlineStr">
        <x:is>
          <x:t xml:space="preserve">full_transcript</x:t>
        </x:is>
      </x:c>
      <x:c r="E13" s="5" t="inlineStr">
        <x:is>
          <x:t xml:space="preserve">00:00:00.000</x:t>
        </x:is>
      </x:c>
      <x:c r="F13" s="5" t="inlineStr">
        <x:is>
          <x:t xml:space="preserve">00:00:02.000</x:t>
        </x:is>
      </x:c>
      <x:c r="G13" s="5" t="inlineStr">
        <x:is>
          <x:t xml:space="preserve">Most people do not fail because they lack motivation.</x:t>
        </x:is>
      </x:c>
      <x:c r="H13" s="5" t="inlineStr">
        <x:is>
          <x:t xml:space="preserve">Most people do not fail because they lack motivation.</x:t>
        </x:is>
      </x:c>
      <x:c r="I13" s="5" t="inlineStr">
        <x:is>
          <x:t xml:space="preserve">false_belief</x:t>
        </x:is>
      </x:c>
      <x:c r="J13" s="5" t="inlineStr">
        <x:is>
          <x:t xml:space="preserve">motivation</x:t>
        </x:is>
      </x:c>
      <x:c r="K13" s="5" t="inlineStr">
        <x:is>
          <x:t xml:space="preserve">center_upper</x:t>
        </x:is>
      </x:c>
      <x:c r="L13" s="5" t="inlineStr">
        <x:is>
          <x:t xml:space="preserve">low</x:t>
        </x:is>
      </x:c>
    </x:row>
    <x:row r="14" ht="22" customHeight="1">
      <x:c r="A14" s="5" t="inlineStr">
        <x:is>
          <x:t xml:space="preserve">V01_productivity_friction</x:t>
        </x:is>
      </x:c>
      <x:c r="B14" s="5" t="inlineStr">
        <x:is>
          <x:t xml:space="preserve">productivity</x:t>
        </x:is>
      </x:c>
      <x:c r="C14" s="5" t="inlineStr">
        <x:is>
          <x:t xml:space="preserve">2</x:t>
        </x:is>
      </x:c>
      <x:c r="D14" s="5" t="inlineStr">
        <x:is>
          <x:t xml:space="preserve">full_transcript</x:t>
        </x:is>
      </x:c>
      <x:c r="E14" s="5" t="inlineStr">
        <x:is>
          <x:t xml:space="preserve">00:00:02.000</x:t>
        </x:is>
      </x:c>
      <x:c r="F14" s="5" t="inlineStr">
        <x:is>
          <x:t xml:space="preserve">00:00:04.000</x:t>
        </x:is>
      </x:c>
      <x:c r="G14" s="5" t="inlineStr">
        <x:is>
          <x:t xml:space="preserve">They fail because their day has no structure.</x:t>
        </x:is>
      </x:c>
      <x:c r="H14" s="5" t="inlineStr">
        <x:is>
          <x:t xml:space="preserve">They fail because their day has no structure.</x:t>
        </x:is>
      </x:c>
      <x:c r="I14" s="5" t="inlineStr">
        <x:is>
          <x:t xml:space="preserve">correction</x:t>
        </x:is>
      </x:c>
      <x:c r="J14" s="5" t="inlineStr">
        <x:is>
          <x:t xml:space="preserve">structure</x:t>
        </x:is>
      </x:c>
      <x:c r="K14" s="5" t="inlineStr">
        <x:is>
          <x:t xml:space="preserve">center_upper</x:t>
        </x:is>
      </x:c>
      <x:c r="L14" s="5" t="inlineStr">
        <x:is>
          <x:t xml:space="preserve">low</x:t>
        </x:is>
      </x:c>
    </x:row>
    <x:row r="15" ht="22" customHeight="1">
      <x:c r="A15" s="5" t="inlineStr">
        <x:is>
          <x:t xml:space="preserve">V01_productivity_friction</x:t>
        </x:is>
      </x:c>
      <x:c r="B15" s="5" t="inlineStr">
        <x:is>
          <x:t xml:space="preserve">productivity</x:t>
        </x:is>
      </x:c>
      <x:c r="C15" s="5" t="inlineStr">
        <x:is>
          <x:t xml:space="preserve">3</x:t>
        </x:is>
      </x:c>
      <x:c r="D15" s="5" t="inlineStr">
        <x:is>
          <x:t xml:space="preserve">full_transcript</x:t>
        </x:is>
      </x:c>
      <x:c r="E15" s="5" t="inlineStr">
        <x:is>
          <x:t xml:space="preserve">00:00:04.000</x:t>
        </x:is>
      </x:c>
      <x:c r="F15" s="5" t="inlineStr">
        <x:is>
          <x:t xml:space="preserve">00:00:06.000</x:t>
        </x:is>
      </x:c>
      <x:c r="G15" s="5" t="inlineStr">
        <x:is>
          <x:t xml:space="preserve">If you want to change the habit, reduce the friction around the first step.</x:t>
        </x:is>
      </x:c>
      <x:c r="H15" s="5" t="inlineStr">
        <x:is>
          <x:t xml:space="preserve">If you want to change the habit, reduce the friction around the first step.</x:t>
        </x:is>
      </x:c>
      <x:c r="I15" s="5" t="inlineStr">
        <x:is>
          <x:t xml:space="preserve">mechanism</x:t>
        </x:is>
      </x:c>
      <x:c r="J15" s="5" t="inlineStr">
        <x:is>
          <x:t xml:space="preserve">friction</x:t>
        </x:is>
      </x:c>
      <x:c r="K15" s="5" t="inlineStr">
        <x:is>
          <x:t xml:space="preserve">left_mid</x:t>
        </x:is>
      </x:c>
      <x:c r="L15" s="5" t="inlineStr">
        <x:is>
          <x:t xml:space="preserve">medium</x:t>
        </x:is>
      </x:c>
    </x:row>
    <x:row r="16" ht="22" customHeight="1">
      <x:c r="A16" s="5" t="inlineStr">
        <x:is>
          <x:t xml:space="preserve">V01_productivity_friction</x:t>
        </x:is>
      </x:c>
      <x:c r="B16" s="5" t="inlineStr">
        <x:is>
          <x:t xml:space="preserve">productivity</x:t>
        </x:is>
      </x:c>
      <x:c r="C16" s="5" t="inlineStr">
        <x:is>
          <x:t xml:space="preserve">4</x:t>
        </x:is>
      </x:c>
      <x:c r="D16" s="5" t="inlineStr">
        <x:is>
          <x:t xml:space="preserve">full_transcript</x:t>
        </x:is>
      </x:c>
      <x:c r="E16" s="5" t="inlineStr">
        <x:is>
          <x:t xml:space="preserve">00:00:06.000</x:t>
        </x:is>
      </x:c>
      <x:c r="F16" s="5" t="inlineStr">
        <x:is>
          <x:t xml:space="preserve">00:00:08.000</x:t>
        </x:is>
      </x:c>
      <x:c r="G16" s="5" t="inlineStr">
        <x:is>
          <x:t xml:space="preserve">Make the first step smaller than your resistance.</x:t>
        </x:is>
      </x:c>
      <x:c r="H16" s="5" t="inlineStr">
        <x:is>
          <x:t xml:space="preserve">Make the first step smaller than your resistance.</x:t>
        </x:is>
      </x:c>
      <x:c r="I16" s="5" t="inlineStr">
        <x:is>
          <x:t xml:space="preserve">action</x:t>
        </x:is>
      </x:c>
      <x:c r="J16" s="5" t="inlineStr">
        <x:is>
          <x:t xml:space="preserve">start</x:t>
        </x:is>
      </x:c>
      <x:c r="K16" s="5" t="inlineStr">
        <x:is>
          <x:t xml:space="preserve">left_mid</x:t>
        </x:is>
      </x:c>
      <x:c r="L16" s="5" t="inlineStr">
        <x:is>
          <x:t xml:space="preserve">medium</x:t>
        </x:is>
      </x:c>
    </x:row>
    <x:row r="17" ht="36" customHeight="1">
      <x:c r="A17" s="5" t="inlineStr">
        <x:is>
          <x:t xml:space="preserve">V01_productivity_friction</x:t>
        </x:is>
      </x:c>
      <x:c r="B17" s="5" t="inlineStr">
        <x:is>
          <x:t xml:space="preserve">productivity</x:t>
        </x:is>
      </x:c>
      <x:c r="C17" s="5" t="inlineStr">
        <x:is>
          <x:t xml:space="preserve">1</x:t>
        </x:is>
      </x:c>
      <x:c r="D17" s="5" t="inlineStr">
        <x:is>
          <x:t xml:space="preserve">heavy_bionic</x:t>
        </x:is>
      </x:c>
      <x:c r="E17" s="5" t="inlineStr">
        <x:is>
          <x:t xml:space="preserve">00:00:00.000</x:t>
        </x:is>
      </x:c>
      <x:c r="F17" s="5" t="inlineStr">
        <x:is>
          <x:t xml:space="preserve">00:00:02.000</x:t>
        </x:is>
      </x:c>
      <x:c r="G17" s="5" t="inlineStr">
        <x:is>
          <x:t xml:space="preserve">&lt;b&gt;Most&lt;/b&gt; &lt;b&gt;peo&lt;/b&gt;ple do &lt;b&gt;not&lt;/b&gt; &lt;b&gt;fail&lt;/b&gt; &lt;b&gt;because&lt;/b&gt; they &lt;b&gt;lack&lt;/b&gt; &lt;b&gt;moti&lt;/b&gt;vation.</x:t>
        </x:is>
      </x:c>
      <x:c r="H17" s="5" t="inlineStr">
        <x:is>
          <x:t xml:space="preserve">Most people do not fail because they lack motivation.</x:t>
        </x:is>
      </x:c>
      <x:c r="I17" s="5" t="inlineStr">
        <x:is>
          <x:t xml:space="preserve">false_belief</x:t>
        </x:is>
      </x:c>
      <x:c r="J17" s="5" t="inlineStr">
        <x:is>
          <x:t xml:space="preserve">motivation</x:t>
        </x:is>
      </x:c>
      <x:c r="K17" s="5" t="inlineStr">
        <x:is>
          <x:t xml:space="preserve">center_upper</x:t>
        </x:is>
      </x:c>
      <x:c r="L17" s="5" t="inlineStr">
        <x:is>
          <x:t xml:space="preserve">low</x:t>
        </x:is>
      </x:c>
    </x:row>
    <x:row r="18" ht="36" customHeight="1">
      <x:c r="A18" s="5" t="inlineStr">
        <x:is>
          <x:t xml:space="preserve">V01_productivity_friction</x:t>
        </x:is>
      </x:c>
      <x:c r="B18" s="5" t="inlineStr">
        <x:is>
          <x:t xml:space="preserve">productivity</x:t>
        </x:is>
      </x:c>
      <x:c r="C18" s="5" t="inlineStr">
        <x:is>
          <x:t xml:space="preserve">2</x:t>
        </x:is>
      </x:c>
      <x:c r="D18" s="5" t="inlineStr">
        <x:is>
          <x:t xml:space="preserve">heavy_bionic</x:t>
        </x:is>
      </x:c>
      <x:c r="E18" s="5" t="inlineStr">
        <x:is>
          <x:t xml:space="preserve">00:00:02.000</x:t>
        </x:is>
      </x:c>
      <x:c r="F18" s="5" t="inlineStr">
        <x:is>
          <x:t xml:space="preserve">00:00:04.000</x:t>
        </x:is>
      </x:c>
      <x:c r="G18" s="5" t="inlineStr">
        <x:is>
          <x:t xml:space="preserve">They &lt;b&gt;fail&lt;/b&gt; &lt;b&gt;because&lt;/b&gt; &lt;b&gt;the&lt;/b&gt;ir day has &lt;b&gt;no&lt;/b&gt; &lt;b&gt;stru&lt;/b&gt;cture.</x:t>
        </x:is>
      </x:c>
      <x:c r="H18" s="5" t="inlineStr">
        <x:is>
          <x:t xml:space="preserve">They fail because their day has no structure.</x:t>
        </x:is>
      </x:c>
      <x:c r="I18" s="5" t="inlineStr">
        <x:is>
          <x:t xml:space="preserve">correction</x:t>
        </x:is>
      </x:c>
      <x:c r="J18" s="5" t="inlineStr">
        <x:is>
          <x:t xml:space="preserve">structure</x:t>
        </x:is>
      </x:c>
      <x:c r="K18" s="5" t="inlineStr">
        <x:is>
          <x:t xml:space="preserve">center_upper</x:t>
        </x:is>
      </x:c>
      <x:c r="L18" s="5" t="inlineStr">
        <x:is>
          <x:t xml:space="preserve">low</x:t>
        </x:is>
      </x:c>
    </x:row>
    <x:row r="19" ht="36" customHeight="1">
      <x:c r="A19" s="5" t="inlineStr">
        <x:is>
          <x:t xml:space="preserve">V01_productivity_friction</x:t>
        </x:is>
      </x:c>
      <x:c r="B19" s="5" t="inlineStr">
        <x:is>
          <x:t xml:space="preserve">productivity</x:t>
        </x:is>
      </x:c>
      <x:c r="C19" s="5" t="inlineStr">
        <x:is>
          <x:t xml:space="preserve">3</x:t>
        </x:is>
      </x:c>
      <x:c r="D19" s="5" t="inlineStr">
        <x:is>
          <x:t xml:space="preserve">heavy_bionic</x:t>
        </x:is>
      </x:c>
      <x:c r="E19" s="5" t="inlineStr">
        <x:is>
          <x:t xml:space="preserve">00:00:04.000</x:t>
        </x:is>
      </x:c>
      <x:c r="F19" s="5" t="inlineStr">
        <x:is>
          <x:t xml:space="preserve">00:00:06.000</x:t>
        </x:is>
      </x:c>
      <x:c r="G19" s="5" t="inlineStr">
        <x:is>
          <x:t xml:space="preserve">If you &lt;b&gt;want&lt;/b&gt; to &lt;b&gt;cha&lt;/b&gt;nge the &lt;b&gt;hab&lt;/b&gt;it, &lt;b&gt;reduce&lt;/b&gt; the &lt;b&gt;fric&lt;/b&gt;tion around the &lt;b&gt;first&lt;/b&gt; &lt;b&gt;step&lt;/b&gt;.</x:t>
        </x:is>
      </x:c>
      <x:c r="H19" s="5" t="inlineStr">
        <x:is>
          <x:t xml:space="preserve">If you want to change the habit, reduce the friction around the first step.</x:t>
        </x:is>
      </x:c>
      <x:c r="I19" s="5" t="inlineStr">
        <x:is>
          <x:t xml:space="preserve">mechanism</x:t>
        </x:is>
      </x:c>
      <x:c r="J19" s="5" t="inlineStr">
        <x:is>
          <x:t xml:space="preserve">friction</x:t>
        </x:is>
      </x:c>
      <x:c r="K19" s="5" t="inlineStr">
        <x:is>
          <x:t xml:space="preserve">left_mid</x:t>
        </x:is>
      </x:c>
      <x:c r="L19" s="5" t="inlineStr">
        <x:is>
          <x:t xml:space="preserve">medium</x:t>
        </x:is>
      </x:c>
    </x:row>
    <x:row r="20" ht="36" customHeight="1">
      <x:c r="A20" s="5" t="inlineStr">
        <x:is>
          <x:t xml:space="preserve">V01_productivity_friction</x:t>
        </x:is>
      </x:c>
      <x:c r="B20" s="5" t="inlineStr">
        <x:is>
          <x:t xml:space="preserve">productivity</x:t>
        </x:is>
      </x:c>
      <x:c r="C20" s="5" t="inlineStr">
        <x:is>
          <x:t xml:space="preserve">4</x:t>
        </x:is>
      </x:c>
      <x:c r="D20" s="5" t="inlineStr">
        <x:is>
          <x:t xml:space="preserve">heavy_bionic</x:t>
        </x:is>
      </x:c>
      <x:c r="E20" s="5" t="inlineStr">
        <x:is>
          <x:t xml:space="preserve">00:00:06.000</x:t>
        </x:is>
      </x:c>
      <x:c r="F20" s="5" t="inlineStr">
        <x:is>
          <x:t xml:space="preserve">00:00:08.000</x:t>
        </x:is>
      </x:c>
      <x:c r="G20" s="5" t="inlineStr">
        <x:is>
          <x:t xml:space="preserve">&lt;b&gt;Make&lt;/b&gt; the &lt;b&gt;first&lt;/b&gt; &lt;b&gt;step&lt;/b&gt; &lt;b&gt;sma&lt;/b&gt;ller than your &lt;b&gt;resi&lt;/b&gt;stance.</x:t>
        </x:is>
      </x:c>
      <x:c r="H20" s="5" t="inlineStr">
        <x:is>
          <x:t xml:space="preserve">Make the first step smaller than your resistance.</x:t>
        </x:is>
      </x:c>
      <x:c r="I20" s="5" t="inlineStr">
        <x:is>
          <x:t xml:space="preserve">action</x:t>
        </x:is>
      </x:c>
      <x:c r="J20" s="5" t="inlineStr">
        <x:is>
          <x:t xml:space="preserve">start</x:t>
        </x:is>
      </x:c>
      <x:c r="K20" s="5" t="inlineStr">
        <x:is>
          <x:t xml:space="preserve">left_mid</x:t>
        </x:is>
      </x:c>
      <x:c r="L20" s="5" t="inlineStr">
        <x:is>
          <x:t xml:space="preserve">medium</x:t>
        </x:is>
      </x:c>
    </x:row>
    <x:row r="21" ht="22" customHeight="1">
      <x:c r="A21" s="5" t="inlineStr">
        <x:is>
          <x:t xml:space="preserve">V01_productivity_friction</x:t>
        </x:is>
      </x:c>
      <x:c r="B21" s="5" t="inlineStr">
        <x:is>
          <x:t xml:space="preserve">productivity</x:t>
        </x:is>
      </x:c>
      <x:c r="C21" s="5" t="inlineStr">
        <x:is>
          <x:t xml:space="preserve">1</x:t>
        </x:is>
      </x:c>
      <x:c r="D21" s="5" t="inlineStr">
        <x:is>
          <x:t xml:space="preserve">keyword_highlight</x:t>
        </x:is>
      </x:c>
      <x:c r="E21" s="5" t="inlineStr">
        <x:is>
          <x:t xml:space="preserve">00:00:00.000</x:t>
        </x:is>
      </x:c>
      <x:c r="F21" s="5" t="inlineStr">
        <x:is>
          <x:t xml:space="preserve">00:00:02.000</x:t>
        </x:is>
      </x:c>
      <x:c r="G21" s="5" t="inlineStr">
        <x:is>
          <x:t xml:space="preserve">Most people do not fail because they lack &lt;b&gt;motivation&lt;/b&gt;.</x:t>
        </x:is>
      </x:c>
      <x:c r="H21" s="5" t="inlineStr">
        <x:is>
          <x:t xml:space="preserve">Most people do not fail because they lack motivation.</x:t>
        </x:is>
      </x:c>
      <x:c r="I21" s="5" t="inlineStr">
        <x:is>
          <x:t xml:space="preserve">false_belief</x:t>
        </x:is>
      </x:c>
      <x:c r="J21" s="5" t="inlineStr">
        <x:is>
          <x:t xml:space="preserve">motivation</x:t>
        </x:is>
      </x:c>
      <x:c r="K21" s="5" t="inlineStr">
        <x:is>
          <x:t xml:space="preserve">center_upper</x:t>
        </x:is>
      </x:c>
      <x:c r="L21" s="5" t="inlineStr">
        <x:is>
          <x:t xml:space="preserve">low</x:t>
        </x:is>
      </x:c>
    </x:row>
    <x:row r="22" ht="22" customHeight="1">
      <x:c r="A22" s="5" t="inlineStr">
        <x:is>
          <x:t xml:space="preserve">V01_productivity_friction</x:t>
        </x:is>
      </x:c>
      <x:c r="B22" s="5" t="inlineStr">
        <x:is>
          <x:t xml:space="preserve">productivity</x:t>
        </x:is>
      </x:c>
      <x:c r="C22" s="5" t="inlineStr">
        <x:is>
          <x:t xml:space="preserve">2</x:t>
        </x:is>
      </x:c>
      <x:c r="D22" s="5" t="inlineStr">
        <x:is>
          <x:t xml:space="preserve">keyword_highlight</x:t>
        </x:is>
      </x:c>
      <x:c r="E22" s="5" t="inlineStr">
        <x:is>
          <x:t xml:space="preserve">00:00:02.000</x:t>
        </x:is>
      </x:c>
      <x:c r="F22" s="5" t="inlineStr">
        <x:is>
          <x:t xml:space="preserve">00:00:04.000</x:t>
        </x:is>
      </x:c>
      <x:c r="G22" s="5" t="inlineStr">
        <x:is>
          <x:t xml:space="preserve">They fail because their day has no &lt;b&gt;structure&lt;/b&gt;.</x:t>
        </x:is>
      </x:c>
      <x:c r="H22" s="5" t="inlineStr">
        <x:is>
          <x:t xml:space="preserve">They fail because their day has no structure.</x:t>
        </x:is>
      </x:c>
      <x:c r="I22" s="5" t="inlineStr">
        <x:is>
          <x:t xml:space="preserve">correction</x:t>
        </x:is>
      </x:c>
      <x:c r="J22" s="5" t="inlineStr">
        <x:is>
          <x:t xml:space="preserve">structure</x:t>
        </x:is>
      </x:c>
      <x:c r="K22" s="5" t="inlineStr">
        <x:is>
          <x:t xml:space="preserve">center_upper</x:t>
        </x:is>
      </x:c>
      <x:c r="L22" s="5" t="inlineStr">
        <x:is>
          <x:t xml:space="preserve">low</x:t>
        </x:is>
      </x:c>
    </x:row>
    <x:row r="23" ht="36" customHeight="1">
      <x:c r="A23" s="5" t="inlineStr">
        <x:is>
          <x:t xml:space="preserve">V01_productivity_friction</x:t>
        </x:is>
      </x:c>
      <x:c r="B23" s="5" t="inlineStr">
        <x:is>
          <x:t xml:space="preserve">productivity</x:t>
        </x:is>
      </x:c>
      <x:c r="C23" s="5" t="inlineStr">
        <x:is>
          <x:t xml:space="preserve">3</x:t>
        </x:is>
      </x:c>
      <x:c r="D23" s="5" t="inlineStr">
        <x:is>
          <x:t xml:space="preserve">keyword_highlight</x:t>
        </x:is>
      </x:c>
      <x:c r="E23" s="5" t="inlineStr">
        <x:is>
          <x:t xml:space="preserve">00:00:04.000</x:t>
        </x:is>
      </x:c>
      <x:c r="F23" s="5" t="inlineStr">
        <x:is>
          <x:t xml:space="preserve">00:00:06.000</x:t>
        </x:is>
      </x:c>
      <x:c r="G23" s="5" t="inlineStr">
        <x:is>
          <x:t xml:space="preserve">If you want to change the habit, reduce the &lt;b&gt;friction&lt;/b&gt; around the first step.</x:t>
        </x:is>
      </x:c>
      <x:c r="H23" s="5" t="inlineStr">
        <x:is>
          <x:t xml:space="preserve">If you want to change the habit, reduce the friction around the first step.</x:t>
        </x:is>
      </x:c>
      <x:c r="I23" s="5" t="inlineStr">
        <x:is>
          <x:t xml:space="preserve">mechanism</x:t>
        </x:is>
      </x:c>
      <x:c r="J23" s="5" t="inlineStr">
        <x:is>
          <x:t xml:space="preserve">friction</x:t>
        </x:is>
      </x:c>
      <x:c r="K23" s="5" t="inlineStr">
        <x:is>
          <x:t xml:space="preserve">left_mid</x:t>
        </x:is>
      </x:c>
      <x:c r="L23" s="5" t="inlineStr">
        <x:is>
          <x:t xml:space="preserve">medium</x:t>
        </x:is>
      </x:c>
    </x:row>
    <x:row r="24" ht="22" customHeight="1">
      <x:c r="A24" s="5" t="inlineStr">
        <x:is>
          <x:t xml:space="preserve">V01_productivity_friction</x:t>
        </x:is>
      </x:c>
      <x:c r="B24" s="5" t="inlineStr">
        <x:is>
          <x:t xml:space="preserve">productivity</x:t>
        </x:is>
      </x:c>
      <x:c r="C24" s="5" t="inlineStr">
        <x:is>
          <x:t xml:space="preserve">4</x:t>
        </x:is>
      </x:c>
      <x:c r="D24" s="5" t="inlineStr">
        <x:is>
          <x:t xml:space="preserve">keyword_highlight</x:t>
        </x:is>
      </x:c>
      <x:c r="E24" s="5" t="inlineStr">
        <x:is>
          <x:t xml:space="preserve">00:00:06.000</x:t>
        </x:is>
      </x:c>
      <x:c r="F24" s="5" t="inlineStr">
        <x:is>
          <x:t xml:space="preserve">00:00:08.000</x:t>
        </x:is>
      </x:c>
      <x:c r="G24" s="5" t="inlineStr">
        <x:is>
          <x:t xml:space="preserve">Make the first step smaller than your resistance.</x:t>
        </x:is>
      </x:c>
      <x:c r="H24" s="5" t="inlineStr">
        <x:is>
          <x:t xml:space="preserve">Make the first step smaller than your resistance.</x:t>
        </x:is>
      </x:c>
      <x:c r="I24" s="5" t="inlineStr">
        <x:is>
          <x:t xml:space="preserve">action</x:t>
        </x:is>
      </x:c>
      <x:c r="J24" s="5" t="inlineStr">
        <x:is>
          <x:t xml:space="preserve">start</x:t>
        </x:is>
      </x:c>
      <x:c r="K24" s="5" t="inlineStr">
        <x:is>
          <x:t xml:space="preserve">left_mid</x:t>
        </x:is>
      </x:c>
      <x:c r="L24" s="5" t="inlineStr">
        <x:is>
          <x:t xml:space="preserve">medium</x:t>
        </x:is>
      </x:c>
    </x:row>
    <x:row r="25" ht="22" customHeight="1">
      <x:c r="A25" s="5" t="inlineStr">
        <x:is>
          <x:t xml:space="preserve">V01_productivity_friction</x:t>
        </x:is>
      </x:c>
      <x:c r="B25" s="5" t="inlineStr">
        <x:is>
          <x:t xml:space="preserve">productivity</x:t>
        </x:is>
      </x:c>
      <x:c r="C25" s="5" t="inlineStr">
        <x:is>
          <x:t xml:space="preserve">1</x:t>
        </x:is>
      </x:c>
      <x:c r="D25" s="5" t="inlineStr">
        <x:is>
          <x:t xml:space="preserve">semantic_compression</x:t>
        </x:is>
      </x:c>
      <x:c r="E25" s="5" t="inlineStr">
        <x:is>
          <x:t xml:space="preserve">00:00:00.000</x:t>
        </x:is>
      </x:c>
      <x:c r="F25" s="5" t="inlineStr">
        <x:is>
          <x:t xml:space="preserve">00:00:02.000</x:t>
        </x:is>
      </x:c>
      <x:c r="G25" s="5" t="inlineStr">
        <x:is>
          <x:t xml:space="preserve">Not motivation.</x:t>
        </x:is>
      </x:c>
      <x:c r="H25" s="5" t="inlineStr">
        <x:is>
          <x:t xml:space="preserve">Not motivation.</x:t>
        </x:is>
      </x:c>
      <x:c r="I25" s="5" t="inlineStr">
        <x:is>
          <x:t xml:space="preserve">false_belief</x:t>
        </x:is>
      </x:c>
      <x:c r="J25" s="5" t="inlineStr">
        <x:is>
          <x:t xml:space="preserve">motivation</x:t>
        </x:is>
      </x:c>
      <x:c r="K25" s="5" t="inlineStr">
        <x:is>
          <x:t xml:space="preserve">center_upper</x:t>
        </x:is>
      </x:c>
      <x:c r="L25" s="5" t="inlineStr">
        <x:is>
          <x:t xml:space="preserve">low</x:t>
        </x:is>
      </x:c>
    </x:row>
    <x:row r="26" ht="22" customHeight="1">
      <x:c r="A26" s="5" t="inlineStr">
        <x:is>
          <x:t xml:space="preserve">V01_productivity_friction</x:t>
        </x:is>
      </x:c>
      <x:c r="B26" s="5" t="inlineStr">
        <x:is>
          <x:t xml:space="preserve">productivity</x:t>
        </x:is>
      </x:c>
      <x:c r="C26" s="5" t="inlineStr">
        <x:is>
          <x:t xml:space="preserve">2</x:t>
        </x:is>
      </x:c>
      <x:c r="D26" s="5" t="inlineStr">
        <x:is>
          <x:t xml:space="preserve">semantic_compression</x:t>
        </x:is>
      </x:c>
      <x:c r="E26" s="5" t="inlineStr">
        <x:is>
          <x:t xml:space="preserve">00:00:02.000</x:t>
        </x:is>
      </x:c>
      <x:c r="F26" s="5" t="inlineStr">
        <x:is>
          <x:t xml:space="preserve">00:00:04.000</x:t>
        </x:is>
      </x:c>
      <x:c r="G26" s="5" t="inlineStr">
        <x:is>
          <x:t xml:space="preserve">Structure.</x:t>
        </x:is>
      </x:c>
      <x:c r="H26" s="5" t="inlineStr">
        <x:is>
          <x:t xml:space="preserve">Structure.</x:t>
        </x:is>
      </x:c>
      <x:c r="I26" s="5" t="inlineStr">
        <x:is>
          <x:t xml:space="preserve">correction</x:t>
        </x:is>
      </x:c>
      <x:c r="J26" s="5" t="inlineStr">
        <x:is>
          <x:t xml:space="preserve">structure</x:t>
        </x:is>
      </x:c>
      <x:c r="K26" s="5" t="inlineStr">
        <x:is>
          <x:t xml:space="preserve">center_upper</x:t>
        </x:is>
      </x:c>
      <x:c r="L26" s="5" t="inlineStr">
        <x:is>
          <x:t xml:space="preserve">low</x:t>
        </x:is>
      </x:c>
    </x:row>
    <x:row r="27" ht="22" customHeight="1">
      <x:c r="A27" s="5" t="inlineStr">
        <x:is>
          <x:t xml:space="preserve">V01_productivity_friction</x:t>
        </x:is>
      </x:c>
      <x:c r="B27" s="5" t="inlineStr">
        <x:is>
          <x:t xml:space="preserve">productivity</x:t>
        </x:is>
      </x:c>
      <x:c r="C27" s="5" t="inlineStr">
        <x:is>
          <x:t xml:space="preserve">3</x:t>
        </x:is>
      </x:c>
      <x:c r="D27" s="5" t="inlineStr">
        <x:is>
          <x:t xml:space="preserve">semantic_compression</x:t>
        </x:is>
      </x:c>
      <x:c r="E27" s="5" t="inlineStr">
        <x:is>
          <x:t xml:space="preserve">00:00:04.000</x:t>
        </x:is>
      </x:c>
      <x:c r="F27" s="5" t="inlineStr">
        <x:is>
          <x:t xml:space="preserve">00:00:06.000</x:t>
        </x:is>
      </x:c>
      <x:c r="G27" s="5" t="inlineStr">
        <x:is>
          <x:t xml:space="preserve">Reduce friction.</x:t>
        </x:is>
      </x:c>
      <x:c r="H27" s="5" t="inlineStr">
        <x:is>
          <x:t xml:space="preserve">Reduce friction.</x:t>
        </x:is>
      </x:c>
      <x:c r="I27" s="5" t="inlineStr">
        <x:is>
          <x:t xml:space="preserve">mechanism</x:t>
        </x:is>
      </x:c>
      <x:c r="J27" s="5" t="inlineStr">
        <x:is>
          <x:t xml:space="preserve">friction</x:t>
        </x:is>
      </x:c>
      <x:c r="K27" s="5" t="inlineStr">
        <x:is>
          <x:t xml:space="preserve">left_mid</x:t>
        </x:is>
      </x:c>
      <x:c r="L27" s="5" t="inlineStr">
        <x:is>
          <x:t xml:space="preserve">medium</x:t>
        </x:is>
      </x:c>
    </x:row>
    <x:row r="28" ht="22" customHeight="1">
      <x:c r="A28" s="5" t="inlineStr">
        <x:is>
          <x:t xml:space="preserve">V01_productivity_friction</x:t>
        </x:is>
      </x:c>
      <x:c r="B28" s="5" t="inlineStr">
        <x:is>
          <x:t xml:space="preserve">productivity</x:t>
        </x:is>
      </x:c>
      <x:c r="C28" s="5" t="inlineStr">
        <x:is>
          <x:t xml:space="preserve">4</x:t>
        </x:is>
      </x:c>
      <x:c r="D28" s="5" t="inlineStr">
        <x:is>
          <x:t xml:space="preserve">semantic_compression</x:t>
        </x:is>
      </x:c>
      <x:c r="E28" s="5" t="inlineStr">
        <x:is>
          <x:t xml:space="preserve">00:00:06.000</x:t>
        </x:is>
      </x:c>
      <x:c r="F28" s="5" t="inlineStr">
        <x:is>
          <x:t xml:space="preserve">00:00:08.000</x:t>
        </x:is>
      </x:c>
      <x:c r="G28" s="5" t="inlineStr">
        <x:is>
          <x:t xml:space="preserve">Shrink the start.</x:t>
        </x:is>
      </x:c>
      <x:c r="H28" s="5" t="inlineStr">
        <x:is>
          <x:t xml:space="preserve">Shrink the start.</x:t>
        </x:is>
      </x:c>
      <x:c r="I28" s="5" t="inlineStr">
        <x:is>
          <x:t xml:space="preserve">action</x:t>
        </x:is>
      </x:c>
      <x:c r="J28" s="5" t="inlineStr">
        <x:is>
          <x:t xml:space="preserve">start</x:t>
        </x:is>
      </x:c>
      <x:c r="K28" s="5" t="inlineStr">
        <x:is>
          <x:t xml:space="preserve">left_mid</x:t>
        </x:is>
      </x:c>
      <x:c r="L28" s="5" t="inlineStr">
        <x:is>
          <x:t xml:space="preserve">medium</x:t>
        </x:is>
      </x:c>
    </x:row>
    <x:row r="29" ht="22" customHeight="1">
      <x:c r="A29" s="5" t="inlineStr">
        <x:is>
          <x:t xml:space="preserve">V02_study_recall</x:t>
        </x:is>
      </x:c>
      <x:c r="B29" s="5" t="inlineStr">
        <x:is>
          <x:t xml:space="preserve">study</x:t>
        </x:is>
      </x:c>
      <x:c r="C29" s="5" t="inlineStr">
        <x:is>
          <x:t xml:space="preserve">1</x:t>
        </x:is>
      </x:c>
      <x:c r="D29" s="5" t="inlineStr">
        <x:is>
          <x:t xml:space="preserve">bcc</x:t>
        </x:is>
      </x:c>
      <x:c r="E29" s="5" t="inlineStr">
        <x:is>
          <x:t xml:space="preserve">00:00:00.000</x:t>
        </x:is>
      </x:c>
      <x:c r="F29" s="5" t="inlineStr">
        <x:is>
          <x:t xml:space="preserve">00:00:02.000</x:t>
        </x:is>
      </x:c>
      <x:c r="G29" s="5" t="inlineStr">
        <x:is>
          <x:t xml:space="preserve">&lt;b&gt;Rere&lt;/b&gt;ading feels safe.</x:t>
        </x:is>
      </x:c>
      <x:c r="H29" s="5" t="inlineStr">
        <x:is>
          <x:t xml:space="preserve">Rereading feels safe.</x:t>
        </x:is>
      </x:c>
      <x:c r="I29" s="5" t="inlineStr">
        <x:is>
          <x:t xml:space="preserve">false_belief</x:t>
        </x:is>
      </x:c>
      <x:c r="J29" s="5" t="inlineStr">
        <x:is>
          <x:t xml:space="preserve">rereading</x:t>
        </x:is>
      </x:c>
      <x:c r="K29" s="5" t="inlineStr">
        <x:is>
          <x:t xml:space="preserve">center_upper</x:t>
        </x:is>
      </x:c>
      <x:c r="L29" s="5" t="inlineStr">
        <x:is>
          <x:t xml:space="preserve">low</x:t>
        </x:is>
      </x:c>
    </x:row>
    <x:row r="30" ht="22" customHeight="1">
      <x:c r="A30" s="5" t="inlineStr">
        <x:is>
          <x:t xml:space="preserve">V02_study_recall</x:t>
        </x:is>
      </x:c>
      <x:c r="B30" s="5" t="inlineStr">
        <x:is>
          <x:t xml:space="preserve">study</x:t>
        </x:is>
      </x:c>
      <x:c r="C30" s="5" t="inlineStr">
        <x:is>
          <x:t xml:space="preserve">2</x:t>
        </x:is>
      </x:c>
      <x:c r="D30" s="5" t="inlineStr">
        <x:is>
          <x:t xml:space="preserve">bcc</x:t>
        </x:is>
      </x:c>
      <x:c r="E30" s="5" t="inlineStr">
        <x:is>
          <x:t xml:space="preserve">00:00:02.000</x:t>
        </x:is>
      </x:c>
      <x:c r="F30" s="5" t="inlineStr">
        <x:is>
          <x:t xml:space="preserve">00:00:04.000</x:t>
        </x:is>
      </x:c>
      <x:c r="G30" s="5" t="inlineStr">
        <x:is>
          <x:t xml:space="preserve">&lt;b&gt;Rec&lt;/b&gt;all proves it.</x:t>
        </x:is>
      </x:c>
      <x:c r="H30" s="5" t="inlineStr">
        <x:is>
          <x:t xml:space="preserve">Recall proves it.</x:t>
        </x:is>
      </x:c>
      <x:c r="I30" s="5" t="inlineStr">
        <x:is>
          <x:t xml:space="preserve">correction</x:t>
        </x:is>
      </x:c>
      <x:c r="J30" s="5" t="inlineStr">
        <x:is>
          <x:t xml:space="preserve">recall</x:t>
        </x:is>
      </x:c>
      <x:c r="K30" s="5" t="inlineStr">
        <x:is>
          <x:t xml:space="preserve">center_upper</x:t>
        </x:is>
      </x:c>
      <x:c r="L30" s="5" t="inlineStr">
        <x:is>
          <x:t xml:space="preserve">low</x:t>
        </x:is>
      </x:c>
    </x:row>
    <x:row r="31" ht="22" customHeight="1">
      <x:c r="A31" s="5" t="inlineStr">
        <x:is>
          <x:t xml:space="preserve">V02_study_recall</x:t>
        </x:is>
      </x:c>
      <x:c r="B31" s="5" t="inlineStr">
        <x:is>
          <x:t xml:space="preserve">study</x:t>
        </x:is>
      </x:c>
      <x:c r="C31" s="5" t="inlineStr">
        <x:is>
          <x:t xml:space="preserve">3</x:t>
        </x:is>
      </x:c>
      <x:c r="D31" s="5" t="inlineStr">
        <x:is>
          <x:t xml:space="preserve">bcc</x:t>
        </x:is>
      </x:c>
      <x:c r="E31" s="5" t="inlineStr">
        <x:is>
          <x:t xml:space="preserve">00:00:04.000</x:t>
        </x:is>
      </x:c>
      <x:c r="F31" s="5" t="inlineStr">
        <x:is>
          <x:t xml:space="preserve">00:00:06.000</x:t>
        </x:is>
      </x:c>
      <x:c r="G31" s="5" t="inlineStr">
        <x:is>
          <x:t xml:space="preserve">&lt;b&gt;Close&lt;/b&gt; notes. &lt;b&gt;Retr&lt;/b&gt;ieve. Check.</x:t>
        </x:is>
      </x:c>
      <x:c r="H31" s="5" t="inlineStr">
        <x:is>
          <x:t xml:space="preserve">Close notes. Retrieve. Check.</x:t>
        </x:is>
      </x:c>
      <x:c r="I31" s="5" t="inlineStr">
        <x:is>
          <x:t xml:space="preserve">action</x:t>
        </x:is>
      </x:c>
      <x:c r="J31" s="5" t="inlineStr">
        <x:is>
          <x:t xml:space="preserve">retrieve</x:t>
        </x:is>
      </x:c>
      <x:c r="K31" s="5" t="inlineStr">
        <x:is>
          <x:t xml:space="preserve">center_upper</x:t>
        </x:is>
      </x:c>
      <x:c r="L31" s="5" t="inlineStr">
        <x:is>
          <x:t xml:space="preserve">medium</x:t>
        </x:is>
      </x:c>
    </x:row>
    <x:row r="32" ht="22" customHeight="1">
      <x:c r="A32" s="5" t="inlineStr">
        <x:is>
          <x:t xml:space="preserve">V02_study_recall</x:t>
        </x:is>
      </x:c>
      <x:c r="B32" s="5" t="inlineStr">
        <x:is>
          <x:t xml:space="preserve">study</x:t>
        </x:is>
      </x:c>
      <x:c r="C32" s="5" t="inlineStr">
        <x:is>
          <x:t xml:space="preserve">1</x:t>
        </x:is>
      </x:c>
      <x:c r="D32" s="5" t="inlineStr">
        <x:is>
          <x:t xml:space="preserve">bcc_plus</x:t>
        </x:is>
      </x:c>
      <x:c r="E32" s="5" t="inlineStr">
        <x:is>
          <x:t xml:space="preserve">00:00:00.000</x:t>
        </x:is>
      </x:c>
      <x:c r="F32" s="5" t="inlineStr">
        <x:is>
          <x:t xml:space="preserve">00:00:02.000</x:t>
        </x:is>
      </x:c>
      <x:c r="G32" s="5" t="inlineStr">
        <x:is>
          <x:t xml:space="preserve">&lt;b&gt;Rere&lt;/b&gt;ading feels safe.</x:t>
        </x:is>
      </x:c>
      <x:c r="H32" s="5" t="inlineStr">
        <x:is>
          <x:t xml:space="preserve">Rereading feels safe.</x:t>
        </x:is>
      </x:c>
      <x:c r="I32" s="5" t="inlineStr">
        <x:is>
          <x:t xml:space="preserve">false_belief</x:t>
        </x:is>
      </x:c>
      <x:c r="J32" s="5" t="inlineStr">
        <x:is>
          <x:t xml:space="preserve">rereading</x:t>
        </x:is>
      </x:c>
      <x:c r="K32" s="5" t="inlineStr">
        <x:is>
          <x:t xml:space="preserve">center_upper</x:t>
        </x:is>
      </x:c>
      <x:c r="L32" s="5" t="inlineStr">
        <x:is>
          <x:t xml:space="preserve">low</x:t>
        </x:is>
      </x:c>
    </x:row>
    <x:row r="33" ht="22" customHeight="1">
      <x:c r="A33" s="5" t="inlineStr">
        <x:is>
          <x:t xml:space="preserve">V02_study_recall</x:t>
        </x:is>
      </x:c>
      <x:c r="B33" s="5" t="inlineStr">
        <x:is>
          <x:t xml:space="preserve">study</x:t>
        </x:is>
      </x:c>
      <x:c r="C33" s="5" t="inlineStr">
        <x:is>
          <x:t xml:space="preserve">2</x:t>
        </x:is>
      </x:c>
      <x:c r="D33" s="5" t="inlineStr">
        <x:is>
          <x:t xml:space="preserve">bcc_plus</x:t>
        </x:is>
      </x:c>
      <x:c r="E33" s="5" t="inlineStr">
        <x:is>
          <x:t xml:space="preserve">00:00:02.000</x:t>
        </x:is>
      </x:c>
      <x:c r="F33" s="5" t="inlineStr">
        <x:is>
          <x:t xml:space="preserve">00:00:04.000</x:t>
        </x:is>
      </x:c>
      <x:c r="G33" s="5" t="inlineStr">
        <x:is>
          <x:t xml:space="preserve">&lt;b&gt;Rec&lt;/b&gt;all proves it.</x:t>
        </x:is>
      </x:c>
      <x:c r="H33" s="5" t="inlineStr">
        <x:is>
          <x:t xml:space="preserve">Recall proves it.</x:t>
        </x:is>
      </x:c>
      <x:c r="I33" s="5" t="inlineStr">
        <x:is>
          <x:t xml:space="preserve">correction</x:t>
        </x:is>
      </x:c>
      <x:c r="J33" s="5" t="inlineStr">
        <x:is>
          <x:t xml:space="preserve">recall</x:t>
        </x:is>
      </x:c>
      <x:c r="K33" s="5" t="inlineStr">
        <x:is>
          <x:t xml:space="preserve">center_upper</x:t>
        </x:is>
      </x:c>
      <x:c r="L33" s="5" t="inlineStr">
        <x:is>
          <x:t xml:space="preserve">low</x:t>
        </x:is>
      </x:c>
    </x:row>
    <x:row r="34" ht="22" customHeight="1">
      <x:c r="A34" s="5" t="inlineStr">
        <x:is>
          <x:t xml:space="preserve">V02_study_recall</x:t>
        </x:is>
      </x:c>
      <x:c r="B34" s="5" t="inlineStr">
        <x:is>
          <x:t xml:space="preserve">study</x:t>
        </x:is>
      </x:c>
      <x:c r="C34" s="5" t="inlineStr">
        <x:is>
          <x:t xml:space="preserve">3</x:t>
        </x:is>
      </x:c>
      <x:c r="D34" s="5" t="inlineStr">
        <x:is>
          <x:t xml:space="preserve">bcc_plus</x:t>
        </x:is>
      </x:c>
      <x:c r="E34" s="5" t="inlineStr">
        <x:is>
          <x:t xml:space="preserve">00:00:04.000</x:t>
        </x:is>
      </x:c>
      <x:c r="F34" s="5" t="inlineStr">
        <x:is>
          <x:t xml:space="preserve">00:00:06.000</x:t>
        </x:is>
      </x:c>
      <x:c r="G34" s="5" t="inlineStr">
        <x:is>
          <x:t xml:space="preserve">&lt;b&gt;Close&lt;/b&gt; notes. &lt;b&gt;Retr&lt;/b&gt;ieve. Check.</x:t>
        </x:is>
      </x:c>
      <x:c r="H34" s="5" t="inlineStr">
        <x:is>
          <x:t xml:space="preserve">Close notes. Retrieve. Check.</x:t>
        </x:is>
      </x:c>
      <x:c r="I34" s="5" t="inlineStr">
        <x:is>
          <x:t xml:space="preserve">action</x:t>
        </x:is>
      </x:c>
      <x:c r="J34" s="5" t="inlineStr">
        <x:is>
          <x:t xml:space="preserve">retrieve</x:t>
        </x:is>
      </x:c>
      <x:c r="K34" s="5" t="inlineStr">
        <x:is>
          <x:t xml:space="preserve">center_upper</x:t>
        </x:is>
      </x:c>
      <x:c r="L34" s="5" t="inlineStr">
        <x:is>
          <x:t xml:space="preserve">medium</x:t>
        </x:is>
      </x:c>
    </x:row>
    <x:row r="35" ht="22" customHeight="1">
      <x:c r="A35" s="5" t="inlineStr">
        <x:is>
          <x:t xml:space="preserve">V02_study_recall</x:t>
        </x:is>
      </x:c>
      <x:c r="B35" s="5" t="inlineStr">
        <x:is>
          <x:t xml:space="preserve">study</x:t>
        </x:is>
      </x:c>
      <x:c r="C35" s="5" t="inlineStr">
        <x:is>
          <x:t xml:space="preserve">1</x:t>
        </x:is>
      </x:c>
      <x:c r="D35" s="5" t="inlineStr">
        <x:is>
          <x:t xml:space="preserve">full_transcript</x:t>
        </x:is>
      </x:c>
      <x:c r="E35" s="5" t="inlineStr">
        <x:is>
          <x:t xml:space="preserve">00:00:00.000</x:t>
        </x:is>
      </x:c>
      <x:c r="F35" s="5" t="inlineStr">
        <x:is>
          <x:t xml:space="preserve">00:00:02.000</x:t>
        </x:is>
      </x:c>
      <x:c r="G35" s="5" t="inlineStr">
        <x:is>
          <x:t xml:space="preserve">Rereading feels productive because it is familiar.</x:t>
        </x:is>
      </x:c>
      <x:c r="H35" s="5" t="inlineStr">
        <x:is>
          <x:t xml:space="preserve">Rereading feels productive because it is familiar.</x:t>
        </x:is>
      </x:c>
      <x:c r="I35" s="5" t="inlineStr">
        <x:is>
          <x:t xml:space="preserve">false_belief</x:t>
        </x:is>
      </x:c>
      <x:c r="J35" s="5" t="inlineStr">
        <x:is>
          <x:t xml:space="preserve">rereading</x:t>
        </x:is>
      </x:c>
      <x:c r="K35" s="5" t="inlineStr">
        <x:is>
          <x:t xml:space="preserve">center_upper</x:t>
        </x:is>
      </x:c>
      <x:c r="L35" s="5" t="inlineStr">
        <x:is>
          <x:t xml:space="preserve">low</x:t>
        </x:is>
      </x:c>
    </x:row>
    <x:row r="36" ht="22" customHeight="1">
      <x:c r="A36" s="5" t="inlineStr">
        <x:is>
          <x:t xml:space="preserve">V02_study_recall</x:t>
        </x:is>
      </x:c>
      <x:c r="B36" s="5" t="inlineStr">
        <x:is>
          <x:t xml:space="preserve">study</x:t>
        </x:is>
      </x:c>
      <x:c r="C36" s="5" t="inlineStr">
        <x:is>
          <x:t xml:space="preserve">2</x:t>
        </x:is>
      </x:c>
      <x:c r="D36" s="5" t="inlineStr">
        <x:is>
          <x:t xml:space="preserve">full_transcript</x:t>
        </x:is>
      </x:c>
      <x:c r="E36" s="5" t="inlineStr">
        <x:is>
          <x:t xml:space="preserve">00:00:02.000</x:t>
        </x:is>
      </x:c>
      <x:c r="F36" s="5" t="inlineStr">
        <x:is>
          <x:t xml:space="preserve">00:00:04.000</x:t>
        </x:is>
      </x:c>
      <x:c r="G36" s="5" t="inlineStr">
        <x:is>
          <x:t xml:space="preserve">But recall is the test that exposes what you actually know.</x:t>
        </x:is>
      </x:c>
      <x:c r="H36" s="5" t="inlineStr">
        <x:is>
          <x:t xml:space="preserve">But recall is the test that exposes what you actually know.</x:t>
        </x:is>
      </x:c>
      <x:c r="I36" s="5" t="inlineStr">
        <x:is>
          <x:t xml:space="preserve">correction</x:t>
        </x:is>
      </x:c>
      <x:c r="J36" s="5" t="inlineStr">
        <x:is>
          <x:t xml:space="preserve">recall</x:t>
        </x:is>
      </x:c>
      <x:c r="K36" s="5" t="inlineStr">
        <x:is>
          <x:t xml:space="preserve">center_upper</x:t>
        </x:is>
      </x:c>
      <x:c r="L36" s="5" t="inlineStr">
        <x:is>
          <x:t xml:space="preserve">low</x:t>
        </x:is>
      </x:c>
    </x:row>
    <x:row r="37" ht="22" customHeight="1">
      <x:c r="A37" s="5" t="inlineStr">
        <x:is>
          <x:t xml:space="preserve">V02_study_recall</x:t>
        </x:is>
      </x:c>
      <x:c r="B37" s="5" t="inlineStr">
        <x:is>
          <x:t xml:space="preserve">study</x:t>
        </x:is>
      </x:c>
      <x:c r="C37" s="5" t="inlineStr">
        <x:is>
          <x:t xml:space="preserve">3</x:t>
        </x:is>
      </x:c>
      <x:c r="D37" s="5" t="inlineStr">
        <x:is>
          <x:t xml:space="preserve">full_transcript</x:t>
        </x:is>
      </x:c>
      <x:c r="E37" s="5" t="inlineStr">
        <x:is>
          <x:t xml:space="preserve">00:00:04.000</x:t>
        </x:is>
      </x:c>
      <x:c r="F37" s="5" t="inlineStr">
        <x:is>
          <x:t xml:space="preserve">00:00:06.000</x:t>
        </x:is>
      </x:c>
      <x:c r="G37" s="5" t="inlineStr">
        <x:is>
          <x:t xml:space="preserve">Close the notes, retrieve the answer, then check.</x:t>
        </x:is>
      </x:c>
      <x:c r="H37" s="5" t="inlineStr">
        <x:is>
          <x:t xml:space="preserve">Close the notes, retrieve the answer, then check.</x:t>
        </x:is>
      </x:c>
      <x:c r="I37" s="5" t="inlineStr">
        <x:is>
          <x:t xml:space="preserve">action</x:t>
        </x:is>
      </x:c>
      <x:c r="J37" s="5" t="inlineStr">
        <x:is>
          <x:t xml:space="preserve">retrieve</x:t>
        </x:is>
      </x:c>
      <x:c r="K37" s="5" t="inlineStr">
        <x:is>
          <x:t xml:space="preserve">center_upper</x:t>
        </x:is>
      </x:c>
      <x:c r="L37" s="5" t="inlineStr">
        <x:is>
          <x:t xml:space="preserve">medium</x:t>
        </x:is>
      </x:c>
    </x:row>
    <x:row r="38" ht="36" customHeight="1">
      <x:c r="A38" s="5" t="inlineStr">
        <x:is>
          <x:t xml:space="preserve">V02_study_recall</x:t>
        </x:is>
      </x:c>
      <x:c r="B38" s="5" t="inlineStr">
        <x:is>
          <x:t xml:space="preserve">study</x:t>
        </x:is>
      </x:c>
      <x:c r="C38" s="5" t="inlineStr">
        <x:is>
          <x:t xml:space="preserve">1</x:t>
        </x:is>
      </x:c>
      <x:c r="D38" s="5" t="inlineStr">
        <x:is>
          <x:t xml:space="preserve">heavy_bionic</x:t>
        </x:is>
      </x:c>
      <x:c r="E38" s="5" t="inlineStr">
        <x:is>
          <x:t xml:space="preserve">00:00:00.000</x:t>
        </x:is>
      </x:c>
      <x:c r="F38" s="5" t="inlineStr">
        <x:is>
          <x:t xml:space="preserve">00:00:02.000</x:t>
        </x:is>
      </x:c>
      <x:c r="G38" s="5" t="inlineStr">
        <x:is>
          <x:t xml:space="preserve">&lt;b&gt;Rere&lt;/b&gt;ading &lt;b&gt;fee&lt;/b&gt;ls &lt;b&gt;prod&lt;/b&gt;uctive &lt;b&gt;because&lt;/b&gt; it is &lt;b&gt;fami&lt;/b&gt;liar.</x:t>
        </x:is>
      </x:c>
      <x:c r="H38" s="5" t="inlineStr">
        <x:is>
          <x:t xml:space="preserve">Rereading feels productive because it is familiar.</x:t>
        </x:is>
      </x:c>
      <x:c r="I38" s="5" t="inlineStr">
        <x:is>
          <x:t xml:space="preserve">false_belief</x:t>
        </x:is>
      </x:c>
      <x:c r="J38" s="5" t="inlineStr">
        <x:is>
          <x:t xml:space="preserve">rereading</x:t>
        </x:is>
      </x:c>
      <x:c r="K38" s="5" t="inlineStr">
        <x:is>
          <x:t xml:space="preserve">center_upper</x:t>
        </x:is>
      </x:c>
      <x:c r="L38" s="5" t="inlineStr">
        <x:is>
          <x:t xml:space="preserve">low</x:t>
        </x:is>
      </x:c>
    </x:row>
    <x:row r="39" ht="36" customHeight="1">
      <x:c r="A39" s="5" t="inlineStr">
        <x:is>
          <x:t xml:space="preserve">V02_study_recall</x:t>
        </x:is>
      </x:c>
      <x:c r="B39" s="5" t="inlineStr">
        <x:is>
          <x:t xml:space="preserve">study</x:t>
        </x:is>
      </x:c>
      <x:c r="C39" s="5" t="inlineStr">
        <x:is>
          <x:t xml:space="preserve">2</x:t>
        </x:is>
      </x:c>
      <x:c r="D39" s="5" t="inlineStr">
        <x:is>
          <x:t xml:space="preserve">heavy_bionic</x:t>
        </x:is>
      </x:c>
      <x:c r="E39" s="5" t="inlineStr">
        <x:is>
          <x:t xml:space="preserve">00:00:02.000</x:t>
        </x:is>
      </x:c>
      <x:c r="F39" s="5" t="inlineStr">
        <x:is>
          <x:t xml:space="preserve">00:00:04.000</x:t>
        </x:is>
      </x:c>
      <x:c r="G39" s="5" t="inlineStr">
        <x:is>
          <x:t xml:space="preserve">But &lt;b&gt;rec&lt;/b&gt;all is the &lt;b&gt;test&lt;/b&gt; that &lt;b&gt;exp&lt;/b&gt;oses &lt;b&gt;what&lt;/b&gt; you &lt;b&gt;actu&lt;/b&gt;ally &lt;b&gt;know&lt;/b&gt;.</x:t>
        </x:is>
      </x:c>
      <x:c r="H39" s="5" t="inlineStr">
        <x:is>
          <x:t xml:space="preserve">But recall is the test that exposes what you actually know.</x:t>
        </x:is>
      </x:c>
      <x:c r="I39" s="5" t="inlineStr">
        <x:is>
          <x:t xml:space="preserve">correction</x:t>
        </x:is>
      </x:c>
      <x:c r="J39" s="5" t="inlineStr">
        <x:is>
          <x:t xml:space="preserve">recall</x:t>
        </x:is>
      </x:c>
      <x:c r="K39" s="5" t="inlineStr">
        <x:is>
          <x:t xml:space="preserve">center_upper</x:t>
        </x:is>
      </x:c>
      <x:c r="L39" s="5" t="inlineStr">
        <x:is>
          <x:t xml:space="preserve">low</x:t>
        </x:is>
      </x:c>
    </x:row>
    <x:row r="40" ht="36" customHeight="1">
      <x:c r="A40" s="5" t="inlineStr">
        <x:is>
          <x:t xml:space="preserve">V02_study_recall</x:t>
        </x:is>
      </x:c>
      <x:c r="B40" s="5" t="inlineStr">
        <x:is>
          <x:t xml:space="preserve">study</x:t>
        </x:is>
      </x:c>
      <x:c r="C40" s="5" t="inlineStr">
        <x:is>
          <x:t xml:space="preserve">3</x:t>
        </x:is>
      </x:c>
      <x:c r="D40" s="5" t="inlineStr">
        <x:is>
          <x:t xml:space="preserve">heavy_bionic</x:t>
        </x:is>
      </x:c>
      <x:c r="E40" s="5" t="inlineStr">
        <x:is>
          <x:t xml:space="preserve">00:00:04.000</x:t>
        </x:is>
      </x:c>
      <x:c r="F40" s="5" t="inlineStr">
        <x:is>
          <x:t xml:space="preserve">00:00:06.000</x:t>
        </x:is>
      </x:c>
      <x:c r="G40" s="5" t="inlineStr">
        <x:is>
          <x:t xml:space="preserve">&lt;b&gt;Close&lt;/b&gt; the &lt;b&gt;not&lt;/b&gt;es, &lt;b&gt;retr&lt;/b&gt;ieve the &lt;b&gt;ans&lt;/b&gt;wer, &lt;b&gt;then&lt;/b&gt; &lt;b&gt;che&lt;/b&gt;ck.</x:t>
        </x:is>
      </x:c>
      <x:c r="H40" s="5" t="inlineStr">
        <x:is>
          <x:t xml:space="preserve">Close the notes, retrieve the answer, then check.</x:t>
        </x:is>
      </x:c>
      <x:c r="I40" s="5" t="inlineStr">
        <x:is>
          <x:t xml:space="preserve">action</x:t>
        </x:is>
      </x:c>
      <x:c r="J40" s="5" t="inlineStr">
        <x:is>
          <x:t xml:space="preserve">retrieve</x:t>
        </x:is>
      </x:c>
      <x:c r="K40" s="5" t="inlineStr">
        <x:is>
          <x:t xml:space="preserve">center_upper</x:t>
        </x:is>
      </x:c>
      <x:c r="L40" s="5" t="inlineStr">
        <x:is>
          <x:t xml:space="preserve">medium</x:t>
        </x:is>
      </x:c>
    </x:row>
    <x:row r="41" ht="22" customHeight="1">
      <x:c r="A41" s="5" t="inlineStr">
        <x:is>
          <x:t xml:space="preserve">V02_study_recall</x:t>
        </x:is>
      </x:c>
      <x:c r="B41" s="5" t="inlineStr">
        <x:is>
          <x:t xml:space="preserve">study</x:t>
        </x:is>
      </x:c>
      <x:c r="C41" s="5" t="inlineStr">
        <x:is>
          <x:t xml:space="preserve">1</x:t>
        </x:is>
      </x:c>
      <x:c r="D41" s="5" t="inlineStr">
        <x:is>
          <x:t xml:space="preserve">keyword_highlight</x:t>
        </x:is>
      </x:c>
      <x:c r="E41" s="5" t="inlineStr">
        <x:is>
          <x:t xml:space="preserve">00:00:00.000</x:t>
        </x:is>
      </x:c>
      <x:c r="F41" s="5" t="inlineStr">
        <x:is>
          <x:t xml:space="preserve">00:00:02.000</x:t>
        </x:is>
      </x:c>
      <x:c r="G41" s="5" t="inlineStr">
        <x:is>
          <x:t xml:space="preserve">&lt;b&gt;Rereading&lt;/b&gt; feels productive because it is familiar.</x:t>
        </x:is>
      </x:c>
      <x:c r="H41" s="5" t="inlineStr">
        <x:is>
          <x:t xml:space="preserve">Rereading feels productive because it is familiar.</x:t>
        </x:is>
      </x:c>
      <x:c r="I41" s="5" t="inlineStr">
        <x:is>
          <x:t xml:space="preserve">false_belief</x:t>
        </x:is>
      </x:c>
      <x:c r="J41" s="5" t="inlineStr">
        <x:is>
          <x:t xml:space="preserve">rereading</x:t>
        </x:is>
      </x:c>
      <x:c r="K41" s="5" t="inlineStr">
        <x:is>
          <x:t xml:space="preserve">center_upper</x:t>
        </x:is>
      </x:c>
      <x:c r="L41" s="5" t="inlineStr">
        <x:is>
          <x:t xml:space="preserve">low</x:t>
        </x:is>
      </x:c>
    </x:row>
    <x:row r="42" ht="22" customHeight="1">
      <x:c r="A42" s="5" t="inlineStr">
        <x:is>
          <x:t xml:space="preserve">V02_study_recall</x:t>
        </x:is>
      </x:c>
      <x:c r="B42" s="5" t="inlineStr">
        <x:is>
          <x:t xml:space="preserve">study</x:t>
        </x:is>
      </x:c>
      <x:c r="C42" s="5" t="inlineStr">
        <x:is>
          <x:t xml:space="preserve">2</x:t>
        </x:is>
      </x:c>
      <x:c r="D42" s="5" t="inlineStr">
        <x:is>
          <x:t xml:space="preserve">keyword_highlight</x:t>
        </x:is>
      </x:c>
      <x:c r="E42" s="5" t="inlineStr">
        <x:is>
          <x:t xml:space="preserve">00:00:02.000</x:t>
        </x:is>
      </x:c>
      <x:c r="F42" s="5" t="inlineStr">
        <x:is>
          <x:t xml:space="preserve">00:00:04.000</x:t>
        </x:is>
      </x:c>
      <x:c r="G42" s="5" t="inlineStr">
        <x:is>
          <x:t xml:space="preserve">But &lt;b&gt;recall&lt;/b&gt; is the test that exposes what you actually know.</x:t>
        </x:is>
      </x:c>
      <x:c r="H42" s="5" t="inlineStr">
        <x:is>
          <x:t xml:space="preserve">But recall is the test that exposes what you actually know.</x:t>
        </x:is>
      </x:c>
      <x:c r="I42" s="5" t="inlineStr">
        <x:is>
          <x:t xml:space="preserve">correction</x:t>
        </x:is>
      </x:c>
      <x:c r="J42" s="5" t="inlineStr">
        <x:is>
          <x:t xml:space="preserve">recall</x:t>
        </x:is>
      </x:c>
      <x:c r="K42" s="5" t="inlineStr">
        <x:is>
          <x:t xml:space="preserve">center_upper</x:t>
        </x:is>
      </x:c>
      <x:c r="L42" s="5" t="inlineStr">
        <x:is>
          <x:t xml:space="preserve">low</x:t>
        </x:is>
      </x:c>
    </x:row>
    <x:row r="43" ht="22" customHeight="1">
      <x:c r="A43" s="5" t="inlineStr">
        <x:is>
          <x:t xml:space="preserve">V02_study_recall</x:t>
        </x:is>
      </x:c>
      <x:c r="B43" s="5" t="inlineStr">
        <x:is>
          <x:t xml:space="preserve">study</x:t>
        </x:is>
      </x:c>
      <x:c r="C43" s="5" t="inlineStr">
        <x:is>
          <x:t xml:space="preserve">3</x:t>
        </x:is>
      </x:c>
      <x:c r="D43" s="5" t="inlineStr">
        <x:is>
          <x:t xml:space="preserve">keyword_highlight</x:t>
        </x:is>
      </x:c>
      <x:c r="E43" s="5" t="inlineStr">
        <x:is>
          <x:t xml:space="preserve">00:00:04.000</x:t>
        </x:is>
      </x:c>
      <x:c r="F43" s="5" t="inlineStr">
        <x:is>
          <x:t xml:space="preserve">00:00:06.000</x:t>
        </x:is>
      </x:c>
      <x:c r="G43" s="5" t="inlineStr">
        <x:is>
          <x:t xml:space="preserve">Close the notes, &lt;b&gt;retrieve&lt;/b&gt; the answer, then check.</x:t>
        </x:is>
      </x:c>
      <x:c r="H43" s="5" t="inlineStr">
        <x:is>
          <x:t xml:space="preserve">Close the notes, retrieve the answer, then check.</x:t>
        </x:is>
      </x:c>
      <x:c r="I43" s="5" t="inlineStr">
        <x:is>
          <x:t xml:space="preserve">action</x:t>
        </x:is>
      </x:c>
      <x:c r="J43" s="5" t="inlineStr">
        <x:is>
          <x:t xml:space="preserve">retrieve</x:t>
        </x:is>
      </x:c>
      <x:c r="K43" s="5" t="inlineStr">
        <x:is>
          <x:t xml:space="preserve">center_upper</x:t>
        </x:is>
      </x:c>
      <x:c r="L43" s="5" t="inlineStr">
        <x:is>
          <x:t xml:space="preserve">medium</x:t>
        </x:is>
      </x:c>
    </x:row>
    <x:row r="44" ht="22" customHeight="1">
      <x:c r="A44" s="5" t="inlineStr">
        <x:is>
          <x:t xml:space="preserve">V02_study_recall</x:t>
        </x:is>
      </x:c>
      <x:c r="B44" s="5" t="inlineStr">
        <x:is>
          <x:t xml:space="preserve">study</x:t>
        </x:is>
      </x:c>
      <x:c r="C44" s="5" t="inlineStr">
        <x:is>
          <x:t xml:space="preserve">1</x:t>
        </x:is>
      </x:c>
      <x:c r="D44" s="5" t="inlineStr">
        <x:is>
          <x:t xml:space="preserve">semantic_compression</x:t>
        </x:is>
      </x:c>
      <x:c r="E44" s="5" t="inlineStr">
        <x:is>
          <x:t xml:space="preserve">00:00:00.000</x:t>
        </x:is>
      </x:c>
      <x:c r="F44" s="5" t="inlineStr">
        <x:is>
          <x:t xml:space="preserve">00:00:02.000</x:t>
        </x:is>
      </x:c>
      <x:c r="G44" s="5" t="inlineStr">
        <x:is>
          <x:t xml:space="preserve">Rereading feels safe.</x:t>
        </x:is>
      </x:c>
      <x:c r="H44" s="5" t="inlineStr">
        <x:is>
          <x:t xml:space="preserve">Rereading feels safe.</x:t>
        </x:is>
      </x:c>
      <x:c r="I44" s="5" t="inlineStr">
        <x:is>
          <x:t xml:space="preserve">false_belief</x:t>
        </x:is>
      </x:c>
      <x:c r="J44" s="5" t="inlineStr">
        <x:is>
          <x:t xml:space="preserve">rereading</x:t>
        </x:is>
      </x:c>
      <x:c r="K44" s="5" t="inlineStr">
        <x:is>
          <x:t xml:space="preserve">center_upper</x:t>
        </x:is>
      </x:c>
      <x:c r="L44" s="5" t="inlineStr">
        <x:is>
          <x:t xml:space="preserve">low</x:t>
        </x:is>
      </x:c>
    </x:row>
    <x:row r="45" ht="22" customHeight="1">
      <x:c r="A45" s="5" t="inlineStr">
        <x:is>
          <x:t xml:space="preserve">V02_study_recall</x:t>
        </x:is>
      </x:c>
      <x:c r="B45" s="5" t="inlineStr">
        <x:is>
          <x:t xml:space="preserve">study</x:t>
        </x:is>
      </x:c>
      <x:c r="C45" s="5" t="inlineStr">
        <x:is>
          <x:t xml:space="preserve">2</x:t>
        </x:is>
      </x:c>
      <x:c r="D45" s="5" t="inlineStr">
        <x:is>
          <x:t xml:space="preserve">semantic_compression</x:t>
        </x:is>
      </x:c>
      <x:c r="E45" s="5" t="inlineStr">
        <x:is>
          <x:t xml:space="preserve">00:00:02.000</x:t>
        </x:is>
      </x:c>
      <x:c r="F45" s="5" t="inlineStr">
        <x:is>
          <x:t xml:space="preserve">00:00:04.000</x:t>
        </x:is>
      </x:c>
      <x:c r="G45" s="5" t="inlineStr">
        <x:is>
          <x:t xml:space="preserve">Recall proves it.</x:t>
        </x:is>
      </x:c>
      <x:c r="H45" s="5" t="inlineStr">
        <x:is>
          <x:t xml:space="preserve">Recall proves it.</x:t>
        </x:is>
      </x:c>
      <x:c r="I45" s="5" t="inlineStr">
        <x:is>
          <x:t xml:space="preserve">correction</x:t>
        </x:is>
      </x:c>
      <x:c r="J45" s="5" t="inlineStr">
        <x:is>
          <x:t xml:space="preserve">recall</x:t>
        </x:is>
      </x:c>
      <x:c r="K45" s="5" t="inlineStr">
        <x:is>
          <x:t xml:space="preserve">center_upper</x:t>
        </x:is>
      </x:c>
      <x:c r="L45" s="5" t="inlineStr">
        <x:is>
          <x:t xml:space="preserve">low</x:t>
        </x:is>
      </x:c>
    </x:row>
    <x:row r="46" ht="22" customHeight="1">
      <x:c r="A46" s="5" t="inlineStr">
        <x:is>
          <x:t xml:space="preserve">V02_study_recall</x:t>
        </x:is>
      </x:c>
      <x:c r="B46" s="5" t="inlineStr">
        <x:is>
          <x:t xml:space="preserve">study</x:t>
        </x:is>
      </x:c>
      <x:c r="C46" s="5" t="inlineStr">
        <x:is>
          <x:t xml:space="preserve">3</x:t>
        </x:is>
      </x:c>
      <x:c r="D46" s="5" t="inlineStr">
        <x:is>
          <x:t xml:space="preserve">semantic_compression</x:t>
        </x:is>
      </x:c>
      <x:c r="E46" s="5" t="inlineStr">
        <x:is>
          <x:t xml:space="preserve">00:00:04.000</x:t>
        </x:is>
      </x:c>
      <x:c r="F46" s="5" t="inlineStr">
        <x:is>
          <x:t xml:space="preserve">00:00:06.000</x:t>
        </x:is>
      </x:c>
      <x:c r="G46" s="5" t="inlineStr">
        <x:is>
          <x:t xml:space="preserve">Close notes. Retrieve. Check.</x:t>
        </x:is>
      </x:c>
      <x:c r="H46" s="5" t="inlineStr">
        <x:is>
          <x:t xml:space="preserve">Close notes. Retrieve. Check.</x:t>
        </x:is>
      </x:c>
      <x:c r="I46" s="5" t="inlineStr">
        <x:is>
          <x:t xml:space="preserve">action</x:t>
        </x:is>
      </x:c>
      <x:c r="J46" s="5" t="inlineStr">
        <x:is>
          <x:t xml:space="preserve">retrieve</x:t>
        </x:is>
      </x:c>
      <x:c r="K46" s="5" t="inlineStr">
        <x:is>
          <x:t xml:space="preserve">center_upper</x:t>
        </x:is>
      </x:c>
      <x:c r="L46" s="5" t="inlineStr">
        <x:is>
          <x:t xml:space="preserve">medium</x:t>
        </x:is>
      </x:c>
    </x:row>
    <x:row r="47" ht="22" customHeight="1">
      <x:c r="A47" s="5" t="inlineStr">
        <x:is>
          <x:t xml:space="preserve">V03_fitness_setup</x:t>
        </x:is>
      </x:c>
      <x:c r="B47" s="5" t="inlineStr">
        <x:is>
          <x:t xml:space="preserve">fitness</x:t>
        </x:is>
      </x:c>
      <x:c r="C47" s="5" t="inlineStr">
        <x:is>
          <x:t xml:space="preserve">1</x:t>
        </x:is>
      </x:c>
      <x:c r="D47" s="5" t="inlineStr">
        <x:is>
          <x:t xml:space="preserve">bcc</x:t>
        </x:is>
      </x:c>
      <x:c r="E47" s="5" t="inlineStr">
        <x:is>
          <x:t xml:space="preserve">00:00:00.000</x:t>
        </x:is>
      </x:c>
      <x:c r="F47" s="5" t="inlineStr">
        <x:is>
          <x:t xml:space="preserve">00:00:02.000</x:t>
        </x:is>
      </x:c>
      <x:c r="G47" s="5" t="inlineStr">
        <x:is>
          <x:t xml:space="preserve">&lt;b&gt;Not&lt;/b&gt; &lt;b&gt;disc&lt;/b&gt;ipline.</x:t>
        </x:is>
      </x:c>
      <x:c r="H47" s="5" t="inlineStr">
        <x:is>
          <x:t xml:space="preserve">Not discipline.</x:t>
        </x:is>
      </x:c>
      <x:c r="I47" s="5" t="inlineStr">
        <x:is>
          <x:t xml:space="preserve">false_belief</x:t>
        </x:is>
      </x:c>
      <x:c r="J47" s="5" t="inlineStr">
        <x:is>
          <x:t xml:space="preserve">discipline</x:t>
        </x:is>
      </x:c>
      <x:c r="K47" s="5" t="inlineStr">
        <x:is>
          <x:t xml:space="preserve">center_upper</x:t>
        </x:is>
      </x:c>
      <x:c r="L47" s="5" t="inlineStr">
        <x:is>
          <x:t xml:space="preserve">low</x:t>
        </x:is>
      </x:c>
    </x:row>
    <x:row r="48" ht="22" customHeight="1">
      <x:c r="A48" s="5" t="inlineStr">
        <x:is>
          <x:t xml:space="preserve">V03_fitness_setup</x:t>
        </x:is>
      </x:c>
      <x:c r="B48" s="5" t="inlineStr">
        <x:is>
          <x:t xml:space="preserve">fitness</x:t>
        </x:is>
      </x:c>
      <x:c r="C48" s="5" t="inlineStr">
        <x:is>
          <x:t xml:space="preserve">2</x:t>
        </x:is>
      </x:c>
      <x:c r="D48" s="5" t="inlineStr">
        <x:is>
          <x:t xml:space="preserve">bcc</x:t>
        </x:is>
      </x:c>
      <x:c r="E48" s="5" t="inlineStr">
        <x:is>
          <x:t xml:space="preserve">00:00:02.000</x:t>
        </x:is>
      </x:c>
      <x:c r="F48" s="5" t="inlineStr">
        <x:is>
          <x:t xml:space="preserve">00:00:04.000</x:t>
        </x:is>
      </x:c>
      <x:c r="G48" s="5" t="inlineStr">
        <x:is>
          <x:t xml:space="preserve">Bad &lt;b&gt;set&lt;/b&gt;up.</x:t>
        </x:is>
      </x:c>
      <x:c r="H48" s="5" t="inlineStr">
        <x:is>
          <x:t xml:space="preserve">Bad setup.</x:t>
        </x:is>
      </x:c>
      <x:c r="I48" s="5" t="inlineStr">
        <x:is>
          <x:t xml:space="preserve">diagnosis</x:t>
        </x:is>
      </x:c>
      <x:c r="J48" s="5" t="inlineStr">
        <x:is>
          <x:t xml:space="preserve">setup</x:t>
        </x:is>
      </x:c>
      <x:c r="K48" s="5" t="inlineStr">
        <x:is>
          <x:t xml:space="preserve">center_upper</x:t>
        </x:is>
      </x:c>
      <x:c r="L48" s="5" t="inlineStr">
        <x:is>
          <x:t xml:space="preserve">low</x:t>
        </x:is>
      </x:c>
    </x:row>
    <x:row r="49" ht="22" customHeight="1">
      <x:c r="A49" s="5" t="inlineStr">
        <x:is>
          <x:t xml:space="preserve">V03_fitness_setup</x:t>
        </x:is>
      </x:c>
      <x:c r="B49" s="5" t="inlineStr">
        <x:is>
          <x:t xml:space="preserve">fitness</x:t>
        </x:is>
      </x:c>
      <x:c r="C49" s="5" t="inlineStr">
        <x:is>
          <x:t xml:space="preserve">3</x:t>
        </x:is>
      </x:c>
      <x:c r="D49" s="5" t="inlineStr">
        <x:is>
          <x:t xml:space="preserve">bcc</x:t>
        </x:is>
      </x:c>
      <x:c r="E49" s="5" t="inlineStr">
        <x:is>
          <x:t xml:space="preserve">00:00:04.000</x:t>
        </x:is>
      </x:c>
      <x:c r="F49" s="5" t="inlineStr">
        <x:is>
          <x:t xml:space="preserve">00:00:06.000</x:t>
        </x:is>
      </x:c>
      <x:c r="G49" s="5" t="inlineStr">
        <x:is>
          <x:t xml:space="preserve">&lt;b&gt;Make&lt;/b&gt; good &lt;b&gt;easy&lt;/b&gt;.</x:t>
        </x:is>
      </x:c>
      <x:c r="H49" s="5" t="inlineStr">
        <x:is>
          <x:t xml:space="preserve">Make good easy.</x:t>
        </x:is>
      </x:c>
      <x:c r="I49" s="5" t="inlineStr">
        <x:is>
          <x:t xml:space="preserve">action</x:t>
        </x:is>
      </x:c>
      <x:c r="J49" s="5" t="inlineStr">
        <x:is>
          <x:t xml:space="preserve">easy</x:t>
        </x:is>
      </x:c>
      <x:c r="K49" s="5" t="inlineStr">
        <x:is>
          <x:t xml:space="preserve">left_mid</x:t>
        </x:is>
      </x:c>
      <x:c r="L49" s="5" t="inlineStr">
        <x:is>
          <x:t xml:space="preserve">medium</x:t>
        </x:is>
      </x:c>
    </x:row>
    <x:row r="50" ht="22" customHeight="1">
      <x:c r="A50" s="5" t="inlineStr">
        <x:is>
          <x:t xml:space="preserve">V03_fitness_setup</x:t>
        </x:is>
      </x:c>
      <x:c r="B50" s="5" t="inlineStr">
        <x:is>
          <x:t xml:space="preserve">fitness</x:t>
        </x:is>
      </x:c>
      <x:c r="C50" s="5" t="inlineStr">
        <x:is>
          <x:t xml:space="preserve">1</x:t>
        </x:is>
      </x:c>
      <x:c r="D50" s="5" t="inlineStr">
        <x:is>
          <x:t xml:space="preserve">bcc_plus</x:t>
        </x:is>
      </x:c>
      <x:c r="E50" s="5" t="inlineStr">
        <x:is>
          <x:t xml:space="preserve">00:00:00.000</x:t>
        </x:is>
      </x:c>
      <x:c r="F50" s="5" t="inlineStr">
        <x:is>
          <x:t xml:space="preserve">00:00:02.000</x:t>
        </x:is>
      </x:c>
      <x:c r="G50" s="5" t="inlineStr">
        <x:is>
          <x:t xml:space="preserve">&lt;b&gt;Not&lt;/b&gt; &lt;b&gt;disc&lt;/b&gt;ipline.</x:t>
        </x:is>
      </x:c>
      <x:c r="H50" s="5" t="inlineStr">
        <x:is>
          <x:t xml:space="preserve">Not discipline.</x:t>
        </x:is>
      </x:c>
      <x:c r="I50" s="5" t="inlineStr">
        <x:is>
          <x:t xml:space="preserve">false_belief</x:t>
        </x:is>
      </x:c>
      <x:c r="J50" s="5" t="inlineStr">
        <x:is>
          <x:t xml:space="preserve">discipline</x:t>
        </x:is>
      </x:c>
      <x:c r="K50" s="5" t="inlineStr">
        <x:is>
          <x:t xml:space="preserve">center_upper</x:t>
        </x:is>
      </x:c>
      <x:c r="L50" s="5" t="inlineStr">
        <x:is>
          <x:t xml:space="preserve">low</x:t>
        </x:is>
      </x:c>
    </x:row>
    <x:row r="51" ht="22" customHeight="1">
      <x:c r="A51" s="5" t="inlineStr">
        <x:is>
          <x:t xml:space="preserve">V03_fitness_setup</x:t>
        </x:is>
      </x:c>
      <x:c r="B51" s="5" t="inlineStr">
        <x:is>
          <x:t xml:space="preserve">fitness</x:t>
        </x:is>
      </x:c>
      <x:c r="C51" s="5" t="inlineStr">
        <x:is>
          <x:t xml:space="preserve">2</x:t>
        </x:is>
      </x:c>
      <x:c r="D51" s="5" t="inlineStr">
        <x:is>
          <x:t xml:space="preserve">bcc_plus</x:t>
        </x:is>
      </x:c>
      <x:c r="E51" s="5" t="inlineStr">
        <x:is>
          <x:t xml:space="preserve">00:00:02.000</x:t>
        </x:is>
      </x:c>
      <x:c r="F51" s="5" t="inlineStr">
        <x:is>
          <x:t xml:space="preserve">00:00:04.000</x:t>
        </x:is>
      </x:c>
      <x:c r="G51" s="5" t="inlineStr">
        <x:is>
          <x:t xml:space="preserve">Bad &lt;b&gt;set&lt;/b&gt;up.</x:t>
        </x:is>
      </x:c>
      <x:c r="H51" s="5" t="inlineStr">
        <x:is>
          <x:t xml:space="preserve">Bad setup.</x:t>
        </x:is>
      </x:c>
      <x:c r="I51" s="5" t="inlineStr">
        <x:is>
          <x:t xml:space="preserve">diagnosis</x:t>
        </x:is>
      </x:c>
      <x:c r="J51" s="5" t="inlineStr">
        <x:is>
          <x:t xml:space="preserve">setup</x:t>
        </x:is>
      </x:c>
      <x:c r="K51" s="5" t="inlineStr">
        <x:is>
          <x:t xml:space="preserve">center_upper</x:t>
        </x:is>
      </x:c>
      <x:c r="L51" s="5" t="inlineStr">
        <x:is>
          <x:t xml:space="preserve">low</x:t>
        </x:is>
      </x:c>
    </x:row>
    <x:row r="52" ht="22" customHeight="1">
      <x:c r="A52" s="5" t="inlineStr">
        <x:is>
          <x:t xml:space="preserve">V03_fitness_setup</x:t>
        </x:is>
      </x:c>
      <x:c r="B52" s="5" t="inlineStr">
        <x:is>
          <x:t xml:space="preserve">fitness</x:t>
        </x:is>
      </x:c>
      <x:c r="C52" s="5" t="inlineStr">
        <x:is>
          <x:t xml:space="preserve">3</x:t>
        </x:is>
      </x:c>
      <x:c r="D52" s="5" t="inlineStr">
        <x:is>
          <x:t xml:space="preserve">bcc_plus</x:t>
        </x:is>
      </x:c>
      <x:c r="E52" s="5" t="inlineStr">
        <x:is>
          <x:t xml:space="preserve">00:00:04.000</x:t>
        </x:is>
      </x:c>
      <x:c r="F52" s="5" t="inlineStr">
        <x:is>
          <x:t xml:space="preserve">00:00:06.000</x:t>
        </x:is>
      </x:c>
      <x:c r="G52" s="5" t="inlineStr">
        <x:is>
          <x:t xml:space="preserve">&lt;b&gt;Make&lt;/b&gt; good &lt;b&gt;easy&lt;/b&gt;.</x:t>
        </x:is>
      </x:c>
      <x:c r="H52" s="5" t="inlineStr">
        <x:is>
          <x:t xml:space="preserve">Make good easy.</x:t>
        </x:is>
      </x:c>
      <x:c r="I52" s="5" t="inlineStr">
        <x:is>
          <x:t xml:space="preserve">action</x:t>
        </x:is>
      </x:c>
      <x:c r="J52" s="5" t="inlineStr">
        <x:is>
          <x:t xml:space="preserve">easy</x:t>
        </x:is>
      </x:c>
      <x:c r="K52" s="5" t="inlineStr">
        <x:is>
          <x:t xml:space="preserve">left_mid</x:t>
        </x:is>
      </x:c>
      <x:c r="L52" s="5" t="inlineStr">
        <x:is>
          <x:t xml:space="preserve">medium</x:t>
        </x:is>
      </x:c>
    </x:row>
    <x:row r="53" ht="22" customHeight="1">
      <x:c r="A53" s="5" t="inlineStr">
        <x:is>
          <x:t xml:space="preserve">V03_fitness_setup</x:t>
        </x:is>
      </x:c>
      <x:c r="B53" s="5" t="inlineStr">
        <x:is>
          <x:t xml:space="preserve">fitness</x:t>
        </x:is>
      </x:c>
      <x:c r="C53" s="5" t="inlineStr">
        <x:is>
          <x:t xml:space="preserve">1</x:t>
        </x:is>
      </x:c>
      <x:c r="D53" s="5" t="inlineStr">
        <x:is>
          <x:t xml:space="preserve">full_transcript</x:t>
        </x:is>
      </x:c>
      <x:c r="E53" s="5" t="inlineStr">
        <x:is>
          <x:t xml:space="preserve">00:00:00.000</x:t>
        </x:is>
      </x:c>
      <x:c r="F53" s="5" t="inlineStr">
        <x:is>
          <x:t xml:space="preserve">00:00:02.000</x:t>
        </x:is>
      </x:c>
      <x:c r="G53" s="5" t="inlineStr">
        <x:is>
          <x:t xml:space="preserve">The problem is not discipline.</x:t>
        </x:is>
      </x:c>
      <x:c r="H53" s="5" t="inlineStr">
        <x:is>
          <x:t xml:space="preserve">The problem is not discipline.</x:t>
        </x:is>
      </x:c>
      <x:c r="I53" s="5" t="inlineStr">
        <x:is>
          <x:t xml:space="preserve">false_belief</x:t>
        </x:is>
      </x:c>
      <x:c r="J53" s="5" t="inlineStr">
        <x:is>
          <x:t xml:space="preserve">discipline</x:t>
        </x:is>
      </x:c>
      <x:c r="K53" s="5" t="inlineStr">
        <x:is>
          <x:t xml:space="preserve">center_upper</x:t>
        </x:is>
      </x:c>
      <x:c r="L53" s="5" t="inlineStr">
        <x:is>
          <x:t xml:space="preserve">low</x:t>
        </x:is>
      </x:c>
    </x:row>
    <x:row r="54" ht="36" customHeight="1">
      <x:c r="A54" s="5" t="inlineStr">
        <x:is>
          <x:t xml:space="preserve">V03_fitness_setup</x:t>
        </x:is>
      </x:c>
      <x:c r="B54" s="5" t="inlineStr">
        <x:is>
          <x:t xml:space="preserve">fitness</x:t>
        </x:is>
      </x:c>
      <x:c r="C54" s="5" t="inlineStr">
        <x:is>
          <x:t xml:space="preserve">2</x:t>
        </x:is>
      </x:c>
      <x:c r="D54" s="5" t="inlineStr">
        <x:is>
          <x:t xml:space="preserve">full_transcript</x:t>
        </x:is>
      </x:c>
      <x:c r="E54" s="5" t="inlineStr">
        <x:is>
          <x:t xml:space="preserve">00:00:02.000</x:t>
        </x:is>
      </x:c>
      <x:c r="F54" s="5" t="inlineStr">
        <x:is>
          <x:t xml:space="preserve">00:00:04.000</x:t>
        </x:is>
      </x:c>
      <x:c r="G54" s="5" t="inlineStr">
        <x:is>
          <x:t xml:space="preserve">The problem is that your environment makes the good choice harder than the bad choice.</x:t>
        </x:is>
      </x:c>
      <x:c r="H54" s="5" t="inlineStr">
        <x:is>
          <x:t xml:space="preserve">The problem is that your environment makes the good choice harder than the bad choice.</x:t>
        </x:is>
      </x:c>
      <x:c r="I54" s="5" t="inlineStr">
        <x:is>
          <x:t xml:space="preserve">diagnosis</x:t>
        </x:is>
      </x:c>
      <x:c r="J54" s="5" t="inlineStr">
        <x:is>
          <x:t xml:space="preserve">setup</x:t>
        </x:is>
      </x:c>
      <x:c r="K54" s="5" t="inlineStr">
        <x:is>
          <x:t xml:space="preserve">center_upper</x:t>
        </x:is>
      </x:c>
      <x:c r="L54" s="5" t="inlineStr">
        <x:is>
          <x:t xml:space="preserve">low</x:t>
        </x:is>
      </x:c>
    </x:row>
    <x:row r="55" ht="22" customHeight="1">
      <x:c r="A55" s="5" t="inlineStr">
        <x:is>
          <x:t xml:space="preserve">V03_fitness_setup</x:t>
        </x:is>
      </x:c>
      <x:c r="B55" s="5" t="inlineStr">
        <x:is>
          <x:t xml:space="preserve">fitness</x:t>
        </x:is>
      </x:c>
      <x:c r="C55" s="5" t="inlineStr">
        <x:is>
          <x:t xml:space="preserve">3</x:t>
        </x:is>
      </x:c>
      <x:c r="D55" s="5" t="inlineStr">
        <x:is>
          <x:t xml:space="preserve">full_transcript</x:t>
        </x:is>
      </x:c>
      <x:c r="E55" s="5" t="inlineStr">
        <x:is>
          <x:t xml:space="preserve">00:00:04.000</x:t>
        </x:is>
      </x:c>
      <x:c r="F55" s="5" t="inlineStr">
        <x:is>
          <x:t xml:space="preserve">00:00:06.000</x:t>
        </x:is>
      </x:c>
      <x:c r="G55" s="5" t="inlineStr">
        <x:is>
          <x:t xml:space="preserve">Put the shoes near the door before motivation is needed.</x:t>
        </x:is>
      </x:c>
      <x:c r="H55" s="5" t="inlineStr">
        <x:is>
          <x:t xml:space="preserve">Put the shoes near the door before motivation is needed.</x:t>
        </x:is>
      </x:c>
      <x:c r="I55" s="5" t="inlineStr">
        <x:is>
          <x:t xml:space="preserve">action</x:t>
        </x:is>
      </x:c>
      <x:c r="J55" s="5" t="inlineStr">
        <x:is>
          <x:t xml:space="preserve">easy</x:t>
        </x:is>
      </x:c>
      <x:c r="K55" s="5" t="inlineStr">
        <x:is>
          <x:t xml:space="preserve">left_mid</x:t>
        </x:is>
      </x:c>
      <x:c r="L55" s="5" t="inlineStr">
        <x:is>
          <x:t xml:space="preserve">medium</x:t>
        </x:is>
      </x:c>
    </x:row>
    <x:row r="56" ht="22" customHeight="1">
      <x:c r="A56" s="5" t="inlineStr">
        <x:is>
          <x:t xml:space="preserve">V03_fitness_setup</x:t>
        </x:is>
      </x:c>
      <x:c r="B56" s="5" t="inlineStr">
        <x:is>
          <x:t xml:space="preserve">fitness</x:t>
        </x:is>
      </x:c>
      <x:c r="C56" s="5" t="inlineStr">
        <x:is>
          <x:t xml:space="preserve">1</x:t>
        </x:is>
      </x:c>
      <x:c r="D56" s="5" t="inlineStr">
        <x:is>
          <x:t xml:space="preserve">heavy_bionic</x:t>
        </x:is>
      </x:c>
      <x:c r="E56" s="5" t="inlineStr">
        <x:is>
          <x:t xml:space="preserve">00:00:00.000</x:t>
        </x:is>
      </x:c>
      <x:c r="F56" s="5" t="inlineStr">
        <x:is>
          <x:t xml:space="preserve">00:00:02.000</x:t>
        </x:is>
      </x:c>
      <x:c r="G56" s="5" t="inlineStr">
        <x:is>
          <x:t xml:space="preserve">The &lt;b&gt;pro&lt;/b&gt;blem is &lt;b&gt;not&lt;/b&gt; &lt;b&gt;disc&lt;/b&gt;ipline.</x:t>
        </x:is>
      </x:c>
      <x:c r="H56" s="5" t="inlineStr">
        <x:is>
          <x:t xml:space="preserve">The problem is not discipline.</x:t>
        </x:is>
      </x:c>
      <x:c r="I56" s="5" t="inlineStr">
        <x:is>
          <x:t xml:space="preserve">false_belief</x:t>
        </x:is>
      </x:c>
      <x:c r="J56" s="5" t="inlineStr">
        <x:is>
          <x:t xml:space="preserve">discipline</x:t>
        </x:is>
      </x:c>
      <x:c r="K56" s="5" t="inlineStr">
        <x:is>
          <x:t xml:space="preserve">center_upper</x:t>
        </x:is>
      </x:c>
      <x:c r="L56" s="5" t="inlineStr">
        <x:is>
          <x:t xml:space="preserve">low</x:t>
        </x:is>
      </x:c>
    </x:row>
    <x:row r="57" ht="36" customHeight="1">
      <x:c r="A57" s="5" t="inlineStr">
        <x:is>
          <x:t xml:space="preserve">V03_fitness_setup</x:t>
        </x:is>
      </x:c>
      <x:c r="B57" s="5" t="inlineStr">
        <x:is>
          <x:t xml:space="preserve">fitness</x:t>
        </x:is>
      </x:c>
      <x:c r="C57" s="5" t="inlineStr">
        <x:is>
          <x:t xml:space="preserve">2</x:t>
        </x:is>
      </x:c>
      <x:c r="D57" s="5" t="inlineStr">
        <x:is>
          <x:t xml:space="preserve">heavy_bionic</x:t>
        </x:is>
      </x:c>
      <x:c r="E57" s="5" t="inlineStr">
        <x:is>
          <x:t xml:space="preserve">00:00:02.000</x:t>
        </x:is>
      </x:c>
      <x:c r="F57" s="5" t="inlineStr">
        <x:is>
          <x:t xml:space="preserve">00:00:04.000</x:t>
        </x:is>
      </x:c>
      <x:c r="G57" s="5" t="inlineStr">
        <x:is>
          <x:t xml:space="preserve">The &lt;b&gt;pro&lt;/b&gt;blem is that your &lt;b&gt;envir&lt;/b&gt;onment &lt;b&gt;mak&lt;/b&gt;es the &lt;b&gt;good&lt;/b&gt; &lt;b&gt;cho&lt;/b&gt;ice &lt;b&gt;har&lt;/b&gt;der than the bad &lt;b&gt;cho&lt;/b&gt;ice.</x:t>
        </x:is>
      </x:c>
      <x:c r="H57" s="5" t="inlineStr">
        <x:is>
          <x:t xml:space="preserve">The problem is that your environment makes the good choice harder than the bad choice.</x:t>
        </x:is>
      </x:c>
      <x:c r="I57" s="5" t="inlineStr">
        <x:is>
          <x:t xml:space="preserve">diagnosis</x:t>
        </x:is>
      </x:c>
      <x:c r="J57" s="5" t="inlineStr">
        <x:is>
          <x:t xml:space="preserve">setup</x:t>
        </x:is>
      </x:c>
      <x:c r="K57" s="5" t="inlineStr">
        <x:is>
          <x:t xml:space="preserve">center_upper</x:t>
        </x:is>
      </x:c>
      <x:c r="L57" s="5" t="inlineStr">
        <x:is>
          <x:t xml:space="preserve">low</x:t>
        </x:is>
      </x:c>
    </x:row>
    <x:row r="58" ht="36" customHeight="1">
      <x:c r="A58" s="5" t="inlineStr">
        <x:is>
          <x:t xml:space="preserve">V03_fitness_setup</x:t>
        </x:is>
      </x:c>
      <x:c r="B58" s="5" t="inlineStr">
        <x:is>
          <x:t xml:space="preserve">fitness</x:t>
        </x:is>
      </x:c>
      <x:c r="C58" s="5" t="inlineStr">
        <x:is>
          <x:t xml:space="preserve">3</x:t>
        </x:is>
      </x:c>
      <x:c r="D58" s="5" t="inlineStr">
        <x:is>
          <x:t xml:space="preserve">heavy_bionic</x:t>
        </x:is>
      </x:c>
      <x:c r="E58" s="5" t="inlineStr">
        <x:is>
          <x:t xml:space="preserve">00:00:04.000</x:t>
        </x:is>
      </x:c>
      <x:c r="F58" s="5" t="inlineStr">
        <x:is>
          <x:t xml:space="preserve">00:00:06.000</x:t>
        </x:is>
      </x:c>
      <x:c r="G58" s="5" t="inlineStr">
        <x:is>
          <x:t xml:space="preserve">Put the &lt;b&gt;sho&lt;/b&gt;es &lt;b&gt;near&lt;/b&gt; the &lt;b&gt;door&lt;/b&gt; &lt;b&gt;before&lt;/b&gt; &lt;b&gt;moti&lt;/b&gt;vation is &lt;b&gt;nee&lt;/b&gt;ded.</x:t>
        </x:is>
      </x:c>
      <x:c r="H58" s="5" t="inlineStr">
        <x:is>
          <x:t xml:space="preserve">Put the shoes near the door before motivation is needed.</x:t>
        </x:is>
      </x:c>
      <x:c r="I58" s="5" t="inlineStr">
        <x:is>
          <x:t xml:space="preserve">action</x:t>
        </x:is>
      </x:c>
      <x:c r="J58" s="5" t="inlineStr">
        <x:is>
          <x:t xml:space="preserve">easy</x:t>
        </x:is>
      </x:c>
      <x:c r="K58" s="5" t="inlineStr">
        <x:is>
          <x:t xml:space="preserve">left_mid</x:t>
        </x:is>
      </x:c>
      <x:c r="L58" s="5" t="inlineStr">
        <x:is>
          <x:t xml:space="preserve">medium</x:t>
        </x:is>
      </x:c>
    </x:row>
    <x:row r="59" ht="22" customHeight="1">
      <x:c r="A59" s="5" t="inlineStr">
        <x:is>
          <x:t xml:space="preserve">V03_fitness_setup</x:t>
        </x:is>
      </x:c>
      <x:c r="B59" s="5" t="inlineStr">
        <x:is>
          <x:t xml:space="preserve">fitness</x:t>
        </x:is>
      </x:c>
      <x:c r="C59" s="5" t="inlineStr">
        <x:is>
          <x:t xml:space="preserve">1</x:t>
        </x:is>
      </x:c>
      <x:c r="D59" s="5" t="inlineStr">
        <x:is>
          <x:t xml:space="preserve">keyword_highlight</x:t>
        </x:is>
      </x:c>
      <x:c r="E59" s="5" t="inlineStr">
        <x:is>
          <x:t xml:space="preserve">00:00:00.000</x:t>
        </x:is>
      </x:c>
      <x:c r="F59" s="5" t="inlineStr">
        <x:is>
          <x:t xml:space="preserve">00:00:02.000</x:t>
        </x:is>
      </x:c>
      <x:c r="G59" s="5" t="inlineStr">
        <x:is>
          <x:t xml:space="preserve">The problem is not &lt;b&gt;discipline&lt;/b&gt;.</x:t>
        </x:is>
      </x:c>
      <x:c r="H59" s="5" t="inlineStr">
        <x:is>
          <x:t xml:space="preserve">The problem is not discipline.</x:t>
        </x:is>
      </x:c>
      <x:c r="I59" s="5" t="inlineStr">
        <x:is>
          <x:t xml:space="preserve">false_belief</x:t>
        </x:is>
      </x:c>
      <x:c r="J59" s="5" t="inlineStr">
        <x:is>
          <x:t xml:space="preserve">discipline</x:t>
        </x:is>
      </x:c>
      <x:c r="K59" s="5" t="inlineStr">
        <x:is>
          <x:t xml:space="preserve">center_upper</x:t>
        </x:is>
      </x:c>
      <x:c r="L59" s="5" t="inlineStr">
        <x:is>
          <x:t xml:space="preserve">low</x:t>
        </x:is>
      </x:c>
    </x:row>
    <x:row r="60" ht="36" customHeight="1">
      <x:c r="A60" s="5" t="inlineStr">
        <x:is>
          <x:t xml:space="preserve">V03_fitness_setup</x:t>
        </x:is>
      </x:c>
      <x:c r="B60" s="5" t="inlineStr">
        <x:is>
          <x:t xml:space="preserve">fitness</x:t>
        </x:is>
      </x:c>
      <x:c r="C60" s="5" t="inlineStr">
        <x:is>
          <x:t xml:space="preserve">2</x:t>
        </x:is>
      </x:c>
      <x:c r="D60" s="5" t="inlineStr">
        <x:is>
          <x:t xml:space="preserve">keyword_highlight</x:t>
        </x:is>
      </x:c>
      <x:c r="E60" s="5" t="inlineStr">
        <x:is>
          <x:t xml:space="preserve">00:00:02.000</x:t>
        </x:is>
      </x:c>
      <x:c r="F60" s="5" t="inlineStr">
        <x:is>
          <x:t xml:space="preserve">00:00:04.000</x:t>
        </x:is>
      </x:c>
      <x:c r="G60" s="5" t="inlineStr">
        <x:is>
          <x:t xml:space="preserve">The problem is that your environment makes the good choice harder than the bad choice.</x:t>
        </x:is>
      </x:c>
      <x:c r="H60" s="5" t="inlineStr">
        <x:is>
          <x:t xml:space="preserve">The problem is that your environment makes the good choice harder than the bad choice.</x:t>
        </x:is>
      </x:c>
      <x:c r="I60" s="5" t="inlineStr">
        <x:is>
          <x:t xml:space="preserve">diagnosis</x:t>
        </x:is>
      </x:c>
      <x:c r="J60" s="5" t="inlineStr">
        <x:is>
          <x:t xml:space="preserve">setup</x:t>
        </x:is>
      </x:c>
      <x:c r="K60" s="5" t="inlineStr">
        <x:is>
          <x:t xml:space="preserve">center_upper</x:t>
        </x:is>
      </x:c>
      <x:c r="L60" s="5" t="inlineStr">
        <x:is>
          <x:t xml:space="preserve">low</x:t>
        </x:is>
      </x:c>
    </x:row>
    <x:row r="61" ht="22" customHeight="1">
      <x:c r="A61" s="5" t="inlineStr">
        <x:is>
          <x:t xml:space="preserve">V03_fitness_setup</x:t>
        </x:is>
      </x:c>
      <x:c r="B61" s="5" t="inlineStr">
        <x:is>
          <x:t xml:space="preserve">fitness</x:t>
        </x:is>
      </x:c>
      <x:c r="C61" s="5" t="inlineStr">
        <x:is>
          <x:t xml:space="preserve">3</x:t>
        </x:is>
      </x:c>
      <x:c r="D61" s="5" t="inlineStr">
        <x:is>
          <x:t xml:space="preserve">keyword_highlight</x:t>
        </x:is>
      </x:c>
      <x:c r="E61" s="5" t="inlineStr">
        <x:is>
          <x:t xml:space="preserve">00:00:04.000</x:t>
        </x:is>
      </x:c>
      <x:c r="F61" s="5" t="inlineStr">
        <x:is>
          <x:t xml:space="preserve">00:00:06.000</x:t>
        </x:is>
      </x:c>
      <x:c r="G61" s="5" t="inlineStr">
        <x:is>
          <x:t xml:space="preserve">Put the shoes near the door before motivation is needed.</x:t>
        </x:is>
      </x:c>
      <x:c r="H61" s="5" t="inlineStr">
        <x:is>
          <x:t xml:space="preserve">Put the shoes near the door before motivation is needed.</x:t>
        </x:is>
      </x:c>
      <x:c r="I61" s="5" t="inlineStr">
        <x:is>
          <x:t xml:space="preserve">action</x:t>
        </x:is>
      </x:c>
      <x:c r="J61" s="5" t="inlineStr">
        <x:is>
          <x:t xml:space="preserve">easy</x:t>
        </x:is>
      </x:c>
      <x:c r="K61" s="5" t="inlineStr">
        <x:is>
          <x:t xml:space="preserve">left_mid</x:t>
        </x:is>
      </x:c>
      <x:c r="L61" s="5" t="inlineStr">
        <x:is>
          <x:t xml:space="preserve">medium</x:t>
        </x:is>
      </x:c>
    </x:row>
    <x:row r="62" ht="22" customHeight="1">
      <x:c r="A62" s="5" t="inlineStr">
        <x:is>
          <x:t xml:space="preserve">V03_fitness_setup</x:t>
        </x:is>
      </x:c>
      <x:c r="B62" s="5" t="inlineStr">
        <x:is>
          <x:t xml:space="preserve">fitness</x:t>
        </x:is>
      </x:c>
      <x:c r="C62" s="5" t="inlineStr">
        <x:is>
          <x:t xml:space="preserve">1</x:t>
        </x:is>
      </x:c>
      <x:c r="D62" s="5" t="inlineStr">
        <x:is>
          <x:t xml:space="preserve">semantic_compression</x:t>
        </x:is>
      </x:c>
      <x:c r="E62" s="5" t="inlineStr">
        <x:is>
          <x:t xml:space="preserve">00:00:00.000</x:t>
        </x:is>
      </x:c>
      <x:c r="F62" s="5" t="inlineStr">
        <x:is>
          <x:t xml:space="preserve">00:00:02.000</x:t>
        </x:is>
      </x:c>
      <x:c r="G62" s="5" t="inlineStr">
        <x:is>
          <x:t xml:space="preserve">Not discipline.</x:t>
        </x:is>
      </x:c>
      <x:c r="H62" s="5" t="inlineStr">
        <x:is>
          <x:t xml:space="preserve">Not discipline.</x:t>
        </x:is>
      </x:c>
      <x:c r="I62" s="5" t="inlineStr">
        <x:is>
          <x:t xml:space="preserve">false_belief</x:t>
        </x:is>
      </x:c>
      <x:c r="J62" s="5" t="inlineStr">
        <x:is>
          <x:t xml:space="preserve">discipline</x:t>
        </x:is>
      </x:c>
      <x:c r="K62" s="5" t="inlineStr">
        <x:is>
          <x:t xml:space="preserve">center_upper</x:t>
        </x:is>
      </x:c>
      <x:c r="L62" s="5" t="inlineStr">
        <x:is>
          <x:t xml:space="preserve">low</x:t>
        </x:is>
      </x:c>
    </x:row>
    <x:row r="63" ht="22" customHeight="1">
      <x:c r="A63" s="5" t="inlineStr">
        <x:is>
          <x:t xml:space="preserve">V03_fitness_setup</x:t>
        </x:is>
      </x:c>
      <x:c r="B63" s="5" t="inlineStr">
        <x:is>
          <x:t xml:space="preserve">fitness</x:t>
        </x:is>
      </x:c>
      <x:c r="C63" s="5" t="inlineStr">
        <x:is>
          <x:t xml:space="preserve">2</x:t>
        </x:is>
      </x:c>
      <x:c r="D63" s="5" t="inlineStr">
        <x:is>
          <x:t xml:space="preserve">semantic_compression</x:t>
        </x:is>
      </x:c>
      <x:c r="E63" s="5" t="inlineStr">
        <x:is>
          <x:t xml:space="preserve">00:00:02.000</x:t>
        </x:is>
      </x:c>
      <x:c r="F63" s="5" t="inlineStr">
        <x:is>
          <x:t xml:space="preserve">00:00:04.000</x:t>
        </x:is>
      </x:c>
      <x:c r="G63" s="5" t="inlineStr">
        <x:is>
          <x:t xml:space="preserve">Bad setup.</x:t>
        </x:is>
      </x:c>
      <x:c r="H63" s="5" t="inlineStr">
        <x:is>
          <x:t xml:space="preserve">Bad setup.</x:t>
        </x:is>
      </x:c>
      <x:c r="I63" s="5" t="inlineStr">
        <x:is>
          <x:t xml:space="preserve">diagnosis</x:t>
        </x:is>
      </x:c>
      <x:c r="J63" s="5" t="inlineStr">
        <x:is>
          <x:t xml:space="preserve">setup</x:t>
        </x:is>
      </x:c>
      <x:c r="K63" s="5" t="inlineStr">
        <x:is>
          <x:t xml:space="preserve">center_upper</x:t>
        </x:is>
      </x:c>
      <x:c r="L63" s="5" t="inlineStr">
        <x:is>
          <x:t xml:space="preserve">low</x:t>
        </x:is>
      </x:c>
    </x:row>
    <x:row r="64" ht="22" customHeight="1">
      <x:c r="A64" s="5" t="inlineStr">
        <x:is>
          <x:t xml:space="preserve">V03_fitness_setup</x:t>
        </x:is>
      </x:c>
      <x:c r="B64" s="5" t="inlineStr">
        <x:is>
          <x:t xml:space="preserve">fitness</x:t>
        </x:is>
      </x:c>
      <x:c r="C64" s="5" t="inlineStr">
        <x:is>
          <x:t xml:space="preserve">3</x:t>
        </x:is>
      </x:c>
      <x:c r="D64" s="5" t="inlineStr">
        <x:is>
          <x:t xml:space="preserve">semantic_compression</x:t>
        </x:is>
      </x:c>
      <x:c r="E64" s="5" t="inlineStr">
        <x:is>
          <x:t xml:space="preserve">00:00:04.000</x:t>
        </x:is>
      </x:c>
      <x:c r="F64" s="5" t="inlineStr">
        <x:is>
          <x:t xml:space="preserve">00:00:06.000</x:t>
        </x:is>
      </x:c>
      <x:c r="G64" s="5" t="inlineStr">
        <x:is>
          <x:t xml:space="preserve">Make good easy.</x:t>
        </x:is>
      </x:c>
      <x:c r="H64" s="5" t="inlineStr">
        <x:is>
          <x:t xml:space="preserve">Make good easy.</x:t>
        </x:is>
      </x:c>
      <x:c r="I64" s="5" t="inlineStr">
        <x:is>
          <x:t xml:space="preserve">action</x:t>
        </x:is>
      </x:c>
      <x:c r="J64" s="5" t="inlineStr">
        <x:is>
          <x:t xml:space="preserve">easy</x:t>
        </x:is>
      </x:c>
      <x:c r="K64" s="5" t="inlineStr">
        <x:is>
          <x:t xml:space="preserve">left_mid</x:t>
        </x:is>
      </x:c>
      <x:c r="L64" s="5" t="inlineStr">
        <x:is>
          <x:t xml:space="preserve">medium</x:t>
        </x:is>
      </x:c>
    </x:row>
    <x:row r="65" ht="22" customHeight="1">
      <x:c r="A65" s="5" t="inlineStr">
        <x:is>
          <x:t xml:space="preserve">V04_money_visibility</x:t>
        </x:is>
      </x:c>
      <x:c r="B65" s="5" t="inlineStr">
        <x:is>
          <x:t xml:space="preserve">finance</x:t>
        </x:is>
      </x:c>
      <x:c r="C65" s="5" t="inlineStr">
        <x:is>
          <x:t xml:space="preserve">1</x:t>
        </x:is>
      </x:c>
      <x:c r="D65" s="5" t="inlineStr">
        <x:is>
          <x:t xml:space="preserve">bcc</x:t>
        </x:is>
      </x:c>
      <x:c r="E65" s="5" t="inlineStr">
        <x:is>
          <x:t xml:space="preserve">00:00:00.000</x:t>
        </x:is>
      </x:c>
      <x:c r="F65" s="5" t="inlineStr">
        <x:is>
          <x:t xml:space="preserve">00:00:02.000</x:t>
        </x:is>
      </x:c>
      <x:c r="G65" s="5" t="inlineStr">
        <x:is>
          <x:t xml:space="preserve">&lt;b&gt;Not&lt;/b&gt; &lt;b&gt;budg&lt;/b&gt;eting.</x:t>
        </x:is>
      </x:c>
      <x:c r="H65" s="5" t="inlineStr">
        <x:is>
          <x:t xml:space="preserve">Not budgeting.</x:t>
        </x:is>
      </x:c>
      <x:c r="I65" s="5" t="inlineStr">
        <x:is>
          <x:t xml:space="preserve">false_belief</x:t>
        </x:is>
      </x:c>
      <x:c r="J65" s="5" t="inlineStr">
        <x:is>
          <x:t xml:space="preserve">budgeting</x:t>
        </x:is>
      </x:c>
      <x:c r="K65" s="5" t="inlineStr">
        <x:is>
          <x:t xml:space="preserve">center_upper</x:t>
        </x:is>
      </x:c>
      <x:c r="L65" s="5" t="inlineStr">
        <x:is>
          <x:t xml:space="preserve">low</x:t>
        </x:is>
      </x:c>
    </x:row>
    <x:row r="66" ht="22" customHeight="1">
      <x:c r="A66" s="5" t="inlineStr">
        <x:is>
          <x:t xml:space="preserve">V04_money_visibility</x:t>
        </x:is>
      </x:c>
      <x:c r="B66" s="5" t="inlineStr">
        <x:is>
          <x:t xml:space="preserve">finance</x:t>
        </x:is>
      </x:c>
      <x:c r="C66" s="5" t="inlineStr">
        <x:is>
          <x:t xml:space="preserve">2</x:t>
        </x:is>
      </x:c>
      <x:c r="D66" s="5" t="inlineStr">
        <x:is>
          <x:t xml:space="preserve">bcc</x:t>
        </x:is>
      </x:c>
      <x:c r="E66" s="5" t="inlineStr">
        <x:is>
          <x:t xml:space="preserve">00:00:02.000</x:t>
        </x:is>
      </x:c>
      <x:c r="F66" s="5" t="inlineStr">
        <x:is>
          <x:t xml:space="preserve">00:00:04.000</x:t>
        </x:is>
      </x:c>
      <x:c r="G66" s="5" t="inlineStr">
        <x:is>
          <x:t xml:space="preserve">&lt;b&gt;Visi&lt;/b&gt;bility.</x:t>
        </x:is>
      </x:c>
      <x:c r="H66" s="5" t="inlineStr">
        <x:is>
          <x:t xml:space="preserve">Visibility.</x:t>
        </x:is>
      </x:c>
      <x:c r="I66" s="5" t="inlineStr">
        <x:is>
          <x:t xml:space="preserve">correction</x:t>
        </x:is>
      </x:c>
      <x:c r="J66" s="5" t="inlineStr">
        <x:is>
          <x:t xml:space="preserve">visibility</x:t>
        </x:is>
      </x:c>
      <x:c r="K66" s="5" t="inlineStr">
        <x:is>
          <x:t xml:space="preserve">center_upper</x:t>
        </x:is>
      </x:c>
      <x:c r="L66" s="5" t="inlineStr">
        <x:is>
          <x:t xml:space="preserve">low</x:t>
        </x:is>
      </x:c>
    </x:row>
    <x:row r="67" ht="22" customHeight="1">
      <x:c r="A67" s="5" t="inlineStr">
        <x:is>
          <x:t xml:space="preserve">V04_money_visibility</x:t>
        </x:is>
      </x:c>
      <x:c r="B67" s="5" t="inlineStr">
        <x:is>
          <x:t xml:space="preserve">finance</x:t>
        </x:is>
      </x:c>
      <x:c r="C67" s="5" t="inlineStr">
        <x:is>
          <x:t xml:space="preserve">3</x:t>
        </x:is>
      </x:c>
      <x:c r="D67" s="5" t="inlineStr">
        <x:is>
          <x:t xml:space="preserve">bcc</x:t>
        </x:is>
      </x:c>
      <x:c r="E67" s="5" t="inlineStr">
        <x:is>
          <x:t xml:space="preserve">00:00:04.000</x:t>
        </x:is>
      </x:c>
      <x:c r="F67" s="5" t="inlineStr">
        <x:is>
          <x:t xml:space="preserve">00:00:06.000</x:t>
        </x:is>
      </x:c>
      <x:c r="G67" s="5" t="inlineStr">
        <x:is>
          <x:t xml:space="preserve">&lt;b&gt;Tra&lt;/b&gt;ck &lt;b&gt;first&lt;/b&gt;.</x:t>
        </x:is>
      </x:c>
      <x:c r="H67" s="5" t="inlineStr">
        <x:is>
          <x:t xml:space="preserve">Track first.</x:t>
        </x:is>
      </x:c>
      <x:c r="I67" s="5" t="inlineStr">
        <x:is>
          <x:t xml:space="preserve">action</x:t>
        </x:is>
      </x:c>
      <x:c r="J67" s="5" t="inlineStr">
        <x:is>
          <x:t xml:space="preserve">track</x:t>
        </x:is>
      </x:c>
      <x:c r="K67" s="5" t="inlineStr">
        <x:is>
          <x:t xml:space="preserve">center_upper</x:t>
        </x:is>
      </x:c>
      <x:c r="L67" s="5" t="inlineStr">
        <x:is>
          <x:t xml:space="preserve">medium</x:t>
        </x:is>
      </x:c>
    </x:row>
    <x:row r="68" ht="22" customHeight="1">
      <x:c r="A68" s="5" t="inlineStr">
        <x:is>
          <x:t xml:space="preserve">V04_money_visibility</x:t>
        </x:is>
      </x:c>
      <x:c r="B68" s="5" t="inlineStr">
        <x:is>
          <x:t xml:space="preserve">finance</x:t>
        </x:is>
      </x:c>
      <x:c r="C68" s="5" t="inlineStr">
        <x:is>
          <x:t xml:space="preserve">1</x:t>
        </x:is>
      </x:c>
      <x:c r="D68" s="5" t="inlineStr">
        <x:is>
          <x:t xml:space="preserve">bcc_plus</x:t>
        </x:is>
      </x:c>
      <x:c r="E68" s="5" t="inlineStr">
        <x:is>
          <x:t xml:space="preserve">00:00:00.000</x:t>
        </x:is>
      </x:c>
      <x:c r="F68" s="5" t="inlineStr">
        <x:is>
          <x:t xml:space="preserve">00:00:02.000</x:t>
        </x:is>
      </x:c>
      <x:c r="G68" s="5" t="inlineStr">
        <x:is>
          <x:t xml:space="preserve">&lt;b&gt;Not&lt;/b&gt; &lt;b&gt;budg&lt;/b&gt;eting.</x:t>
        </x:is>
      </x:c>
      <x:c r="H68" s="5" t="inlineStr">
        <x:is>
          <x:t xml:space="preserve">Not budgeting.</x:t>
        </x:is>
      </x:c>
      <x:c r="I68" s="5" t="inlineStr">
        <x:is>
          <x:t xml:space="preserve">false_belief</x:t>
        </x:is>
      </x:c>
      <x:c r="J68" s="5" t="inlineStr">
        <x:is>
          <x:t xml:space="preserve">budgeting</x:t>
        </x:is>
      </x:c>
      <x:c r="K68" s="5" t="inlineStr">
        <x:is>
          <x:t xml:space="preserve">center_upper</x:t>
        </x:is>
      </x:c>
      <x:c r="L68" s="5" t="inlineStr">
        <x:is>
          <x:t xml:space="preserve">low</x:t>
        </x:is>
      </x:c>
    </x:row>
    <x:row r="69" ht="22" customHeight="1">
      <x:c r="A69" s="5" t="inlineStr">
        <x:is>
          <x:t xml:space="preserve">V04_money_visibility</x:t>
        </x:is>
      </x:c>
      <x:c r="B69" s="5" t="inlineStr">
        <x:is>
          <x:t xml:space="preserve">finance</x:t>
        </x:is>
      </x:c>
      <x:c r="C69" s="5" t="inlineStr">
        <x:is>
          <x:t xml:space="preserve">2</x:t>
        </x:is>
      </x:c>
      <x:c r="D69" s="5" t="inlineStr">
        <x:is>
          <x:t xml:space="preserve">bcc_plus</x:t>
        </x:is>
      </x:c>
      <x:c r="E69" s="5" t="inlineStr">
        <x:is>
          <x:t xml:space="preserve">00:00:02.000</x:t>
        </x:is>
      </x:c>
      <x:c r="F69" s="5" t="inlineStr">
        <x:is>
          <x:t xml:space="preserve">00:00:04.000</x:t>
        </x:is>
      </x:c>
      <x:c r="G69" s="5" t="inlineStr">
        <x:is>
          <x:t xml:space="preserve">&lt;b&gt;Visi&lt;/b&gt;bility.</x:t>
        </x:is>
      </x:c>
      <x:c r="H69" s="5" t="inlineStr">
        <x:is>
          <x:t xml:space="preserve">Visibility.</x:t>
        </x:is>
      </x:c>
      <x:c r="I69" s="5" t="inlineStr">
        <x:is>
          <x:t xml:space="preserve">correction</x:t>
        </x:is>
      </x:c>
      <x:c r="J69" s="5" t="inlineStr">
        <x:is>
          <x:t xml:space="preserve">visibility</x:t>
        </x:is>
      </x:c>
      <x:c r="K69" s="5" t="inlineStr">
        <x:is>
          <x:t xml:space="preserve">center_upper</x:t>
        </x:is>
      </x:c>
      <x:c r="L69" s="5" t="inlineStr">
        <x:is>
          <x:t xml:space="preserve">low</x:t>
        </x:is>
      </x:c>
    </x:row>
    <x:row r="70" ht="22" customHeight="1">
      <x:c r="A70" s="5" t="inlineStr">
        <x:is>
          <x:t xml:space="preserve">V04_money_visibility</x:t>
        </x:is>
      </x:c>
      <x:c r="B70" s="5" t="inlineStr">
        <x:is>
          <x:t xml:space="preserve">finance</x:t>
        </x:is>
      </x:c>
      <x:c r="C70" s="5" t="inlineStr">
        <x:is>
          <x:t xml:space="preserve">3</x:t>
        </x:is>
      </x:c>
      <x:c r="D70" s="5" t="inlineStr">
        <x:is>
          <x:t xml:space="preserve">bcc_plus</x:t>
        </x:is>
      </x:c>
      <x:c r="E70" s="5" t="inlineStr">
        <x:is>
          <x:t xml:space="preserve">00:00:04.000</x:t>
        </x:is>
      </x:c>
      <x:c r="F70" s="5" t="inlineStr">
        <x:is>
          <x:t xml:space="preserve">00:00:06.000</x:t>
        </x:is>
      </x:c>
      <x:c r="G70" s="5" t="inlineStr">
        <x:is>
          <x:t xml:space="preserve">&lt;b&gt;Tra&lt;/b&gt;ck &lt;b&gt;first&lt;/b&gt;.</x:t>
        </x:is>
      </x:c>
      <x:c r="H70" s="5" t="inlineStr">
        <x:is>
          <x:t xml:space="preserve">Track first.</x:t>
        </x:is>
      </x:c>
      <x:c r="I70" s="5" t="inlineStr">
        <x:is>
          <x:t xml:space="preserve">action</x:t>
        </x:is>
      </x:c>
      <x:c r="J70" s="5" t="inlineStr">
        <x:is>
          <x:t xml:space="preserve">track</x:t>
        </x:is>
      </x:c>
      <x:c r="K70" s="5" t="inlineStr">
        <x:is>
          <x:t xml:space="preserve">center_upper</x:t>
        </x:is>
      </x:c>
      <x:c r="L70" s="5" t="inlineStr">
        <x:is>
          <x:t xml:space="preserve">medium</x:t>
        </x:is>
      </x:c>
    </x:row>
    <x:row r="71" ht="22" customHeight="1">
      <x:c r="A71" s="5" t="inlineStr">
        <x:is>
          <x:t xml:space="preserve">V04_money_visibility</x:t>
        </x:is>
      </x:c>
      <x:c r="B71" s="5" t="inlineStr">
        <x:is>
          <x:t xml:space="preserve">finance</x:t>
        </x:is>
      </x:c>
      <x:c r="C71" s="5" t="inlineStr">
        <x:is>
          <x:t xml:space="preserve">1</x:t>
        </x:is>
      </x:c>
      <x:c r="D71" s="5" t="inlineStr">
        <x:is>
          <x:t xml:space="preserve">full_transcript</x:t>
        </x:is>
      </x:c>
      <x:c r="E71" s="5" t="inlineStr">
        <x:is>
          <x:t xml:space="preserve">00:00:00.000</x:t>
        </x:is>
      </x:c>
      <x:c r="F71" s="5" t="inlineStr">
        <x:is>
          <x:t xml:space="preserve">00:00:02.000</x:t>
        </x:is>
      </x:c>
      <x:c r="G71" s="5" t="inlineStr">
        <x:is>
          <x:t xml:space="preserve">You do not have a budgeting problem yet.</x:t>
        </x:is>
      </x:c>
      <x:c r="H71" s="5" t="inlineStr">
        <x:is>
          <x:t xml:space="preserve">You do not have a budgeting problem yet.</x:t>
        </x:is>
      </x:c>
      <x:c r="I71" s="5" t="inlineStr">
        <x:is>
          <x:t xml:space="preserve">false_belief</x:t>
        </x:is>
      </x:c>
      <x:c r="J71" s="5" t="inlineStr">
        <x:is>
          <x:t xml:space="preserve">budgeting</x:t>
        </x:is>
      </x:c>
      <x:c r="K71" s="5" t="inlineStr">
        <x:is>
          <x:t xml:space="preserve">center_upper</x:t>
        </x:is>
      </x:c>
      <x:c r="L71" s="5" t="inlineStr">
        <x:is>
          <x:t xml:space="preserve">low</x:t>
        </x:is>
      </x:c>
    </x:row>
    <x:row r="72" ht="22" customHeight="1">
      <x:c r="A72" s="5" t="inlineStr">
        <x:is>
          <x:t xml:space="preserve">V04_money_visibility</x:t>
        </x:is>
      </x:c>
      <x:c r="B72" s="5" t="inlineStr">
        <x:is>
          <x:t xml:space="preserve">finance</x:t>
        </x:is>
      </x:c>
      <x:c r="C72" s="5" t="inlineStr">
        <x:is>
          <x:t xml:space="preserve">2</x:t>
        </x:is>
      </x:c>
      <x:c r="D72" s="5" t="inlineStr">
        <x:is>
          <x:t xml:space="preserve">full_transcript</x:t>
        </x:is>
      </x:c>
      <x:c r="E72" s="5" t="inlineStr">
        <x:is>
          <x:t xml:space="preserve">00:00:02.000</x:t>
        </x:is>
      </x:c>
      <x:c r="F72" s="5" t="inlineStr">
        <x:is>
          <x:t xml:space="preserve">00:00:04.000</x:t>
        </x:is>
      </x:c>
      <x:c r="G72" s="5" t="inlineStr">
        <x:is>
          <x:t xml:space="preserve">You have a visibility problem.</x:t>
        </x:is>
      </x:c>
      <x:c r="H72" s="5" t="inlineStr">
        <x:is>
          <x:t xml:space="preserve">You have a visibility problem.</x:t>
        </x:is>
      </x:c>
      <x:c r="I72" s="5" t="inlineStr">
        <x:is>
          <x:t xml:space="preserve">correction</x:t>
        </x:is>
      </x:c>
      <x:c r="J72" s="5" t="inlineStr">
        <x:is>
          <x:t xml:space="preserve">visibility</x:t>
        </x:is>
      </x:c>
      <x:c r="K72" s="5" t="inlineStr">
        <x:is>
          <x:t xml:space="preserve">center_upper</x:t>
        </x:is>
      </x:c>
      <x:c r="L72" s="5" t="inlineStr">
        <x:is>
          <x:t xml:space="preserve">low</x:t>
        </x:is>
      </x:c>
    </x:row>
    <x:row r="73" ht="22" customHeight="1">
      <x:c r="A73" s="5" t="inlineStr">
        <x:is>
          <x:t xml:space="preserve">V04_money_visibility</x:t>
        </x:is>
      </x:c>
      <x:c r="B73" s="5" t="inlineStr">
        <x:is>
          <x:t xml:space="preserve">finance</x:t>
        </x:is>
      </x:c>
      <x:c r="C73" s="5" t="inlineStr">
        <x:is>
          <x:t xml:space="preserve">3</x:t>
        </x:is>
      </x:c>
      <x:c r="D73" s="5" t="inlineStr">
        <x:is>
          <x:t xml:space="preserve">full_transcript</x:t>
        </x:is>
      </x:c>
      <x:c r="E73" s="5" t="inlineStr">
        <x:is>
          <x:t xml:space="preserve">00:00:04.000</x:t>
        </x:is>
      </x:c>
      <x:c r="F73" s="5" t="inlineStr">
        <x:is>
          <x:t xml:space="preserve">00:00:06.000</x:t>
        </x:is>
      </x:c>
      <x:c r="G73" s="5" t="inlineStr">
        <x:is>
          <x:t xml:space="preserve">Track where the money goes before you try to control it.</x:t>
        </x:is>
      </x:c>
      <x:c r="H73" s="5" t="inlineStr">
        <x:is>
          <x:t xml:space="preserve">Track where the money goes before you try to control it.</x:t>
        </x:is>
      </x:c>
      <x:c r="I73" s="5" t="inlineStr">
        <x:is>
          <x:t xml:space="preserve">action</x:t>
        </x:is>
      </x:c>
      <x:c r="J73" s="5" t="inlineStr">
        <x:is>
          <x:t xml:space="preserve">track</x:t>
        </x:is>
      </x:c>
      <x:c r="K73" s="5" t="inlineStr">
        <x:is>
          <x:t xml:space="preserve">center_upper</x:t>
        </x:is>
      </x:c>
      <x:c r="L73" s="5" t="inlineStr">
        <x:is>
          <x:t xml:space="preserve">medium</x:t>
        </x:is>
      </x:c>
    </x:row>
    <x:row r="74" ht="22" customHeight="1">
      <x:c r="A74" s="5" t="inlineStr">
        <x:is>
          <x:t xml:space="preserve">V04_money_visibility</x:t>
        </x:is>
      </x:c>
      <x:c r="B74" s="5" t="inlineStr">
        <x:is>
          <x:t xml:space="preserve">finance</x:t>
        </x:is>
      </x:c>
      <x:c r="C74" s="5" t="inlineStr">
        <x:is>
          <x:t xml:space="preserve">1</x:t>
        </x:is>
      </x:c>
      <x:c r="D74" s="5" t="inlineStr">
        <x:is>
          <x:t xml:space="preserve">heavy_bionic</x:t>
        </x:is>
      </x:c>
      <x:c r="E74" s="5" t="inlineStr">
        <x:is>
          <x:t xml:space="preserve">00:00:00.000</x:t>
        </x:is>
      </x:c>
      <x:c r="F74" s="5" t="inlineStr">
        <x:is>
          <x:t xml:space="preserve">00:00:02.000</x:t>
        </x:is>
      </x:c>
      <x:c r="G74" s="5" t="inlineStr">
        <x:is>
          <x:t xml:space="preserve">You do &lt;b&gt;not&lt;/b&gt; &lt;b&gt;have&lt;/b&gt; a &lt;b&gt;budg&lt;/b&gt;eting &lt;b&gt;pro&lt;/b&gt;blem yet.</x:t>
        </x:is>
      </x:c>
      <x:c r="H74" s="5" t="inlineStr">
        <x:is>
          <x:t xml:space="preserve">You do not have a budgeting problem yet.</x:t>
        </x:is>
      </x:c>
      <x:c r="I74" s="5" t="inlineStr">
        <x:is>
          <x:t xml:space="preserve">false_belief</x:t>
        </x:is>
      </x:c>
      <x:c r="J74" s="5" t="inlineStr">
        <x:is>
          <x:t xml:space="preserve">budgeting</x:t>
        </x:is>
      </x:c>
      <x:c r="K74" s="5" t="inlineStr">
        <x:is>
          <x:t xml:space="preserve">center_upper</x:t>
        </x:is>
      </x:c>
      <x:c r="L74" s="5" t="inlineStr">
        <x:is>
          <x:t xml:space="preserve">low</x:t>
        </x:is>
      </x:c>
    </x:row>
    <x:row r="75" ht="22" customHeight="1">
      <x:c r="A75" s="5" t="inlineStr">
        <x:is>
          <x:t xml:space="preserve">V04_money_visibility</x:t>
        </x:is>
      </x:c>
      <x:c r="B75" s="5" t="inlineStr">
        <x:is>
          <x:t xml:space="preserve">finance</x:t>
        </x:is>
      </x:c>
      <x:c r="C75" s="5" t="inlineStr">
        <x:is>
          <x:t xml:space="preserve">2</x:t>
        </x:is>
      </x:c>
      <x:c r="D75" s="5" t="inlineStr">
        <x:is>
          <x:t xml:space="preserve">heavy_bionic</x:t>
        </x:is>
      </x:c>
      <x:c r="E75" s="5" t="inlineStr">
        <x:is>
          <x:t xml:space="preserve">00:00:02.000</x:t>
        </x:is>
      </x:c>
      <x:c r="F75" s="5" t="inlineStr">
        <x:is>
          <x:t xml:space="preserve">00:00:04.000</x:t>
        </x:is>
      </x:c>
      <x:c r="G75" s="5" t="inlineStr">
        <x:is>
          <x:t xml:space="preserve">You &lt;b&gt;have&lt;/b&gt; a &lt;b&gt;visi&lt;/b&gt;bility &lt;b&gt;pro&lt;/b&gt;blem.</x:t>
        </x:is>
      </x:c>
      <x:c r="H75" s="5" t="inlineStr">
        <x:is>
          <x:t xml:space="preserve">You have a visibility problem.</x:t>
        </x:is>
      </x:c>
      <x:c r="I75" s="5" t="inlineStr">
        <x:is>
          <x:t xml:space="preserve">correction</x:t>
        </x:is>
      </x:c>
      <x:c r="J75" s="5" t="inlineStr">
        <x:is>
          <x:t xml:space="preserve">visibility</x:t>
        </x:is>
      </x:c>
      <x:c r="K75" s="5" t="inlineStr">
        <x:is>
          <x:t xml:space="preserve">center_upper</x:t>
        </x:is>
      </x:c>
      <x:c r="L75" s="5" t="inlineStr">
        <x:is>
          <x:t xml:space="preserve">low</x:t>
        </x:is>
      </x:c>
    </x:row>
    <x:row r="76" ht="36" customHeight="1">
      <x:c r="A76" s="5" t="inlineStr">
        <x:is>
          <x:t xml:space="preserve">V04_money_visibility</x:t>
        </x:is>
      </x:c>
      <x:c r="B76" s="5" t="inlineStr">
        <x:is>
          <x:t xml:space="preserve">finance</x:t>
        </x:is>
      </x:c>
      <x:c r="C76" s="5" t="inlineStr">
        <x:is>
          <x:t xml:space="preserve">3</x:t>
        </x:is>
      </x:c>
      <x:c r="D76" s="5" t="inlineStr">
        <x:is>
          <x:t xml:space="preserve">heavy_bionic</x:t>
        </x:is>
      </x:c>
      <x:c r="E76" s="5" t="inlineStr">
        <x:is>
          <x:t xml:space="preserve">00:00:04.000</x:t>
        </x:is>
      </x:c>
      <x:c r="F76" s="5" t="inlineStr">
        <x:is>
          <x:t xml:space="preserve">00:00:06.000</x:t>
        </x:is>
      </x:c>
      <x:c r="G76" s="5" t="inlineStr">
        <x:is>
          <x:t xml:space="preserve">&lt;b&gt;Tra&lt;/b&gt;ck &lt;b&gt;whe&lt;/b&gt;re the &lt;b&gt;mon&lt;/b&gt;ey &lt;b&gt;goes&lt;/b&gt; &lt;b&gt;before&lt;/b&gt; you try to &lt;b&gt;con&lt;/b&gt;trol it.</x:t>
        </x:is>
      </x:c>
      <x:c r="H76" s="5" t="inlineStr">
        <x:is>
          <x:t xml:space="preserve">Track where the money goes before you try to control it.</x:t>
        </x:is>
      </x:c>
      <x:c r="I76" s="5" t="inlineStr">
        <x:is>
          <x:t xml:space="preserve">action</x:t>
        </x:is>
      </x:c>
      <x:c r="J76" s="5" t="inlineStr">
        <x:is>
          <x:t xml:space="preserve">track</x:t>
        </x:is>
      </x:c>
      <x:c r="K76" s="5" t="inlineStr">
        <x:is>
          <x:t xml:space="preserve">center_upper</x:t>
        </x:is>
      </x:c>
      <x:c r="L76" s="5" t="inlineStr">
        <x:is>
          <x:t xml:space="preserve">medium</x:t>
        </x:is>
      </x:c>
    </x:row>
    <x:row r="77" ht="22" customHeight="1">
      <x:c r="A77" s="5" t="inlineStr">
        <x:is>
          <x:t xml:space="preserve">V04_money_visibility</x:t>
        </x:is>
      </x:c>
      <x:c r="B77" s="5" t="inlineStr">
        <x:is>
          <x:t xml:space="preserve">finance</x:t>
        </x:is>
      </x:c>
      <x:c r="C77" s="5" t="inlineStr">
        <x:is>
          <x:t xml:space="preserve">1</x:t>
        </x:is>
      </x:c>
      <x:c r="D77" s="5" t="inlineStr">
        <x:is>
          <x:t xml:space="preserve">keyword_highlight</x:t>
        </x:is>
      </x:c>
      <x:c r="E77" s="5" t="inlineStr">
        <x:is>
          <x:t xml:space="preserve">00:00:00.000</x:t>
        </x:is>
      </x:c>
      <x:c r="F77" s="5" t="inlineStr">
        <x:is>
          <x:t xml:space="preserve">00:00:02.000</x:t>
        </x:is>
      </x:c>
      <x:c r="G77" s="5" t="inlineStr">
        <x:is>
          <x:t xml:space="preserve">You do not have a &lt;b&gt;budgeting&lt;/b&gt; problem yet.</x:t>
        </x:is>
      </x:c>
      <x:c r="H77" s="5" t="inlineStr">
        <x:is>
          <x:t xml:space="preserve">You do not have a budgeting problem yet.</x:t>
        </x:is>
      </x:c>
      <x:c r="I77" s="5" t="inlineStr">
        <x:is>
          <x:t xml:space="preserve">false_belief</x:t>
        </x:is>
      </x:c>
      <x:c r="J77" s="5" t="inlineStr">
        <x:is>
          <x:t xml:space="preserve">budgeting</x:t>
        </x:is>
      </x:c>
      <x:c r="K77" s="5" t="inlineStr">
        <x:is>
          <x:t xml:space="preserve">center_upper</x:t>
        </x:is>
      </x:c>
      <x:c r="L77" s="5" t="inlineStr">
        <x:is>
          <x:t xml:space="preserve">low</x:t>
        </x:is>
      </x:c>
    </x:row>
    <x:row r="78" ht="22" customHeight="1">
      <x:c r="A78" s="5" t="inlineStr">
        <x:is>
          <x:t xml:space="preserve">V04_money_visibility</x:t>
        </x:is>
      </x:c>
      <x:c r="B78" s="5" t="inlineStr">
        <x:is>
          <x:t xml:space="preserve">finance</x:t>
        </x:is>
      </x:c>
      <x:c r="C78" s="5" t="inlineStr">
        <x:is>
          <x:t xml:space="preserve">2</x:t>
        </x:is>
      </x:c>
      <x:c r="D78" s="5" t="inlineStr">
        <x:is>
          <x:t xml:space="preserve">keyword_highlight</x:t>
        </x:is>
      </x:c>
      <x:c r="E78" s="5" t="inlineStr">
        <x:is>
          <x:t xml:space="preserve">00:00:02.000</x:t>
        </x:is>
      </x:c>
      <x:c r="F78" s="5" t="inlineStr">
        <x:is>
          <x:t xml:space="preserve">00:00:04.000</x:t>
        </x:is>
      </x:c>
      <x:c r="G78" s="5" t="inlineStr">
        <x:is>
          <x:t xml:space="preserve">You have a &lt;b&gt;visibility&lt;/b&gt; problem.</x:t>
        </x:is>
      </x:c>
      <x:c r="H78" s="5" t="inlineStr">
        <x:is>
          <x:t xml:space="preserve">You have a visibility problem.</x:t>
        </x:is>
      </x:c>
      <x:c r="I78" s="5" t="inlineStr">
        <x:is>
          <x:t xml:space="preserve">correction</x:t>
        </x:is>
      </x:c>
      <x:c r="J78" s="5" t="inlineStr">
        <x:is>
          <x:t xml:space="preserve">visibility</x:t>
        </x:is>
      </x:c>
      <x:c r="K78" s="5" t="inlineStr">
        <x:is>
          <x:t xml:space="preserve">center_upper</x:t>
        </x:is>
      </x:c>
      <x:c r="L78" s="5" t="inlineStr">
        <x:is>
          <x:t xml:space="preserve">low</x:t>
        </x:is>
      </x:c>
    </x:row>
    <x:row r="79" ht="22" customHeight="1">
      <x:c r="A79" s="5" t="inlineStr">
        <x:is>
          <x:t xml:space="preserve">V04_money_visibility</x:t>
        </x:is>
      </x:c>
      <x:c r="B79" s="5" t="inlineStr">
        <x:is>
          <x:t xml:space="preserve">finance</x:t>
        </x:is>
      </x:c>
      <x:c r="C79" s="5" t="inlineStr">
        <x:is>
          <x:t xml:space="preserve">3</x:t>
        </x:is>
      </x:c>
      <x:c r="D79" s="5" t="inlineStr">
        <x:is>
          <x:t xml:space="preserve">keyword_highlight</x:t>
        </x:is>
      </x:c>
      <x:c r="E79" s="5" t="inlineStr">
        <x:is>
          <x:t xml:space="preserve">00:00:04.000</x:t>
        </x:is>
      </x:c>
      <x:c r="F79" s="5" t="inlineStr">
        <x:is>
          <x:t xml:space="preserve">00:00:06.000</x:t>
        </x:is>
      </x:c>
      <x:c r="G79" s="5" t="inlineStr">
        <x:is>
          <x:t xml:space="preserve">&lt;b&gt;Track&lt;/b&gt; where the money goes before you try to control it.</x:t>
        </x:is>
      </x:c>
      <x:c r="H79" s="5" t="inlineStr">
        <x:is>
          <x:t xml:space="preserve">Track where the money goes before you try to control it.</x:t>
        </x:is>
      </x:c>
      <x:c r="I79" s="5" t="inlineStr">
        <x:is>
          <x:t xml:space="preserve">action</x:t>
        </x:is>
      </x:c>
      <x:c r="J79" s="5" t="inlineStr">
        <x:is>
          <x:t xml:space="preserve">track</x:t>
        </x:is>
      </x:c>
      <x:c r="K79" s="5" t="inlineStr">
        <x:is>
          <x:t xml:space="preserve">center_upper</x:t>
        </x:is>
      </x:c>
      <x:c r="L79" s="5" t="inlineStr">
        <x:is>
          <x:t xml:space="preserve">medium</x:t>
        </x:is>
      </x:c>
    </x:row>
    <x:row r="80" ht="22" customHeight="1">
      <x:c r="A80" s="5" t="inlineStr">
        <x:is>
          <x:t xml:space="preserve">V04_money_visibility</x:t>
        </x:is>
      </x:c>
      <x:c r="B80" s="5" t="inlineStr">
        <x:is>
          <x:t xml:space="preserve">finance</x:t>
        </x:is>
      </x:c>
      <x:c r="C80" s="5" t="inlineStr">
        <x:is>
          <x:t xml:space="preserve">1</x:t>
        </x:is>
      </x:c>
      <x:c r="D80" s="5" t="inlineStr">
        <x:is>
          <x:t xml:space="preserve">semantic_compression</x:t>
        </x:is>
      </x:c>
      <x:c r="E80" s="5" t="inlineStr">
        <x:is>
          <x:t xml:space="preserve">00:00:00.000</x:t>
        </x:is>
      </x:c>
      <x:c r="F80" s="5" t="inlineStr">
        <x:is>
          <x:t xml:space="preserve">00:00:02.000</x:t>
        </x:is>
      </x:c>
      <x:c r="G80" s="5" t="inlineStr">
        <x:is>
          <x:t xml:space="preserve">Not budgeting.</x:t>
        </x:is>
      </x:c>
      <x:c r="H80" s="5" t="inlineStr">
        <x:is>
          <x:t xml:space="preserve">Not budgeting.</x:t>
        </x:is>
      </x:c>
      <x:c r="I80" s="5" t="inlineStr">
        <x:is>
          <x:t xml:space="preserve">false_belief</x:t>
        </x:is>
      </x:c>
      <x:c r="J80" s="5" t="inlineStr">
        <x:is>
          <x:t xml:space="preserve">budgeting</x:t>
        </x:is>
      </x:c>
      <x:c r="K80" s="5" t="inlineStr">
        <x:is>
          <x:t xml:space="preserve">center_upper</x:t>
        </x:is>
      </x:c>
      <x:c r="L80" s="5" t="inlineStr">
        <x:is>
          <x:t xml:space="preserve">low</x:t>
        </x:is>
      </x:c>
    </x:row>
    <x:row r="81" ht="22" customHeight="1">
      <x:c r="A81" s="5" t="inlineStr">
        <x:is>
          <x:t xml:space="preserve">V04_money_visibility</x:t>
        </x:is>
      </x:c>
      <x:c r="B81" s="5" t="inlineStr">
        <x:is>
          <x:t xml:space="preserve">finance</x:t>
        </x:is>
      </x:c>
      <x:c r="C81" s="5" t="inlineStr">
        <x:is>
          <x:t xml:space="preserve">2</x:t>
        </x:is>
      </x:c>
      <x:c r="D81" s="5" t="inlineStr">
        <x:is>
          <x:t xml:space="preserve">semantic_compression</x:t>
        </x:is>
      </x:c>
      <x:c r="E81" s="5" t="inlineStr">
        <x:is>
          <x:t xml:space="preserve">00:00:02.000</x:t>
        </x:is>
      </x:c>
      <x:c r="F81" s="5" t="inlineStr">
        <x:is>
          <x:t xml:space="preserve">00:00:04.000</x:t>
        </x:is>
      </x:c>
      <x:c r="G81" s="5" t="inlineStr">
        <x:is>
          <x:t xml:space="preserve">Visibility.</x:t>
        </x:is>
      </x:c>
      <x:c r="H81" s="5" t="inlineStr">
        <x:is>
          <x:t xml:space="preserve">Visibility.</x:t>
        </x:is>
      </x:c>
      <x:c r="I81" s="5" t="inlineStr">
        <x:is>
          <x:t xml:space="preserve">correction</x:t>
        </x:is>
      </x:c>
      <x:c r="J81" s="5" t="inlineStr">
        <x:is>
          <x:t xml:space="preserve">visibility</x:t>
        </x:is>
      </x:c>
      <x:c r="K81" s="5" t="inlineStr">
        <x:is>
          <x:t xml:space="preserve">center_upper</x:t>
        </x:is>
      </x:c>
      <x:c r="L81" s="5" t="inlineStr">
        <x:is>
          <x:t xml:space="preserve">low</x:t>
        </x:is>
      </x:c>
    </x:row>
    <x:row r="82" ht="22" customHeight="1">
      <x:c r="A82" s="5" t="inlineStr">
        <x:is>
          <x:t xml:space="preserve">V04_money_visibility</x:t>
        </x:is>
      </x:c>
      <x:c r="B82" s="5" t="inlineStr">
        <x:is>
          <x:t xml:space="preserve">finance</x:t>
        </x:is>
      </x:c>
      <x:c r="C82" s="5" t="inlineStr">
        <x:is>
          <x:t xml:space="preserve">3</x:t>
        </x:is>
      </x:c>
      <x:c r="D82" s="5" t="inlineStr">
        <x:is>
          <x:t xml:space="preserve">semantic_compression</x:t>
        </x:is>
      </x:c>
      <x:c r="E82" s="5" t="inlineStr">
        <x:is>
          <x:t xml:space="preserve">00:00:04.000</x:t>
        </x:is>
      </x:c>
      <x:c r="F82" s="5" t="inlineStr">
        <x:is>
          <x:t xml:space="preserve">00:00:06.000</x:t>
        </x:is>
      </x:c>
      <x:c r="G82" s="5" t="inlineStr">
        <x:is>
          <x:t xml:space="preserve">Track first.</x:t>
        </x:is>
      </x:c>
      <x:c r="H82" s="5" t="inlineStr">
        <x:is>
          <x:t xml:space="preserve">Track first.</x:t>
        </x:is>
      </x:c>
      <x:c r="I82" s="5" t="inlineStr">
        <x:is>
          <x:t xml:space="preserve">action</x:t>
        </x:is>
      </x:c>
      <x:c r="J82" s="5" t="inlineStr">
        <x:is>
          <x:t xml:space="preserve">track</x:t>
        </x:is>
      </x:c>
      <x:c r="K82" s="5" t="inlineStr">
        <x:is>
          <x:t xml:space="preserve">center_upper</x:t>
        </x:is>
      </x:c>
      <x:c r="L82" s="5" t="inlineStr">
        <x:is>
          <x:t xml:space="preserve">medium</x:t>
        </x:is>
      </x:c>
    </x:row>
    <x:row r="83" ht="22" customHeight="1">
      <x:c r="A83" s="5" t="inlineStr">
        <x:is>
          <x:t xml:space="preserve">V05_coding_assumptions</x:t>
        </x:is>
      </x:c>
      <x:c r="B83" s="5" t="inlineStr">
        <x:is>
          <x:t xml:space="preserve">software</x:t>
        </x:is>
      </x:c>
      <x:c r="C83" s="5" t="inlineStr">
        <x:is>
          <x:t xml:space="preserve">1</x:t>
        </x:is>
      </x:c>
      <x:c r="D83" s="5" t="inlineStr">
        <x:is>
          <x:t xml:space="preserve">bcc</x:t>
        </x:is>
      </x:c>
      <x:c r="E83" s="5" t="inlineStr">
        <x:is>
          <x:t xml:space="preserve">00:00:00.000</x:t>
        </x:is>
      </x:c>
      <x:c r="F83" s="5" t="inlineStr">
        <x:is>
          <x:t xml:space="preserve">00:00:02.000</x:t>
        </x:is>
      </x:c>
      <x:c r="G83" s="5" t="inlineStr">
        <x:is>
          <x:t xml:space="preserve">&lt;b&gt;Not&lt;/b&gt; &lt;b&gt;symp&lt;/b&gt;toms.</x:t>
        </x:is>
      </x:c>
      <x:c r="H83" s="5" t="inlineStr">
        <x:is>
          <x:t xml:space="preserve">Not symptoms.</x:t>
        </x:is>
      </x:c>
      <x:c r="I83" s="5" t="inlineStr">
        <x:is>
          <x:t xml:space="preserve">false_belief</x:t>
        </x:is>
      </x:c>
      <x:c r="J83" s="5" t="inlineStr">
        <x:is>
          <x:t xml:space="preserve">symptoms</x:t>
        </x:is>
      </x:c>
      <x:c r="K83" s="5" t="inlineStr">
        <x:is>
          <x:t xml:space="preserve">center_upper</x:t>
        </x:is>
      </x:c>
      <x:c r="L83" s="5" t="inlineStr">
        <x:is>
          <x:t xml:space="preserve">medium</x:t>
        </x:is>
      </x:c>
    </x:row>
    <x:row r="84" ht="22" customHeight="1">
      <x:c r="A84" s="5" t="inlineStr">
        <x:is>
          <x:t xml:space="preserve">V05_coding_assumptions</x:t>
        </x:is>
      </x:c>
      <x:c r="B84" s="5" t="inlineStr">
        <x:is>
          <x:t xml:space="preserve">software</x:t>
        </x:is>
      </x:c>
      <x:c r="C84" s="5" t="inlineStr">
        <x:is>
          <x:t xml:space="preserve">2</x:t>
        </x:is>
      </x:c>
      <x:c r="D84" s="5" t="inlineStr">
        <x:is>
          <x:t xml:space="preserve">bcc</x:t>
        </x:is>
      </x:c>
      <x:c r="E84" s="5" t="inlineStr">
        <x:is>
          <x:t xml:space="preserve">00:00:02.000</x:t>
        </x:is>
      </x:c>
      <x:c r="F84" s="5" t="inlineStr">
        <x:is>
          <x:t xml:space="preserve">00:00:04.000</x:t>
        </x:is>
      </x:c>
      <x:c r="G84" s="5" t="inlineStr">
        <x:is>
          <x:t xml:space="preserve">Log &lt;b&gt;assum&lt;/b&gt;ptions.</x:t>
        </x:is>
      </x:c>
      <x:c r="H84" s="5" t="inlineStr">
        <x:is>
          <x:t xml:space="preserve">Log assumptions.</x:t>
        </x:is>
      </x:c>
      <x:c r="I84" s="5" t="inlineStr">
        <x:is>
          <x:t xml:space="preserve">action</x:t>
        </x:is>
      </x:c>
      <x:c r="J84" s="5" t="inlineStr">
        <x:is>
          <x:t xml:space="preserve">assumptions</x:t>
        </x:is>
      </x:c>
      <x:c r="K84" s="5" t="inlineStr">
        <x:is>
          <x:t xml:space="preserve">right_mid</x:t>
        </x:is>
      </x:c>
      <x:c r="L84" s="5" t="inlineStr">
        <x:is>
          <x:t xml:space="preserve">high</x:t>
        </x:is>
      </x:c>
    </x:row>
    <x:row r="85" ht="22" customHeight="1">
      <x:c r="A85" s="5" t="inlineStr">
        <x:is>
          <x:t xml:space="preserve">V05_coding_assumptions</x:t>
        </x:is>
      </x:c>
      <x:c r="B85" s="5" t="inlineStr">
        <x:is>
          <x:t xml:space="preserve">software</x:t>
        </x:is>
      </x:c>
      <x:c r="C85" s="5" t="inlineStr">
        <x:is>
          <x:t xml:space="preserve">3</x:t>
        </x:is>
      </x:c>
      <x:c r="D85" s="5" t="inlineStr">
        <x:is>
          <x:t xml:space="preserve">bcc</x:t>
        </x:is>
      </x:c>
      <x:c r="E85" s="5" t="inlineStr">
        <x:is>
          <x:t xml:space="preserve">00:00:04.000</x:t>
        </x:is>
      </x:c>
      <x:c r="F85" s="5" t="inlineStr">
        <x:is>
          <x:t xml:space="preserve">00:00:06.000</x:t>
        </x:is>
      </x:c>
      <x:c r="G85" s="5" t="inlineStr">
        <x:is>
          <x:t xml:space="preserve">&lt;b&gt;Make&lt;/b&gt; failure &lt;b&gt;rep&lt;/b&gt;eat.</x:t>
        </x:is>
      </x:c>
      <x:c r="H85" s="5" t="inlineStr">
        <x:is>
          <x:t xml:space="preserve">Make failure repeat.</x:t>
        </x:is>
      </x:c>
      <x:c r="I85" s="5" t="inlineStr">
        <x:is>
          <x:t xml:space="preserve">action</x:t>
        </x:is>
      </x:c>
      <x:c r="J85" s="5" t="inlineStr">
        <x:is>
          <x:t xml:space="preserve">repeat</x:t>
        </x:is>
      </x:c>
      <x:c r="K85" s="5" t="inlineStr">
        <x:is>
          <x:t xml:space="preserve">right_mid</x:t>
        </x:is>
      </x:c>
      <x:c r="L85" s="5" t="inlineStr">
        <x:is>
          <x:t xml:space="preserve">high</x:t>
        </x:is>
      </x:c>
    </x:row>
    <x:row r="86" ht="22" customHeight="1">
      <x:c r="A86" s="5" t="inlineStr">
        <x:is>
          <x:t xml:space="preserve">V05_coding_assumptions</x:t>
        </x:is>
      </x:c>
      <x:c r="B86" s="5" t="inlineStr">
        <x:is>
          <x:t xml:space="preserve">software</x:t>
        </x:is>
      </x:c>
      <x:c r="C86" s="5" t="inlineStr">
        <x:is>
          <x:t xml:space="preserve">1</x:t>
        </x:is>
      </x:c>
      <x:c r="D86" s="5" t="inlineStr">
        <x:is>
          <x:t xml:space="preserve">bcc_plus</x:t>
        </x:is>
      </x:c>
      <x:c r="E86" s="5" t="inlineStr">
        <x:is>
          <x:t xml:space="preserve">00:00:00.000</x:t>
        </x:is>
      </x:c>
      <x:c r="F86" s="5" t="inlineStr">
        <x:is>
          <x:t xml:space="preserve">00:00:02.000</x:t>
        </x:is>
      </x:c>
      <x:c r="G86" s="5" t="inlineStr">
        <x:is>
          <x:t xml:space="preserve">&lt;b&gt;Not&lt;/b&gt; &lt;b&gt;symp&lt;/b&gt;toms.</x:t>
        </x:is>
      </x:c>
      <x:c r="H86" s="5" t="inlineStr">
        <x:is>
          <x:t xml:space="preserve">Not symptoms.</x:t>
        </x:is>
      </x:c>
      <x:c r="I86" s="5" t="inlineStr">
        <x:is>
          <x:t xml:space="preserve">false_belief</x:t>
        </x:is>
      </x:c>
      <x:c r="J86" s="5" t="inlineStr">
        <x:is>
          <x:t xml:space="preserve">symptoms</x:t>
        </x:is>
      </x:c>
      <x:c r="K86" s="5" t="inlineStr">
        <x:is>
          <x:t xml:space="preserve">center_upper</x:t>
        </x:is>
      </x:c>
      <x:c r="L86" s="5" t="inlineStr">
        <x:is>
          <x:t xml:space="preserve">medium</x:t>
        </x:is>
      </x:c>
    </x:row>
    <x:row r="87" ht="22" customHeight="1">
      <x:c r="A87" s="5" t="inlineStr">
        <x:is>
          <x:t xml:space="preserve">V05_coding_assumptions</x:t>
        </x:is>
      </x:c>
      <x:c r="B87" s="5" t="inlineStr">
        <x:is>
          <x:t xml:space="preserve">software</x:t>
        </x:is>
      </x:c>
      <x:c r="C87" s="5" t="inlineStr">
        <x:is>
          <x:t xml:space="preserve">2</x:t>
        </x:is>
      </x:c>
      <x:c r="D87" s="5" t="inlineStr">
        <x:is>
          <x:t xml:space="preserve">bcc_plus</x:t>
        </x:is>
      </x:c>
      <x:c r="E87" s="5" t="inlineStr">
        <x:is>
          <x:t xml:space="preserve">00:00:02.000</x:t>
        </x:is>
      </x:c>
      <x:c r="F87" s="5" t="inlineStr">
        <x:is>
          <x:t xml:space="preserve">00:00:04.000</x:t>
        </x:is>
      </x:c>
      <x:c r="G87" s="5" t="inlineStr">
        <x:is>
          <x:t xml:space="preserve">Log &lt;b&gt;assum&lt;/b&gt;ptions.</x:t>
        </x:is>
      </x:c>
      <x:c r="H87" s="5" t="inlineStr">
        <x:is>
          <x:t xml:space="preserve">Log assumptions.</x:t>
        </x:is>
      </x:c>
      <x:c r="I87" s="5" t="inlineStr">
        <x:is>
          <x:t xml:space="preserve">action</x:t>
        </x:is>
      </x:c>
      <x:c r="J87" s="5" t="inlineStr">
        <x:is>
          <x:t xml:space="preserve">assumptions</x:t>
        </x:is>
      </x:c>
      <x:c r="K87" s="5" t="inlineStr">
        <x:is>
          <x:t xml:space="preserve">right_mid</x:t>
        </x:is>
      </x:c>
      <x:c r="L87" s="5" t="inlineStr">
        <x:is>
          <x:t xml:space="preserve">high</x:t>
        </x:is>
      </x:c>
    </x:row>
    <x:row r="88" ht="22" customHeight="1">
      <x:c r="A88" s="5" t="inlineStr">
        <x:is>
          <x:t xml:space="preserve">V05_coding_assumptions</x:t>
        </x:is>
      </x:c>
      <x:c r="B88" s="5" t="inlineStr">
        <x:is>
          <x:t xml:space="preserve">software</x:t>
        </x:is>
      </x:c>
      <x:c r="C88" s="5" t="inlineStr">
        <x:is>
          <x:t xml:space="preserve">3</x:t>
        </x:is>
      </x:c>
      <x:c r="D88" s="5" t="inlineStr">
        <x:is>
          <x:t xml:space="preserve">bcc_plus</x:t>
        </x:is>
      </x:c>
      <x:c r="E88" s="5" t="inlineStr">
        <x:is>
          <x:t xml:space="preserve">00:00:04.000</x:t>
        </x:is>
      </x:c>
      <x:c r="F88" s="5" t="inlineStr">
        <x:is>
          <x:t xml:space="preserve">00:00:06.000</x:t>
        </x:is>
      </x:c>
      <x:c r="G88" s="5" t="inlineStr">
        <x:is>
          <x:t xml:space="preserve">&lt;b&gt;Make&lt;/b&gt; failure &lt;b&gt;rep&lt;/b&gt;eat.</x:t>
        </x:is>
      </x:c>
      <x:c r="H88" s="5" t="inlineStr">
        <x:is>
          <x:t xml:space="preserve">Make failure repeat.</x:t>
        </x:is>
      </x:c>
      <x:c r="I88" s="5" t="inlineStr">
        <x:is>
          <x:t xml:space="preserve">action</x:t>
        </x:is>
      </x:c>
      <x:c r="J88" s="5" t="inlineStr">
        <x:is>
          <x:t xml:space="preserve">repeat</x:t>
        </x:is>
      </x:c>
      <x:c r="K88" s="5" t="inlineStr">
        <x:is>
          <x:t xml:space="preserve">right_mid</x:t>
        </x:is>
      </x:c>
      <x:c r="L88" s="5" t="inlineStr">
        <x:is>
          <x:t xml:space="preserve">high</x:t>
        </x:is>
      </x:c>
    </x:row>
    <x:row r="89" ht="22" customHeight="1">
      <x:c r="A89" s="5" t="inlineStr">
        <x:is>
          <x:t xml:space="preserve">V05_coding_assumptions</x:t>
        </x:is>
      </x:c>
      <x:c r="B89" s="5" t="inlineStr">
        <x:is>
          <x:t xml:space="preserve">software</x:t>
        </x:is>
      </x:c>
      <x:c r="C89" s="5" t="inlineStr">
        <x:is>
          <x:t xml:space="preserve">1</x:t>
        </x:is>
      </x:c>
      <x:c r="D89" s="5" t="inlineStr">
        <x:is>
          <x:t xml:space="preserve">full_transcript</x:t>
        </x:is>
      </x:c>
      <x:c r="E89" s="5" t="inlineStr">
        <x:is>
          <x:t xml:space="preserve">00:00:00.000</x:t>
        </x:is>
      </x:c>
      <x:c r="F89" s="5" t="inlineStr">
        <x:is>
          <x:t xml:space="preserve">00:00:02.000</x:t>
        </x:is>
      </x:c>
      <x:c r="G89" s="5" t="inlineStr">
        <x:is>
          <x:t xml:space="preserve">Most debugging stalls because you are chasing symptoms.</x:t>
        </x:is>
      </x:c>
      <x:c r="H89" s="5" t="inlineStr">
        <x:is>
          <x:t xml:space="preserve">Most debugging stalls because you are chasing symptoms.</x:t>
        </x:is>
      </x:c>
      <x:c r="I89" s="5" t="inlineStr">
        <x:is>
          <x:t xml:space="preserve">false_belief</x:t>
        </x:is>
      </x:c>
      <x:c r="J89" s="5" t="inlineStr">
        <x:is>
          <x:t xml:space="preserve">symptoms</x:t>
        </x:is>
      </x:c>
      <x:c r="K89" s="5" t="inlineStr">
        <x:is>
          <x:t xml:space="preserve">center_upper</x:t>
        </x:is>
      </x:c>
      <x:c r="L89" s="5" t="inlineStr">
        <x:is>
          <x:t xml:space="preserve">medium</x:t>
        </x:is>
      </x:c>
    </x:row>
    <x:row r="90" ht="22" customHeight="1">
      <x:c r="A90" s="5" t="inlineStr">
        <x:is>
          <x:t xml:space="preserve">V05_coding_assumptions</x:t>
        </x:is>
      </x:c>
      <x:c r="B90" s="5" t="inlineStr">
        <x:is>
          <x:t xml:space="preserve">software</x:t>
        </x:is>
      </x:c>
      <x:c r="C90" s="5" t="inlineStr">
        <x:is>
          <x:t xml:space="preserve">2</x:t>
        </x:is>
      </x:c>
      <x:c r="D90" s="5" t="inlineStr">
        <x:is>
          <x:t xml:space="preserve">full_transcript</x:t>
        </x:is>
      </x:c>
      <x:c r="E90" s="5" t="inlineStr">
        <x:is>
          <x:t xml:space="preserve">00:00:02.000</x:t>
        </x:is>
      </x:c>
      <x:c r="F90" s="5" t="inlineStr">
        <x:is>
          <x:t xml:space="preserve">00:00:04.000</x:t>
        </x:is>
      </x:c>
      <x:c r="G90" s="5" t="inlineStr">
        <x:is>
          <x:t xml:space="preserve">Log the assumption, isolate the input, and make the failure reproducible.</x:t>
        </x:is>
      </x:c>
      <x:c r="H90" s="5" t="inlineStr">
        <x:is>
          <x:t xml:space="preserve">Log the assumption, isolate the input, and make the failure reproducible.</x:t>
        </x:is>
      </x:c>
      <x:c r="I90" s="5" t="inlineStr">
        <x:is>
          <x:t xml:space="preserve">action</x:t>
        </x:is>
      </x:c>
      <x:c r="J90" s="5" t="inlineStr">
        <x:is>
          <x:t xml:space="preserve">assumptions</x:t>
        </x:is>
      </x:c>
      <x:c r="K90" s="5" t="inlineStr">
        <x:is>
          <x:t xml:space="preserve">right_mid</x:t>
        </x:is>
      </x:c>
      <x:c r="L90" s="5" t="inlineStr">
        <x:is>
          <x:t xml:space="preserve">high</x:t>
        </x:is>
      </x:c>
    </x:row>
    <x:row r="91" ht="22" customHeight="1">
      <x:c r="A91" s="5" t="inlineStr">
        <x:is>
          <x:t xml:space="preserve">V05_coding_assumptions</x:t>
        </x:is>
      </x:c>
      <x:c r="B91" s="5" t="inlineStr">
        <x:is>
          <x:t xml:space="preserve">software</x:t>
        </x:is>
      </x:c>
      <x:c r="C91" s="5" t="inlineStr">
        <x:is>
          <x:t xml:space="preserve">3</x:t>
        </x:is>
      </x:c>
      <x:c r="D91" s="5" t="inlineStr">
        <x:is>
          <x:t xml:space="preserve">full_transcript</x:t>
        </x:is>
      </x:c>
      <x:c r="E91" s="5" t="inlineStr">
        <x:is>
          <x:t xml:space="preserve">00:00:04.000</x:t>
        </x:is>
      </x:c>
      <x:c r="F91" s="5" t="inlineStr">
        <x:is>
          <x:t xml:space="preserve">00:00:06.000</x:t>
        </x:is>
      </x:c>
      <x:c r="G91" s="5" t="inlineStr">
        <x:is>
          <x:t xml:space="preserve">Then isolate the input and make the failure reproducible.</x:t>
        </x:is>
      </x:c>
      <x:c r="H91" s="5" t="inlineStr">
        <x:is>
          <x:t xml:space="preserve">Then isolate the input and make the failure reproducible.</x:t>
        </x:is>
      </x:c>
      <x:c r="I91" s="5" t="inlineStr">
        <x:is>
          <x:t xml:space="preserve">action</x:t>
        </x:is>
      </x:c>
      <x:c r="J91" s="5" t="inlineStr">
        <x:is>
          <x:t xml:space="preserve">repeat</x:t>
        </x:is>
      </x:c>
      <x:c r="K91" s="5" t="inlineStr">
        <x:is>
          <x:t xml:space="preserve">right_mid</x:t>
        </x:is>
      </x:c>
      <x:c r="L91" s="5" t="inlineStr">
        <x:is>
          <x:t xml:space="preserve">high</x:t>
        </x:is>
      </x:c>
    </x:row>
    <x:row r="92" ht="36" customHeight="1">
      <x:c r="A92" s="5" t="inlineStr">
        <x:is>
          <x:t xml:space="preserve">V05_coding_assumptions</x:t>
        </x:is>
      </x:c>
      <x:c r="B92" s="5" t="inlineStr">
        <x:is>
          <x:t xml:space="preserve">software</x:t>
        </x:is>
      </x:c>
      <x:c r="C92" s="5" t="inlineStr">
        <x:is>
          <x:t xml:space="preserve">1</x:t>
        </x:is>
      </x:c>
      <x:c r="D92" s="5" t="inlineStr">
        <x:is>
          <x:t xml:space="preserve">heavy_bionic</x:t>
        </x:is>
      </x:c>
      <x:c r="E92" s="5" t="inlineStr">
        <x:is>
          <x:t xml:space="preserve">00:00:00.000</x:t>
        </x:is>
      </x:c>
      <x:c r="F92" s="5" t="inlineStr">
        <x:is>
          <x:t xml:space="preserve">00:00:02.000</x:t>
        </x:is>
      </x:c>
      <x:c r="G92" s="5" t="inlineStr">
        <x:is>
          <x:t xml:space="preserve">&lt;b&gt;Most&lt;/b&gt; &lt;b&gt;debu&lt;/b&gt;gging &lt;b&gt;sta&lt;/b&gt;lls &lt;b&gt;because&lt;/b&gt; you are &lt;b&gt;cha&lt;/b&gt;sing &lt;b&gt;symp&lt;/b&gt;toms.</x:t>
        </x:is>
      </x:c>
      <x:c r="H92" s="5" t="inlineStr">
        <x:is>
          <x:t xml:space="preserve">Most debugging stalls because you are chasing symptoms.</x:t>
        </x:is>
      </x:c>
      <x:c r="I92" s="5" t="inlineStr">
        <x:is>
          <x:t xml:space="preserve">false_belief</x:t>
        </x:is>
      </x:c>
      <x:c r="J92" s="5" t="inlineStr">
        <x:is>
          <x:t xml:space="preserve">symptoms</x:t>
        </x:is>
      </x:c>
      <x:c r="K92" s="5" t="inlineStr">
        <x:is>
          <x:t xml:space="preserve">center_upper</x:t>
        </x:is>
      </x:c>
      <x:c r="L92" s="5" t="inlineStr">
        <x:is>
          <x:t xml:space="preserve">medium</x:t>
        </x:is>
      </x:c>
    </x:row>
    <x:row r="93" ht="36" customHeight="1">
      <x:c r="A93" s="5" t="inlineStr">
        <x:is>
          <x:t xml:space="preserve">V05_coding_assumptions</x:t>
        </x:is>
      </x:c>
      <x:c r="B93" s="5" t="inlineStr">
        <x:is>
          <x:t xml:space="preserve">software</x:t>
        </x:is>
      </x:c>
      <x:c r="C93" s="5" t="inlineStr">
        <x:is>
          <x:t xml:space="preserve">2</x:t>
        </x:is>
      </x:c>
      <x:c r="D93" s="5" t="inlineStr">
        <x:is>
          <x:t xml:space="preserve">heavy_bionic</x:t>
        </x:is>
      </x:c>
      <x:c r="E93" s="5" t="inlineStr">
        <x:is>
          <x:t xml:space="preserve">00:00:02.000</x:t>
        </x:is>
      </x:c>
      <x:c r="F93" s="5" t="inlineStr">
        <x:is>
          <x:t xml:space="preserve">00:00:04.000</x:t>
        </x:is>
      </x:c>
      <x:c r="G93" s="5" t="inlineStr">
        <x:is>
          <x:t xml:space="preserve">Log the &lt;b&gt;assu&lt;/b&gt;mption, &lt;b&gt;iso&lt;/b&gt;late the &lt;b&gt;inp&lt;/b&gt;ut, and &lt;b&gt;make&lt;/b&gt; the &lt;b&gt;fai&lt;/b&gt;lure &lt;b&gt;repro&lt;/b&gt;ducible.</x:t>
        </x:is>
      </x:c>
      <x:c r="H93" s="5" t="inlineStr">
        <x:is>
          <x:t xml:space="preserve">Log the assumption, isolate the input, and make the failure reproducible.</x:t>
        </x:is>
      </x:c>
      <x:c r="I93" s="5" t="inlineStr">
        <x:is>
          <x:t xml:space="preserve">action</x:t>
        </x:is>
      </x:c>
      <x:c r="J93" s="5" t="inlineStr">
        <x:is>
          <x:t xml:space="preserve">assumptions</x:t>
        </x:is>
      </x:c>
      <x:c r="K93" s="5" t="inlineStr">
        <x:is>
          <x:t xml:space="preserve">right_mid</x:t>
        </x:is>
      </x:c>
      <x:c r="L93" s="5" t="inlineStr">
        <x:is>
          <x:t xml:space="preserve">high</x:t>
        </x:is>
      </x:c>
    </x:row>
    <x:row r="94" ht="36" customHeight="1">
      <x:c r="A94" s="5" t="inlineStr">
        <x:is>
          <x:t xml:space="preserve">V05_coding_assumptions</x:t>
        </x:is>
      </x:c>
      <x:c r="B94" s="5" t="inlineStr">
        <x:is>
          <x:t xml:space="preserve">software</x:t>
        </x:is>
      </x:c>
      <x:c r="C94" s="5" t="inlineStr">
        <x:is>
          <x:t xml:space="preserve">3</x:t>
        </x:is>
      </x:c>
      <x:c r="D94" s="5" t="inlineStr">
        <x:is>
          <x:t xml:space="preserve">heavy_bionic</x:t>
        </x:is>
      </x:c>
      <x:c r="E94" s="5" t="inlineStr">
        <x:is>
          <x:t xml:space="preserve">00:00:04.000</x:t>
        </x:is>
      </x:c>
      <x:c r="F94" s="5" t="inlineStr">
        <x:is>
          <x:t xml:space="preserve">00:00:06.000</x:t>
        </x:is>
      </x:c>
      <x:c r="G94" s="5" t="inlineStr">
        <x:is>
          <x:t xml:space="preserve">&lt;b&gt;Then&lt;/b&gt; &lt;b&gt;iso&lt;/b&gt;late the &lt;b&gt;inp&lt;/b&gt;ut and &lt;b&gt;make&lt;/b&gt; the &lt;b&gt;fai&lt;/b&gt;lure &lt;b&gt;repro&lt;/b&gt;ducible.</x:t>
        </x:is>
      </x:c>
      <x:c r="H94" s="5" t="inlineStr">
        <x:is>
          <x:t xml:space="preserve">Then isolate the input and make the failure reproducible.</x:t>
        </x:is>
      </x:c>
      <x:c r="I94" s="5" t="inlineStr">
        <x:is>
          <x:t xml:space="preserve">action</x:t>
        </x:is>
      </x:c>
      <x:c r="J94" s="5" t="inlineStr">
        <x:is>
          <x:t xml:space="preserve">repeat</x:t>
        </x:is>
      </x:c>
      <x:c r="K94" s="5" t="inlineStr">
        <x:is>
          <x:t xml:space="preserve">right_mid</x:t>
        </x:is>
      </x:c>
      <x:c r="L94" s="5" t="inlineStr">
        <x:is>
          <x:t xml:space="preserve">high</x:t>
        </x:is>
      </x:c>
    </x:row>
    <x:row r="95" ht="22" customHeight="1">
      <x:c r="A95" s="5" t="inlineStr">
        <x:is>
          <x:t xml:space="preserve">V05_coding_assumptions</x:t>
        </x:is>
      </x:c>
      <x:c r="B95" s="5" t="inlineStr">
        <x:is>
          <x:t xml:space="preserve">software</x:t>
        </x:is>
      </x:c>
      <x:c r="C95" s="5" t="inlineStr">
        <x:is>
          <x:t xml:space="preserve">1</x:t>
        </x:is>
      </x:c>
      <x:c r="D95" s="5" t="inlineStr">
        <x:is>
          <x:t xml:space="preserve">keyword_highlight</x:t>
        </x:is>
      </x:c>
      <x:c r="E95" s="5" t="inlineStr">
        <x:is>
          <x:t xml:space="preserve">00:00:00.000</x:t>
        </x:is>
      </x:c>
      <x:c r="F95" s="5" t="inlineStr">
        <x:is>
          <x:t xml:space="preserve">00:00:02.000</x:t>
        </x:is>
      </x:c>
      <x:c r="G95" s="5" t="inlineStr">
        <x:is>
          <x:t xml:space="preserve">Most debugging stalls because you are chasing &lt;b&gt;symptoms&lt;/b&gt;.</x:t>
        </x:is>
      </x:c>
      <x:c r="H95" s="5" t="inlineStr">
        <x:is>
          <x:t xml:space="preserve">Most debugging stalls because you are chasing symptoms.</x:t>
        </x:is>
      </x:c>
      <x:c r="I95" s="5" t="inlineStr">
        <x:is>
          <x:t xml:space="preserve">false_belief</x:t>
        </x:is>
      </x:c>
      <x:c r="J95" s="5" t="inlineStr">
        <x:is>
          <x:t xml:space="preserve">symptoms</x:t>
        </x:is>
      </x:c>
      <x:c r="K95" s="5" t="inlineStr">
        <x:is>
          <x:t xml:space="preserve">center_upper</x:t>
        </x:is>
      </x:c>
      <x:c r="L95" s="5" t="inlineStr">
        <x:is>
          <x:t xml:space="preserve">medium</x:t>
        </x:is>
      </x:c>
    </x:row>
    <x:row r="96" ht="22" customHeight="1">
      <x:c r="A96" s="5" t="inlineStr">
        <x:is>
          <x:t xml:space="preserve">V05_coding_assumptions</x:t>
        </x:is>
      </x:c>
      <x:c r="B96" s="5" t="inlineStr">
        <x:is>
          <x:t xml:space="preserve">software</x:t>
        </x:is>
      </x:c>
      <x:c r="C96" s="5" t="inlineStr">
        <x:is>
          <x:t xml:space="preserve">2</x:t>
        </x:is>
      </x:c>
      <x:c r="D96" s="5" t="inlineStr">
        <x:is>
          <x:t xml:space="preserve">keyword_highlight</x:t>
        </x:is>
      </x:c>
      <x:c r="E96" s="5" t="inlineStr">
        <x:is>
          <x:t xml:space="preserve">00:00:02.000</x:t>
        </x:is>
      </x:c>
      <x:c r="F96" s="5" t="inlineStr">
        <x:is>
          <x:t xml:space="preserve">00:00:04.000</x:t>
        </x:is>
      </x:c>
      <x:c r="G96" s="5" t="inlineStr">
        <x:is>
          <x:t xml:space="preserve">Log the assumption, isolate the input, and make the failure reproducible.</x:t>
        </x:is>
      </x:c>
      <x:c r="H96" s="5" t="inlineStr">
        <x:is>
          <x:t xml:space="preserve">Log the assumption, isolate the input, and make the failure reproducible.</x:t>
        </x:is>
      </x:c>
      <x:c r="I96" s="5" t="inlineStr">
        <x:is>
          <x:t xml:space="preserve">action</x:t>
        </x:is>
      </x:c>
      <x:c r="J96" s="5" t="inlineStr">
        <x:is>
          <x:t xml:space="preserve">assumptions</x:t>
        </x:is>
      </x:c>
      <x:c r="K96" s="5" t="inlineStr">
        <x:is>
          <x:t xml:space="preserve">right_mid</x:t>
        </x:is>
      </x:c>
      <x:c r="L96" s="5" t="inlineStr">
        <x:is>
          <x:t xml:space="preserve">high</x:t>
        </x:is>
      </x:c>
    </x:row>
    <x:row r="97" ht="22" customHeight="1">
      <x:c r="A97" s="5" t="inlineStr">
        <x:is>
          <x:t xml:space="preserve">V05_coding_assumptions</x:t>
        </x:is>
      </x:c>
      <x:c r="B97" s="5" t="inlineStr">
        <x:is>
          <x:t xml:space="preserve">software</x:t>
        </x:is>
      </x:c>
      <x:c r="C97" s="5" t="inlineStr">
        <x:is>
          <x:t xml:space="preserve">3</x:t>
        </x:is>
      </x:c>
      <x:c r="D97" s="5" t="inlineStr">
        <x:is>
          <x:t xml:space="preserve">keyword_highlight</x:t>
        </x:is>
      </x:c>
      <x:c r="E97" s="5" t="inlineStr">
        <x:is>
          <x:t xml:space="preserve">00:00:04.000</x:t>
        </x:is>
      </x:c>
      <x:c r="F97" s="5" t="inlineStr">
        <x:is>
          <x:t xml:space="preserve">00:00:06.000</x:t>
        </x:is>
      </x:c>
      <x:c r="G97" s="5" t="inlineStr">
        <x:is>
          <x:t xml:space="preserve">Then isolate the input and make the failure reproducible.</x:t>
        </x:is>
      </x:c>
      <x:c r="H97" s="5" t="inlineStr">
        <x:is>
          <x:t xml:space="preserve">Then isolate the input and make the failure reproducible.</x:t>
        </x:is>
      </x:c>
      <x:c r="I97" s="5" t="inlineStr">
        <x:is>
          <x:t xml:space="preserve">action</x:t>
        </x:is>
      </x:c>
      <x:c r="J97" s="5" t="inlineStr">
        <x:is>
          <x:t xml:space="preserve">repeat</x:t>
        </x:is>
      </x:c>
      <x:c r="K97" s="5" t="inlineStr">
        <x:is>
          <x:t xml:space="preserve">right_mid</x:t>
        </x:is>
      </x:c>
      <x:c r="L97" s="5" t="inlineStr">
        <x:is>
          <x:t xml:space="preserve">high</x:t>
        </x:is>
      </x:c>
    </x:row>
    <x:row r="98" ht="22" customHeight="1">
      <x:c r="A98" s="5" t="inlineStr">
        <x:is>
          <x:t xml:space="preserve">V05_coding_assumptions</x:t>
        </x:is>
      </x:c>
      <x:c r="B98" s="5" t="inlineStr">
        <x:is>
          <x:t xml:space="preserve">software</x:t>
        </x:is>
      </x:c>
      <x:c r="C98" s="5" t="inlineStr">
        <x:is>
          <x:t xml:space="preserve">1</x:t>
        </x:is>
      </x:c>
      <x:c r="D98" s="5" t="inlineStr">
        <x:is>
          <x:t xml:space="preserve">semantic_compression</x:t>
        </x:is>
      </x:c>
      <x:c r="E98" s="5" t="inlineStr">
        <x:is>
          <x:t xml:space="preserve">00:00:00.000</x:t>
        </x:is>
      </x:c>
      <x:c r="F98" s="5" t="inlineStr">
        <x:is>
          <x:t xml:space="preserve">00:00:02.000</x:t>
        </x:is>
      </x:c>
      <x:c r="G98" s="5" t="inlineStr">
        <x:is>
          <x:t xml:space="preserve">Not symptoms.</x:t>
        </x:is>
      </x:c>
      <x:c r="H98" s="5" t="inlineStr">
        <x:is>
          <x:t xml:space="preserve">Not symptoms.</x:t>
        </x:is>
      </x:c>
      <x:c r="I98" s="5" t="inlineStr">
        <x:is>
          <x:t xml:space="preserve">false_belief</x:t>
        </x:is>
      </x:c>
      <x:c r="J98" s="5" t="inlineStr">
        <x:is>
          <x:t xml:space="preserve">symptoms</x:t>
        </x:is>
      </x:c>
      <x:c r="K98" s="5" t="inlineStr">
        <x:is>
          <x:t xml:space="preserve">center_upper</x:t>
        </x:is>
      </x:c>
      <x:c r="L98" s="5" t="inlineStr">
        <x:is>
          <x:t xml:space="preserve">medium</x:t>
        </x:is>
      </x:c>
    </x:row>
    <x:row r="99" ht="22" customHeight="1">
      <x:c r="A99" s="5" t="inlineStr">
        <x:is>
          <x:t xml:space="preserve">V05_coding_assumptions</x:t>
        </x:is>
      </x:c>
      <x:c r="B99" s="5" t="inlineStr">
        <x:is>
          <x:t xml:space="preserve">software</x:t>
        </x:is>
      </x:c>
      <x:c r="C99" s="5" t="inlineStr">
        <x:is>
          <x:t xml:space="preserve">2</x:t>
        </x:is>
      </x:c>
      <x:c r="D99" s="5" t="inlineStr">
        <x:is>
          <x:t xml:space="preserve">semantic_compression</x:t>
        </x:is>
      </x:c>
      <x:c r="E99" s="5" t="inlineStr">
        <x:is>
          <x:t xml:space="preserve">00:00:02.000</x:t>
        </x:is>
      </x:c>
      <x:c r="F99" s="5" t="inlineStr">
        <x:is>
          <x:t xml:space="preserve">00:00:04.000</x:t>
        </x:is>
      </x:c>
      <x:c r="G99" s="5" t="inlineStr">
        <x:is>
          <x:t xml:space="preserve">Log assumptions.</x:t>
        </x:is>
      </x:c>
      <x:c r="H99" s="5" t="inlineStr">
        <x:is>
          <x:t xml:space="preserve">Log assumptions.</x:t>
        </x:is>
      </x:c>
      <x:c r="I99" s="5" t="inlineStr">
        <x:is>
          <x:t xml:space="preserve">action</x:t>
        </x:is>
      </x:c>
      <x:c r="J99" s="5" t="inlineStr">
        <x:is>
          <x:t xml:space="preserve">assumptions</x:t>
        </x:is>
      </x:c>
      <x:c r="K99" s="5" t="inlineStr">
        <x:is>
          <x:t xml:space="preserve">right_mid</x:t>
        </x:is>
      </x:c>
      <x:c r="L99" s="5" t="inlineStr">
        <x:is>
          <x:t xml:space="preserve">high</x:t>
        </x:is>
      </x:c>
    </x:row>
    <x:row r="100" ht="22" customHeight="1">
      <x:c r="A100" s="5" t="inlineStr">
        <x:is>
          <x:t xml:space="preserve">V05_coding_assumptions</x:t>
        </x:is>
      </x:c>
      <x:c r="B100" s="5" t="inlineStr">
        <x:is>
          <x:t xml:space="preserve">software</x:t>
        </x:is>
      </x:c>
      <x:c r="C100" s="5" t="inlineStr">
        <x:is>
          <x:t xml:space="preserve">3</x:t>
        </x:is>
      </x:c>
      <x:c r="D100" s="5" t="inlineStr">
        <x:is>
          <x:t xml:space="preserve">semantic_compression</x:t>
        </x:is>
      </x:c>
      <x:c r="E100" s="5" t="inlineStr">
        <x:is>
          <x:t xml:space="preserve">00:00:04.000</x:t>
        </x:is>
      </x:c>
      <x:c r="F100" s="5" t="inlineStr">
        <x:is>
          <x:t xml:space="preserve">00:00:06.000</x:t>
        </x:is>
      </x:c>
      <x:c r="G100" s="5" t="inlineStr">
        <x:is>
          <x:t xml:space="preserve">Make failure repeat.</x:t>
        </x:is>
      </x:c>
      <x:c r="H100" s="5" t="inlineStr">
        <x:is>
          <x:t xml:space="preserve">Make failure repeat.</x:t>
        </x:is>
      </x:c>
      <x:c r="I100" s="5" t="inlineStr">
        <x:is>
          <x:t xml:space="preserve">action</x:t>
        </x:is>
      </x:c>
      <x:c r="J100" s="5" t="inlineStr">
        <x:is>
          <x:t xml:space="preserve">repeat</x:t>
        </x:is>
      </x:c>
      <x:c r="K100" s="5" t="inlineStr">
        <x:is>
          <x:t xml:space="preserve">right_mid</x:t>
        </x:is>
      </x:c>
      <x:c r="L100" s="5" t="inlineStr">
        <x:is>
          <x:t xml:space="preserve">high</x:t>
        </x:is>
      </x:c>
    </x:row>
    <x:row r="101" ht="22" customHeight="1">
      <x:c r="A101" s="5" t="inlineStr">
        <x:is>
          <x:t xml:space="preserve">V06_overload_open_loops</x:t>
        </x:is>
      </x:c>
      <x:c r="B101" s="5" t="inlineStr">
        <x:is>
          <x:t xml:space="preserve">attention</x:t>
        </x:is>
      </x:c>
      <x:c r="C101" s="5" t="inlineStr">
        <x:is>
          <x:t xml:space="preserve">1</x:t>
        </x:is>
      </x:c>
      <x:c r="D101" s="5" t="inlineStr">
        <x:is>
          <x:t xml:space="preserve">bcc</x:t>
        </x:is>
      </x:c>
      <x:c r="E101" s="5" t="inlineStr">
        <x:is>
          <x:t xml:space="preserve">00:00:00.000</x:t>
        </x:is>
      </x:c>
      <x:c r="F101" s="5" t="inlineStr">
        <x:is>
          <x:t xml:space="preserve">00:00:02.000</x:t>
        </x:is>
      </x:c>
      <x:c r="G101" s="5" t="inlineStr">
        <x:is>
          <x:t xml:space="preserve">&lt;b&gt;Not&lt;/b&gt; &lt;b&gt;fas&lt;/b&gt;ter.</x:t>
        </x:is>
      </x:c>
      <x:c r="H101" s="5" t="inlineStr">
        <x:is>
          <x:t xml:space="preserve">Not faster.</x:t>
        </x:is>
      </x:c>
      <x:c r="I101" s="5" t="inlineStr">
        <x:is>
          <x:t xml:space="preserve">false_belief</x:t>
        </x:is>
      </x:c>
      <x:c r="J101" s="5" t="inlineStr">
        <x:is>
          <x:t xml:space="preserve">faster</x:t>
        </x:is>
      </x:c>
      <x:c r="K101" s="5" t="inlineStr">
        <x:is>
          <x:t xml:space="preserve">center_upper</x:t>
        </x:is>
      </x:c>
      <x:c r="L101" s="5" t="inlineStr">
        <x:is>
          <x:t xml:space="preserve">low</x:t>
        </x:is>
      </x:c>
    </x:row>
    <x:row r="102" ht="22" customHeight="1">
      <x:c r="A102" s="5" t="inlineStr">
        <x:is>
          <x:t xml:space="preserve">V06_overload_open_loops</x:t>
        </x:is>
      </x:c>
      <x:c r="B102" s="5" t="inlineStr">
        <x:is>
          <x:t xml:space="preserve">attention</x:t>
        </x:is>
      </x:c>
      <x:c r="C102" s="5" t="inlineStr">
        <x:is>
          <x:t xml:space="preserve">2</x:t>
        </x:is>
      </x:c>
      <x:c r="D102" s="5" t="inlineStr">
        <x:is>
          <x:t xml:space="preserve">bcc</x:t>
        </x:is>
      </x:c>
      <x:c r="E102" s="5" t="inlineStr">
        <x:is>
          <x:t xml:space="preserve">00:00:02.000</x:t>
        </x:is>
      </x:c>
      <x:c r="F102" s="5" t="inlineStr">
        <x:is>
          <x:t xml:space="preserve">00:00:04.000</x:t>
        </x:is>
      </x:c>
      <x:c r="G102" s="5" t="inlineStr">
        <x:is>
          <x:t xml:space="preserve">Fewer &lt;b&gt;loo&lt;/b&gt;ps.</x:t>
        </x:is>
      </x:c>
      <x:c r="H102" s="5" t="inlineStr">
        <x:is>
          <x:t xml:space="preserve">Fewer loops.</x:t>
        </x:is>
      </x:c>
      <x:c r="I102" s="5" t="inlineStr">
        <x:is>
          <x:t xml:space="preserve">correction</x:t>
        </x:is>
      </x:c>
      <x:c r="J102" s="5" t="inlineStr">
        <x:is>
          <x:t xml:space="preserve">loops</x:t>
        </x:is>
      </x:c>
      <x:c r="K102" s="5" t="inlineStr">
        <x:is>
          <x:t xml:space="preserve">center_upper</x:t>
        </x:is>
      </x:c>
      <x:c r="L102" s="5" t="inlineStr">
        <x:is>
          <x:t xml:space="preserve">low</x:t>
        </x:is>
      </x:c>
    </x:row>
    <x:row r="103" ht="22" customHeight="1">
      <x:c r="A103" s="5" t="inlineStr">
        <x:is>
          <x:t xml:space="preserve">V06_overload_open_loops</x:t>
        </x:is>
      </x:c>
      <x:c r="B103" s="5" t="inlineStr">
        <x:is>
          <x:t xml:space="preserve">attention</x:t>
        </x:is>
      </x:c>
      <x:c r="C103" s="5" t="inlineStr">
        <x:is>
          <x:t xml:space="preserve">3</x:t>
        </x:is>
      </x:c>
      <x:c r="D103" s="5" t="inlineStr">
        <x:is>
          <x:t xml:space="preserve">bcc</x:t>
        </x:is>
      </x:c>
      <x:c r="E103" s="5" t="inlineStr">
        <x:is>
          <x:t xml:space="preserve">00:00:04.000</x:t>
        </x:is>
      </x:c>
      <x:c r="F103" s="5" t="inlineStr">
        <x:is>
          <x:t xml:space="preserve">00:00:06.000</x:t>
        </x:is>
      </x:c>
      <x:c r="G103" s="5" t="inlineStr">
        <x:is>
          <x:t xml:space="preserve">&lt;b&gt;Close&lt;/b&gt; one &lt;b&gt;first&lt;/b&gt;.</x:t>
        </x:is>
      </x:c>
      <x:c r="H103" s="5" t="inlineStr">
        <x:is>
          <x:t xml:space="preserve">Close one first.</x:t>
        </x:is>
      </x:c>
      <x:c r="I103" s="5" t="inlineStr">
        <x:is>
          <x:t xml:space="preserve">action</x:t>
        </x:is>
      </x:c>
      <x:c r="J103" s="5" t="inlineStr">
        <x:is>
          <x:t xml:space="preserve">close</x:t>
        </x:is>
      </x:c>
      <x:c r="K103" s="5" t="inlineStr">
        <x:is>
          <x:t xml:space="preserve">center_upper</x:t>
        </x:is>
      </x:c>
      <x:c r="L103" s="5" t="inlineStr">
        <x:is>
          <x:t xml:space="preserve">medium</x:t>
        </x:is>
      </x:c>
    </x:row>
    <x:row r="104" ht="22" customHeight="1">
      <x:c r="A104" s="5" t="inlineStr">
        <x:is>
          <x:t xml:space="preserve">V06_overload_open_loops</x:t>
        </x:is>
      </x:c>
      <x:c r="B104" s="5" t="inlineStr">
        <x:is>
          <x:t xml:space="preserve">attention</x:t>
        </x:is>
      </x:c>
      <x:c r="C104" s="5" t="inlineStr">
        <x:is>
          <x:t xml:space="preserve">1</x:t>
        </x:is>
      </x:c>
      <x:c r="D104" s="5" t="inlineStr">
        <x:is>
          <x:t xml:space="preserve">bcc_plus</x:t>
        </x:is>
      </x:c>
      <x:c r="E104" s="5" t="inlineStr">
        <x:is>
          <x:t xml:space="preserve">00:00:00.000</x:t>
        </x:is>
      </x:c>
      <x:c r="F104" s="5" t="inlineStr">
        <x:is>
          <x:t xml:space="preserve">00:00:02.000</x:t>
        </x:is>
      </x:c>
      <x:c r="G104" s="5" t="inlineStr">
        <x:is>
          <x:t xml:space="preserve">&lt;b&gt;Not&lt;/b&gt; &lt;b&gt;fas&lt;/b&gt;ter.</x:t>
        </x:is>
      </x:c>
      <x:c r="H104" s="5" t="inlineStr">
        <x:is>
          <x:t xml:space="preserve">Not faster.</x:t>
        </x:is>
      </x:c>
      <x:c r="I104" s="5" t="inlineStr">
        <x:is>
          <x:t xml:space="preserve">false_belief</x:t>
        </x:is>
      </x:c>
      <x:c r="J104" s="5" t="inlineStr">
        <x:is>
          <x:t xml:space="preserve">faster</x:t>
        </x:is>
      </x:c>
      <x:c r="K104" s="5" t="inlineStr">
        <x:is>
          <x:t xml:space="preserve">center_upper</x:t>
        </x:is>
      </x:c>
      <x:c r="L104" s="5" t="inlineStr">
        <x:is>
          <x:t xml:space="preserve">low</x:t>
        </x:is>
      </x:c>
    </x:row>
    <x:row r="105" ht="22" customHeight="1">
      <x:c r="A105" s="5" t="inlineStr">
        <x:is>
          <x:t xml:space="preserve">V06_overload_open_loops</x:t>
        </x:is>
      </x:c>
      <x:c r="B105" s="5" t="inlineStr">
        <x:is>
          <x:t xml:space="preserve">attention</x:t>
        </x:is>
      </x:c>
      <x:c r="C105" s="5" t="inlineStr">
        <x:is>
          <x:t xml:space="preserve">2</x:t>
        </x:is>
      </x:c>
      <x:c r="D105" s="5" t="inlineStr">
        <x:is>
          <x:t xml:space="preserve">bcc_plus</x:t>
        </x:is>
      </x:c>
      <x:c r="E105" s="5" t="inlineStr">
        <x:is>
          <x:t xml:space="preserve">00:00:02.000</x:t>
        </x:is>
      </x:c>
      <x:c r="F105" s="5" t="inlineStr">
        <x:is>
          <x:t xml:space="preserve">00:00:04.000</x:t>
        </x:is>
      </x:c>
      <x:c r="G105" s="5" t="inlineStr">
        <x:is>
          <x:t xml:space="preserve">Fewer &lt;b&gt;loo&lt;/b&gt;ps.</x:t>
        </x:is>
      </x:c>
      <x:c r="H105" s="5" t="inlineStr">
        <x:is>
          <x:t xml:space="preserve">Fewer loops.</x:t>
        </x:is>
      </x:c>
      <x:c r="I105" s="5" t="inlineStr">
        <x:is>
          <x:t xml:space="preserve">correction</x:t>
        </x:is>
      </x:c>
      <x:c r="J105" s="5" t="inlineStr">
        <x:is>
          <x:t xml:space="preserve">loops</x:t>
        </x:is>
      </x:c>
      <x:c r="K105" s="5" t="inlineStr">
        <x:is>
          <x:t xml:space="preserve">center_upper</x:t>
        </x:is>
      </x:c>
      <x:c r="L105" s="5" t="inlineStr">
        <x:is>
          <x:t xml:space="preserve">low</x:t>
        </x:is>
      </x:c>
    </x:row>
    <x:row r="106" ht="22" customHeight="1">
      <x:c r="A106" s="5" t="inlineStr">
        <x:is>
          <x:t xml:space="preserve">V06_overload_open_loops</x:t>
        </x:is>
      </x:c>
      <x:c r="B106" s="5" t="inlineStr">
        <x:is>
          <x:t xml:space="preserve">attention</x:t>
        </x:is>
      </x:c>
      <x:c r="C106" s="5" t="inlineStr">
        <x:is>
          <x:t xml:space="preserve">3</x:t>
        </x:is>
      </x:c>
      <x:c r="D106" s="5" t="inlineStr">
        <x:is>
          <x:t xml:space="preserve">bcc_plus</x:t>
        </x:is>
      </x:c>
      <x:c r="E106" s="5" t="inlineStr">
        <x:is>
          <x:t xml:space="preserve">00:00:04.000</x:t>
        </x:is>
      </x:c>
      <x:c r="F106" s="5" t="inlineStr">
        <x:is>
          <x:t xml:space="preserve">00:00:06.000</x:t>
        </x:is>
      </x:c>
      <x:c r="G106" s="5" t="inlineStr">
        <x:is>
          <x:t xml:space="preserve">&lt;b&gt;Close&lt;/b&gt; one &lt;b&gt;first&lt;/b&gt;.</x:t>
        </x:is>
      </x:c>
      <x:c r="H106" s="5" t="inlineStr">
        <x:is>
          <x:t xml:space="preserve">Close one first.</x:t>
        </x:is>
      </x:c>
      <x:c r="I106" s="5" t="inlineStr">
        <x:is>
          <x:t xml:space="preserve">action</x:t>
        </x:is>
      </x:c>
      <x:c r="J106" s="5" t="inlineStr">
        <x:is>
          <x:t xml:space="preserve">close</x:t>
        </x:is>
      </x:c>
      <x:c r="K106" s="5" t="inlineStr">
        <x:is>
          <x:t xml:space="preserve">center_upper</x:t>
        </x:is>
      </x:c>
      <x:c r="L106" s="5" t="inlineStr">
        <x:is>
          <x:t xml:space="preserve">medium</x:t>
        </x:is>
      </x:c>
    </x:row>
    <x:row r="107" ht="22" customHeight="1">
      <x:c r="A107" s="5" t="inlineStr">
        <x:is>
          <x:t xml:space="preserve">V06_overload_open_loops</x:t>
        </x:is>
      </x:c>
      <x:c r="B107" s="5" t="inlineStr">
        <x:is>
          <x:t xml:space="preserve">attention</x:t>
        </x:is>
      </x:c>
      <x:c r="C107" s="5" t="inlineStr">
        <x:is>
          <x:t xml:space="preserve">1</x:t>
        </x:is>
      </x:c>
      <x:c r="D107" s="5" t="inlineStr">
        <x:is>
          <x:t xml:space="preserve">full_transcript</x:t>
        </x:is>
      </x:c>
      <x:c r="E107" s="5" t="inlineStr">
        <x:is>
          <x:t xml:space="preserve">00:00:00.000</x:t>
        </x:is>
      </x:c>
      <x:c r="F107" s="5" t="inlineStr">
        <x:is>
          <x:t xml:space="preserve">00:00:02.000</x:t>
        </x:is>
      </x:c>
      <x:c r="G107" s="5" t="inlineStr">
        <x:is>
          <x:t xml:space="preserve">When everything feels urgent, moving faster is not the answer.</x:t>
        </x:is>
      </x:c>
      <x:c r="H107" s="5" t="inlineStr">
        <x:is>
          <x:t xml:space="preserve">When everything feels urgent, moving faster is not the answer.</x:t>
        </x:is>
      </x:c>
      <x:c r="I107" s="5" t="inlineStr">
        <x:is>
          <x:t xml:space="preserve">false_belief</x:t>
        </x:is>
      </x:c>
      <x:c r="J107" s="5" t="inlineStr">
        <x:is>
          <x:t xml:space="preserve">faster</x:t>
        </x:is>
      </x:c>
      <x:c r="K107" s="5" t="inlineStr">
        <x:is>
          <x:t xml:space="preserve">center_upper</x:t>
        </x:is>
      </x:c>
      <x:c r="L107" s="5" t="inlineStr">
        <x:is>
          <x:t xml:space="preserve">low</x:t>
        </x:is>
      </x:c>
    </x:row>
    <x:row r="108" ht="22" customHeight="1">
      <x:c r="A108" s="5" t="inlineStr">
        <x:is>
          <x:t xml:space="preserve">V06_overload_open_loops</x:t>
        </x:is>
      </x:c>
      <x:c r="B108" s="5" t="inlineStr">
        <x:is>
          <x:t xml:space="preserve">attention</x:t>
        </x:is>
      </x:c>
      <x:c r="C108" s="5" t="inlineStr">
        <x:is>
          <x:t xml:space="preserve">2</x:t>
        </x:is>
      </x:c>
      <x:c r="D108" s="5" t="inlineStr">
        <x:is>
          <x:t xml:space="preserve">full_transcript</x:t>
        </x:is>
      </x:c>
      <x:c r="E108" s="5" t="inlineStr">
        <x:is>
          <x:t xml:space="preserve">00:00:02.000</x:t>
        </x:is>
      </x:c>
      <x:c r="F108" s="5" t="inlineStr">
        <x:is>
          <x:t xml:space="preserve">00:00:04.000</x:t>
        </x:is>
      </x:c>
      <x:c r="G108" s="5" t="inlineStr">
        <x:is>
          <x:t xml:space="preserve">You need fewer open loops.</x:t>
        </x:is>
      </x:c>
      <x:c r="H108" s="5" t="inlineStr">
        <x:is>
          <x:t xml:space="preserve">You need fewer open loops.</x:t>
        </x:is>
      </x:c>
      <x:c r="I108" s="5" t="inlineStr">
        <x:is>
          <x:t xml:space="preserve">correction</x:t>
        </x:is>
      </x:c>
      <x:c r="J108" s="5" t="inlineStr">
        <x:is>
          <x:t xml:space="preserve">loops</x:t>
        </x:is>
      </x:c>
      <x:c r="K108" s="5" t="inlineStr">
        <x:is>
          <x:t xml:space="preserve">center_upper</x:t>
        </x:is>
      </x:c>
      <x:c r="L108" s="5" t="inlineStr">
        <x:is>
          <x:t xml:space="preserve">low</x:t>
        </x:is>
      </x:c>
    </x:row>
    <x:row r="109" ht="22" customHeight="1">
      <x:c r="A109" s="5" t="inlineStr">
        <x:is>
          <x:t xml:space="preserve">V06_overload_open_loops</x:t>
        </x:is>
      </x:c>
      <x:c r="B109" s="5" t="inlineStr">
        <x:is>
          <x:t xml:space="preserve">attention</x:t>
        </x:is>
      </x:c>
      <x:c r="C109" s="5" t="inlineStr">
        <x:is>
          <x:t xml:space="preserve">3</x:t>
        </x:is>
      </x:c>
      <x:c r="D109" s="5" t="inlineStr">
        <x:is>
          <x:t xml:space="preserve">full_transcript</x:t>
        </x:is>
      </x:c>
      <x:c r="E109" s="5" t="inlineStr">
        <x:is>
          <x:t xml:space="preserve">00:00:04.000</x:t>
        </x:is>
      </x:c>
      <x:c r="F109" s="5" t="inlineStr">
        <x:is>
          <x:t xml:space="preserve">00:00:06.000</x:t>
        </x:is>
      </x:c>
      <x:c r="G109" s="5" t="inlineStr">
        <x:is>
          <x:t xml:space="preserve">Close one loop before you open another.</x:t>
        </x:is>
      </x:c>
      <x:c r="H109" s="5" t="inlineStr">
        <x:is>
          <x:t xml:space="preserve">Close one loop before you open another.</x:t>
        </x:is>
      </x:c>
      <x:c r="I109" s="5" t="inlineStr">
        <x:is>
          <x:t xml:space="preserve">action</x:t>
        </x:is>
      </x:c>
      <x:c r="J109" s="5" t="inlineStr">
        <x:is>
          <x:t xml:space="preserve">close</x:t>
        </x:is>
      </x:c>
      <x:c r="K109" s="5" t="inlineStr">
        <x:is>
          <x:t xml:space="preserve">center_upper</x:t>
        </x:is>
      </x:c>
      <x:c r="L109" s="5" t="inlineStr">
        <x:is>
          <x:t xml:space="preserve">medium</x:t>
        </x:is>
      </x:c>
    </x:row>
    <x:row r="110" ht="36" customHeight="1">
      <x:c r="A110" s="5" t="inlineStr">
        <x:is>
          <x:t xml:space="preserve">V06_overload_open_loops</x:t>
        </x:is>
      </x:c>
      <x:c r="B110" s="5" t="inlineStr">
        <x:is>
          <x:t xml:space="preserve">attention</x:t>
        </x:is>
      </x:c>
      <x:c r="C110" s="5" t="inlineStr">
        <x:is>
          <x:t xml:space="preserve">1</x:t>
        </x:is>
      </x:c>
      <x:c r="D110" s="5" t="inlineStr">
        <x:is>
          <x:t xml:space="preserve">heavy_bionic</x:t>
        </x:is>
      </x:c>
      <x:c r="E110" s="5" t="inlineStr">
        <x:is>
          <x:t xml:space="preserve">00:00:00.000</x:t>
        </x:is>
      </x:c>
      <x:c r="F110" s="5" t="inlineStr">
        <x:is>
          <x:t xml:space="preserve">00:00:02.000</x:t>
        </x:is>
      </x:c>
      <x:c r="G110" s="5" t="inlineStr">
        <x:is>
          <x:t xml:space="preserve">&lt;b&gt;When&lt;/b&gt; &lt;b&gt;ever&lt;/b&gt;ything &lt;b&gt;fee&lt;/b&gt;ls &lt;b&gt;urg&lt;/b&gt;ent, &lt;b&gt;mov&lt;/b&gt;ing &lt;b&gt;fas&lt;/b&gt;ter is &lt;b&gt;not&lt;/b&gt; the &lt;b&gt;ans&lt;/b&gt;wer.</x:t>
        </x:is>
      </x:c>
      <x:c r="H110" s="5" t="inlineStr">
        <x:is>
          <x:t xml:space="preserve">When everything feels urgent, moving faster is not the answer.</x:t>
        </x:is>
      </x:c>
      <x:c r="I110" s="5" t="inlineStr">
        <x:is>
          <x:t xml:space="preserve">false_belief</x:t>
        </x:is>
      </x:c>
      <x:c r="J110" s="5" t="inlineStr">
        <x:is>
          <x:t xml:space="preserve">faster</x:t>
        </x:is>
      </x:c>
      <x:c r="K110" s="5" t="inlineStr">
        <x:is>
          <x:t xml:space="preserve">center_upper</x:t>
        </x:is>
      </x:c>
      <x:c r="L110" s="5" t="inlineStr">
        <x:is>
          <x:t xml:space="preserve">low</x:t>
        </x:is>
      </x:c>
    </x:row>
    <x:row r="111" ht="22" customHeight="1">
      <x:c r="A111" s="5" t="inlineStr">
        <x:is>
          <x:t xml:space="preserve">V06_overload_open_loops</x:t>
        </x:is>
      </x:c>
      <x:c r="B111" s="5" t="inlineStr">
        <x:is>
          <x:t xml:space="preserve">attention</x:t>
        </x:is>
      </x:c>
      <x:c r="C111" s="5" t="inlineStr">
        <x:is>
          <x:t xml:space="preserve">2</x:t>
        </x:is>
      </x:c>
      <x:c r="D111" s="5" t="inlineStr">
        <x:is>
          <x:t xml:space="preserve">heavy_bionic</x:t>
        </x:is>
      </x:c>
      <x:c r="E111" s="5" t="inlineStr">
        <x:is>
          <x:t xml:space="preserve">00:00:02.000</x:t>
        </x:is>
      </x:c>
      <x:c r="F111" s="5" t="inlineStr">
        <x:is>
          <x:t xml:space="preserve">00:00:04.000</x:t>
        </x:is>
      </x:c>
      <x:c r="G111" s="5" t="inlineStr">
        <x:is>
          <x:t xml:space="preserve">You &lt;b&gt;need&lt;/b&gt; &lt;b&gt;few&lt;/b&gt;er &lt;b&gt;open&lt;/b&gt; &lt;b&gt;loo&lt;/b&gt;ps.</x:t>
        </x:is>
      </x:c>
      <x:c r="H111" s="5" t="inlineStr">
        <x:is>
          <x:t xml:space="preserve">You need fewer open loops.</x:t>
        </x:is>
      </x:c>
      <x:c r="I111" s="5" t="inlineStr">
        <x:is>
          <x:t xml:space="preserve">correction</x:t>
        </x:is>
      </x:c>
      <x:c r="J111" s="5" t="inlineStr">
        <x:is>
          <x:t xml:space="preserve">loops</x:t>
        </x:is>
      </x:c>
      <x:c r="K111" s="5" t="inlineStr">
        <x:is>
          <x:t xml:space="preserve">center_upper</x:t>
        </x:is>
      </x:c>
      <x:c r="L111" s="5" t="inlineStr">
        <x:is>
          <x:t xml:space="preserve">low</x:t>
        </x:is>
      </x:c>
    </x:row>
    <x:row r="112" ht="22" customHeight="1">
      <x:c r="A112" s="5" t="inlineStr">
        <x:is>
          <x:t xml:space="preserve">V06_overload_open_loops</x:t>
        </x:is>
      </x:c>
      <x:c r="B112" s="5" t="inlineStr">
        <x:is>
          <x:t xml:space="preserve">attention</x:t>
        </x:is>
      </x:c>
      <x:c r="C112" s="5" t="inlineStr">
        <x:is>
          <x:t xml:space="preserve">3</x:t>
        </x:is>
      </x:c>
      <x:c r="D112" s="5" t="inlineStr">
        <x:is>
          <x:t xml:space="preserve">heavy_bionic</x:t>
        </x:is>
      </x:c>
      <x:c r="E112" s="5" t="inlineStr">
        <x:is>
          <x:t xml:space="preserve">00:00:04.000</x:t>
        </x:is>
      </x:c>
      <x:c r="F112" s="5" t="inlineStr">
        <x:is>
          <x:t xml:space="preserve">00:00:06.000</x:t>
        </x:is>
      </x:c>
      <x:c r="G112" s="5" t="inlineStr">
        <x:is>
          <x:t xml:space="preserve">&lt;b&gt;Close&lt;/b&gt; one &lt;b&gt;loop&lt;/b&gt; &lt;b&gt;before&lt;/b&gt; you &lt;b&gt;open&lt;/b&gt; &lt;b&gt;ano&lt;/b&gt;ther.</x:t>
        </x:is>
      </x:c>
      <x:c r="H112" s="5" t="inlineStr">
        <x:is>
          <x:t xml:space="preserve">Close one loop before you open another.</x:t>
        </x:is>
      </x:c>
      <x:c r="I112" s="5" t="inlineStr">
        <x:is>
          <x:t xml:space="preserve">action</x:t>
        </x:is>
      </x:c>
      <x:c r="J112" s="5" t="inlineStr">
        <x:is>
          <x:t xml:space="preserve">close</x:t>
        </x:is>
      </x:c>
      <x:c r="K112" s="5" t="inlineStr">
        <x:is>
          <x:t xml:space="preserve">center_upper</x:t>
        </x:is>
      </x:c>
      <x:c r="L112" s="5" t="inlineStr">
        <x:is>
          <x:t xml:space="preserve">medium</x:t>
        </x:is>
      </x:c>
    </x:row>
    <x:row r="113" ht="22" customHeight="1">
      <x:c r="A113" s="5" t="inlineStr">
        <x:is>
          <x:t xml:space="preserve">V06_overload_open_loops</x:t>
        </x:is>
      </x:c>
      <x:c r="B113" s="5" t="inlineStr">
        <x:is>
          <x:t xml:space="preserve">attention</x:t>
        </x:is>
      </x:c>
      <x:c r="C113" s="5" t="inlineStr">
        <x:is>
          <x:t xml:space="preserve">1</x:t>
        </x:is>
      </x:c>
      <x:c r="D113" s="5" t="inlineStr">
        <x:is>
          <x:t xml:space="preserve">keyword_highlight</x:t>
        </x:is>
      </x:c>
      <x:c r="E113" s="5" t="inlineStr">
        <x:is>
          <x:t xml:space="preserve">00:00:00.000</x:t>
        </x:is>
      </x:c>
      <x:c r="F113" s="5" t="inlineStr">
        <x:is>
          <x:t xml:space="preserve">00:00:02.000</x:t>
        </x:is>
      </x:c>
      <x:c r="G113" s="5" t="inlineStr">
        <x:is>
          <x:t xml:space="preserve">When everything feels urgent, moving &lt;b&gt;faster&lt;/b&gt; is not the answer.</x:t>
        </x:is>
      </x:c>
      <x:c r="H113" s="5" t="inlineStr">
        <x:is>
          <x:t xml:space="preserve">When everything feels urgent, moving faster is not the answer.</x:t>
        </x:is>
      </x:c>
      <x:c r="I113" s="5" t="inlineStr">
        <x:is>
          <x:t xml:space="preserve">false_belief</x:t>
        </x:is>
      </x:c>
      <x:c r="J113" s="5" t="inlineStr">
        <x:is>
          <x:t xml:space="preserve">faster</x:t>
        </x:is>
      </x:c>
      <x:c r="K113" s="5" t="inlineStr">
        <x:is>
          <x:t xml:space="preserve">center_upper</x:t>
        </x:is>
      </x:c>
      <x:c r="L113" s="5" t="inlineStr">
        <x:is>
          <x:t xml:space="preserve">low</x:t>
        </x:is>
      </x:c>
    </x:row>
    <x:row r="114" ht="22" customHeight="1">
      <x:c r="A114" s="5" t="inlineStr">
        <x:is>
          <x:t xml:space="preserve">V06_overload_open_loops</x:t>
        </x:is>
      </x:c>
      <x:c r="B114" s="5" t="inlineStr">
        <x:is>
          <x:t xml:space="preserve">attention</x:t>
        </x:is>
      </x:c>
      <x:c r="C114" s="5" t="inlineStr">
        <x:is>
          <x:t xml:space="preserve">2</x:t>
        </x:is>
      </x:c>
      <x:c r="D114" s="5" t="inlineStr">
        <x:is>
          <x:t xml:space="preserve">keyword_highlight</x:t>
        </x:is>
      </x:c>
      <x:c r="E114" s="5" t="inlineStr">
        <x:is>
          <x:t xml:space="preserve">00:00:02.000</x:t>
        </x:is>
      </x:c>
      <x:c r="F114" s="5" t="inlineStr">
        <x:is>
          <x:t xml:space="preserve">00:00:04.000</x:t>
        </x:is>
      </x:c>
      <x:c r="G114" s="5" t="inlineStr">
        <x:is>
          <x:t xml:space="preserve">You need fewer open &lt;b&gt;loops&lt;/b&gt;.</x:t>
        </x:is>
      </x:c>
      <x:c r="H114" s="5" t="inlineStr">
        <x:is>
          <x:t xml:space="preserve">You need fewer open loops.</x:t>
        </x:is>
      </x:c>
      <x:c r="I114" s="5" t="inlineStr">
        <x:is>
          <x:t xml:space="preserve">correction</x:t>
        </x:is>
      </x:c>
      <x:c r="J114" s="5" t="inlineStr">
        <x:is>
          <x:t xml:space="preserve">loops</x:t>
        </x:is>
      </x:c>
      <x:c r="K114" s="5" t="inlineStr">
        <x:is>
          <x:t xml:space="preserve">center_upper</x:t>
        </x:is>
      </x:c>
      <x:c r="L114" s="5" t="inlineStr">
        <x:is>
          <x:t xml:space="preserve">low</x:t>
        </x:is>
      </x:c>
    </x:row>
    <x:row r="115" ht="22" customHeight="1">
      <x:c r="A115" s="5" t="inlineStr">
        <x:is>
          <x:t xml:space="preserve">V06_overload_open_loops</x:t>
        </x:is>
      </x:c>
      <x:c r="B115" s="5" t="inlineStr">
        <x:is>
          <x:t xml:space="preserve">attention</x:t>
        </x:is>
      </x:c>
      <x:c r="C115" s="5" t="inlineStr">
        <x:is>
          <x:t xml:space="preserve">3</x:t>
        </x:is>
      </x:c>
      <x:c r="D115" s="5" t="inlineStr">
        <x:is>
          <x:t xml:space="preserve">keyword_highlight</x:t>
        </x:is>
      </x:c>
      <x:c r="E115" s="5" t="inlineStr">
        <x:is>
          <x:t xml:space="preserve">00:00:04.000</x:t>
        </x:is>
      </x:c>
      <x:c r="F115" s="5" t="inlineStr">
        <x:is>
          <x:t xml:space="preserve">00:00:06.000</x:t>
        </x:is>
      </x:c>
      <x:c r="G115" s="5" t="inlineStr">
        <x:is>
          <x:t xml:space="preserve">&lt;b&gt;Close&lt;/b&gt; one loop before you open another.</x:t>
        </x:is>
      </x:c>
      <x:c r="H115" s="5" t="inlineStr">
        <x:is>
          <x:t xml:space="preserve">Close one loop before you open another.</x:t>
        </x:is>
      </x:c>
      <x:c r="I115" s="5" t="inlineStr">
        <x:is>
          <x:t xml:space="preserve">action</x:t>
        </x:is>
      </x:c>
      <x:c r="J115" s="5" t="inlineStr">
        <x:is>
          <x:t xml:space="preserve">close</x:t>
        </x:is>
      </x:c>
      <x:c r="K115" s="5" t="inlineStr">
        <x:is>
          <x:t xml:space="preserve">center_upper</x:t>
        </x:is>
      </x:c>
      <x:c r="L115" s="5" t="inlineStr">
        <x:is>
          <x:t xml:space="preserve">medium</x:t>
        </x:is>
      </x:c>
    </x:row>
    <x:row r="116" ht="22" customHeight="1">
      <x:c r="A116" s="5" t="inlineStr">
        <x:is>
          <x:t xml:space="preserve">V06_overload_open_loops</x:t>
        </x:is>
      </x:c>
      <x:c r="B116" s="5" t="inlineStr">
        <x:is>
          <x:t xml:space="preserve">attention</x:t>
        </x:is>
      </x:c>
      <x:c r="C116" s="5" t="inlineStr">
        <x:is>
          <x:t xml:space="preserve">1</x:t>
        </x:is>
      </x:c>
      <x:c r="D116" s="5" t="inlineStr">
        <x:is>
          <x:t xml:space="preserve">semantic_compression</x:t>
        </x:is>
      </x:c>
      <x:c r="E116" s="5" t="inlineStr">
        <x:is>
          <x:t xml:space="preserve">00:00:00.000</x:t>
        </x:is>
      </x:c>
      <x:c r="F116" s="5" t="inlineStr">
        <x:is>
          <x:t xml:space="preserve">00:00:02.000</x:t>
        </x:is>
      </x:c>
      <x:c r="G116" s="5" t="inlineStr">
        <x:is>
          <x:t xml:space="preserve">Not faster.</x:t>
        </x:is>
      </x:c>
      <x:c r="H116" s="5" t="inlineStr">
        <x:is>
          <x:t xml:space="preserve">Not faster.</x:t>
        </x:is>
      </x:c>
      <x:c r="I116" s="5" t="inlineStr">
        <x:is>
          <x:t xml:space="preserve">false_belief</x:t>
        </x:is>
      </x:c>
      <x:c r="J116" s="5" t="inlineStr">
        <x:is>
          <x:t xml:space="preserve">faster</x:t>
        </x:is>
      </x:c>
      <x:c r="K116" s="5" t="inlineStr">
        <x:is>
          <x:t xml:space="preserve">center_upper</x:t>
        </x:is>
      </x:c>
      <x:c r="L116" s="5" t="inlineStr">
        <x:is>
          <x:t xml:space="preserve">low</x:t>
        </x:is>
      </x:c>
    </x:row>
    <x:row r="117" ht="22" customHeight="1">
      <x:c r="A117" s="5" t="inlineStr">
        <x:is>
          <x:t xml:space="preserve">V06_overload_open_loops</x:t>
        </x:is>
      </x:c>
      <x:c r="B117" s="5" t="inlineStr">
        <x:is>
          <x:t xml:space="preserve">attention</x:t>
        </x:is>
      </x:c>
      <x:c r="C117" s="5" t="inlineStr">
        <x:is>
          <x:t xml:space="preserve">2</x:t>
        </x:is>
      </x:c>
      <x:c r="D117" s="5" t="inlineStr">
        <x:is>
          <x:t xml:space="preserve">semantic_compression</x:t>
        </x:is>
      </x:c>
      <x:c r="E117" s="5" t="inlineStr">
        <x:is>
          <x:t xml:space="preserve">00:00:02.000</x:t>
        </x:is>
      </x:c>
      <x:c r="F117" s="5" t="inlineStr">
        <x:is>
          <x:t xml:space="preserve">00:00:04.000</x:t>
        </x:is>
      </x:c>
      <x:c r="G117" s="5" t="inlineStr">
        <x:is>
          <x:t xml:space="preserve">Fewer loops.</x:t>
        </x:is>
      </x:c>
      <x:c r="H117" s="5" t="inlineStr">
        <x:is>
          <x:t xml:space="preserve">Fewer loops.</x:t>
        </x:is>
      </x:c>
      <x:c r="I117" s="5" t="inlineStr">
        <x:is>
          <x:t xml:space="preserve">correction</x:t>
        </x:is>
      </x:c>
      <x:c r="J117" s="5" t="inlineStr">
        <x:is>
          <x:t xml:space="preserve">loops</x:t>
        </x:is>
      </x:c>
      <x:c r="K117" s="5" t="inlineStr">
        <x:is>
          <x:t xml:space="preserve">center_upper</x:t>
        </x:is>
      </x:c>
      <x:c r="L117" s="5" t="inlineStr">
        <x:is>
          <x:t xml:space="preserve">low</x:t>
        </x:is>
      </x:c>
    </x:row>
    <x:row r="118" ht="22" customHeight="1">
      <x:c r="A118" s="5" t="inlineStr">
        <x:is>
          <x:t xml:space="preserve">V06_overload_open_loops</x:t>
        </x:is>
      </x:c>
      <x:c r="B118" s="5" t="inlineStr">
        <x:is>
          <x:t xml:space="preserve">attention</x:t>
        </x:is>
      </x:c>
      <x:c r="C118" s="5" t="inlineStr">
        <x:is>
          <x:t xml:space="preserve">3</x:t>
        </x:is>
      </x:c>
      <x:c r="D118" s="5" t="inlineStr">
        <x:is>
          <x:t xml:space="preserve">semantic_compression</x:t>
        </x:is>
      </x:c>
      <x:c r="E118" s="5" t="inlineStr">
        <x:is>
          <x:t xml:space="preserve">00:00:04.000</x:t>
        </x:is>
      </x:c>
      <x:c r="F118" s="5" t="inlineStr">
        <x:is>
          <x:t xml:space="preserve">00:00:06.000</x:t>
        </x:is>
      </x:c>
      <x:c r="G118" s="5" t="inlineStr">
        <x:is>
          <x:t xml:space="preserve">Close one first.</x:t>
        </x:is>
      </x:c>
      <x:c r="H118" s="5" t="inlineStr">
        <x:is>
          <x:t xml:space="preserve">Close one first.</x:t>
        </x:is>
      </x:c>
      <x:c r="I118" s="5" t="inlineStr">
        <x:is>
          <x:t xml:space="preserve">action</x:t>
        </x:is>
      </x:c>
      <x:c r="J118" s="5" t="inlineStr">
        <x:is>
          <x:t xml:space="preserve">close</x:t>
        </x:is>
      </x:c>
      <x:c r="K118" s="5" t="inlineStr">
        <x:is>
          <x:t xml:space="preserve">center_upper</x:t>
        </x:is>
      </x:c>
      <x:c r="L118" s="5" t="inlineStr">
        <x:is>
          <x:t xml:space="preserve">medium</x:t>
        </x:is>
      </x:c>
    </x:row>
    <x:row r="119" ht="22" customHeight="1">
      <x:c r="A119" s="5" t="inlineStr">
        <x:is>
          <x:t xml:space="preserve">V07_business_clarity</x:t>
        </x:is>
      </x:c>
      <x:c r="B119" s="5" t="inlineStr">
        <x:is>
          <x:t xml:space="preserve">business</x:t>
        </x:is>
      </x:c>
      <x:c r="C119" s="5" t="inlineStr">
        <x:is>
          <x:t xml:space="preserve">1</x:t>
        </x:is>
      </x:c>
      <x:c r="D119" s="5" t="inlineStr">
        <x:is>
          <x:t xml:space="preserve">bcc</x:t>
        </x:is>
      </x:c>
      <x:c r="E119" s="5" t="inlineStr">
        <x:is>
          <x:t xml:space="preserve">00:00:00.000</x:t>
        </x:is>
      </x:c>
      <x:c r="F119" s="5" t="inlineStr">
        <x:is>
          <x:t xml:space="preserve">00:00:02.000</x:t>
        </x:is>
      </x:c>
      <x:c r="G119" s="5" t="inlineStr">
        <x:is>
          <x:t xml:space="preserve">&lt;b&gt;Not&lt;/b&gt; &lt;b&gt;pri&lt;/b&gt;ce.</x:t>
        </x:is>
      </x:c>
      <x:c r="H119" s="5" t="inlineStr">
        <x:is>
          <x:t xml:space="preserve">Not price.</x:t>
        </x:is>
      </x:c>
      <x:c r="I119" s="5" t="inlineStr">
        <x:is>
          <x:t xml:space="preserve">false_belief</x:t>
        </x:is>
      </x:c>
      <x:c r="J119" s="5" t="inlineStr">
        <x:is>
          <x:t xml:space="preserve">price</x:t>
        </x:is>
      </x:c>
      <x:c r="K119" s="5" t="inlineStr">
        <x:is>
          <x:t xml:space="preserve">center_upper</x:t>
        </x:is>
      </x:c>
      <x:c r="L119" s="5" t="inlineStr">
        <x:is>
          <x:t xml:space="preserve">low</x:t>
        </x:is>
      </x:c>
    </x:row>
    <x:row r="120" ht="22" customHeight="1">
      <x:c r="A120" s="5" t="inlineStr">
        <x:is>
          <x:t xml:space="preserve">V07_business_clarity</x:t>
        </x:is>
      </x:c>
      <x:c r="B120" s="5" t="inlineStr">
        <x:is>
          <x:t xml:space="preserve">business</x:t>
        </x:is>
      </x:c>
      <x:c r="C120" s="5" t="inlineStr">
        <x:is>
          <x:t xml:space="preserve">2</x:t>
        </x:is>
      </x:c>
      <x:c r="D120" s="5" t="inlineStr">
        <x:is>
          <x:t xml:space="preserve">bcc</x:t>
        </x:is>
      </x:c>
      <x:c r="E120" s="5" t="inlineStr">
        <x:is>
          <x:t xml:space="preserve">00:00:02.000</x:t>
        </x:is>
      </x:c>
      <x:c r="F120" s="5" t="inlineStr">
        <x:is>
          <x:t xml:space="preserve">00:00:04.000</x:t>
        </x:is>
      </x:c>
      <x:c r="G120" s="5" t="inlineStr">
        <x:is>
          <x:t xml:space="preserve">&lt;b&gt;Cla&lt;/b&gt;rity.</x:t>
        </x:is>
      </x:c>
      <x:c r="H120" s="5" t="inlineStr">
        <x:is>
          <x:t xml:space="preserve">Clarity.</x:t>
        </x:is>
      </x:c>
      <x:c r="I120" s="5" t="inlineStr">
        <x:is>
          <x:t xml:space="preserve">correction</x:t>
        </x:is>
      </x:c>
      <x:c r="J120" s="5" t="inlineStr">
        <x:is>
          <x:t xml:space="preserve">clarity</x:t>
        </x:is>
      </x:c>
      <x:c r="K120" s="5" t="inlineStr">
        <x:is>
          <x:t xml:space="preserve">center_upper</x:t>
        </x:is>
      </x:c>
      <x:c r="L120" s="5" t="inlineStr">
        <x:is>
          <x:t xml:space="preserve">low</x:t>
        </x:is>
      </x:c>
    </x:row>
    <x:row r="121" ht="22" customHeight="1">
      <x:c r="A121" s="5" t="inlineStr">
        <x:is>
          <x:t xml:space="preserve">V07_business_clarity</x:t>
        </x:is>
      </x:c>
      <x:c r="B121" s="5" t="inlineStr">
        <x:is>
          <x:t xml:space="preserve">business</x:t>
        </x:is>
      </x:c>
      <x:c r="C121" s="5" t="inlineStr">
        <x:is>
          <x:t xml:space="preserve">3</x:t>
        </x:is>
      </x:c>
      <x:c r="D121" s="5" t="inlineStr">
        <x:is>
          <x:t xml:space="preserve">bcc</x:t>
        </x:is>
      </x:c>
      <x:c r="E121" s="5" t="inlineStr">
        <x:is>
          <x:t xml:space="preserve">00:00:04.000</x:t>
        </x:is>
      </x:c>
      <x:c r="F121" s="5" t="inlineStr">
        <x:is>
          <x:t xml:space="preserve">00:00:06.000</x:t>
        </x:is>
      </x:c>
      <x:c r="G121" s="5" t="inlineStr">
        <x:is>
          <x:t xml:space="preserve">Show the &lt;b&gt;cha&lt;/b&gt;nge.</x:t>
        </x:is>
      </x:c>
      <x:c r="H121" s="5" t="inlineStr">
        <x:is>
          <x:t xml:space="preserve">Show the change.</x:t>
        </x:is>
      </x:c>
      <x:c r="I121" s="5" t="inlineStr">
        <x:is>
          <x:t xml:space="preserve">action</x:t>
        </x:is>
      </x:c>
      <x:c r="J121" s="5" t="inlineStr">
        <x:is>
          <x:t xml:space="preserve">change</x:t>
        </x:is>
      </x:c>
      <x:c r="K121" s="5" t="inlineStr">
        <x:is>
          <x:t xml:space="preserve">left_mid</x:t>
        </x:is>
      </x:c>
      <x:c r="L121" s="5" t="inlineStr">
        <x:is>
          <x:t xml:space="preserve">medium</x:t>
        </x:is>
      </x:c>
    </x:row>
    <x:row r="122" ht="22" customHeight="1">
      <x:c r="A122" s="5" t="inlineStr">
        <x:is>
          <x:t xml:space="preserve">V07_business_clarity</x:t>
        </x:is>
      </x:c>
      <x:c r="B122" s="5" t="inlineStr">
        <x:is>
          <x:t xml:space="preserve">business</x:t>
        </x:is>
      </x:c>
      <x:c r="C122" s="5" t="inlineStr">
        <x:is>
          <x:t xml:space="preserve">1</x:t>
        </x:is>
      </x:c>
      <x:c r="D122" s="5" t="inlineStr">
        <x:is>
          <x:t xml:space="preserve">bcc_plus</x:t>
        </x:is>
      </x:c>
      <x:c r="E122" s="5" t="inlineStr">
        <x:is>
          <x:t xml:space="preserve">00:00:00.000</x:t>
        </x:is>
      </x:c>
      <x:c r="F122" s="5" t="inlineStr">
        <x:is>
          <x:t xml:space="preserve">00:00:02.000</x:t>
        </x:is>
      </x:c>
      <x:c r="G122" s="5" t="inlineStr">
        <x:is>
          <x:t xml:space="preserve">&lt;b&gt;Not&lt;/b&gt; &lt;b&gt;pri&lt;/b&gt;ce.</x:t>
        </x:is>
      </x:c>
      <x:c r="H122" s="5" t="inlineStr">
        <x:is>
          <x:t xml:space="preserve">Not price.</x:t>
        </x:is>
      </x:c>
      <x:c r="I122" s="5" t="inlineStr">
        <x:is>
          <x:t xml:space="preserve">false_belief</x:t>
        </x:is>
      </x:c>
      <x:c r="J122" s="5" t="inlineStr">
        <x:is>
          <x:t xml:space="preserve">price</x:t>
        </x:is>
      </x:c>
      <x:c r="K122" s="5" t="inlineStr">
        <x:is>
          <x:t xml:space="preserve">center_upper</x:t>
        </x:is>
      </x:c>
      <x:c r="L122" s="5" t="inlineStr">
        <x:is>
          <x:t xml:space="preserve">low</x:t>
        </x:is>
      </x:c>
    </x:row>
    <x:row r="123" ht="22" customHeight="1">
      <x:c r="A123" s="5" t="inlineStr">
        <x:is>
          <x:t xml:space="preserve">V07_business_clarity</x:t>
        </x:is>
      </x:c>
      <x:c r="B123" s="5" t="inlineStr">
        <x:is>
          <x:t xml:space="preserve">business</x:t>
        </x:is>
      </x:c>
      <x:c r="C123" s="5" t="inlineStr">
        <x:is>
          <x:t xml:space="preserve">2</x:t>
        </x:is>
      </x:c>
      <x:c r="D123" s="5" t="inlineStr">
        <x:is>
          <x:t xml:space="preserve">bcc_plus</x:t>
        </x:is>
      </x:c>
      <x:c r="E123" s="5" t="inlineStr">
        <x:is>
          <x:t xml:space="preserve">00:00:02.000</x:t>
        </x:is>
      </x:c>
      <x:c r="F123" s="5" t="inlineStr">
        <x:is>
          <x:t xml:space="preserve">00:00:04.000</x:t>
        </x:is>
      </x:c>
      <x:c r="G123" s="5" t="inlineStr">
        <x:is>
          <x:t xml:space="preserve">&lt;b&gt;Cla&lt;/b&gt;rity.</x:t>
        </x:is>
      </x:c>
      <x:c r="H123" s="5" t="inlineStr">
        <x:is>
          <x:t xml:space="preserve">Clarity.</x:t>
        </x:is>
      </x:c>
      <x:c r="I123" s="5" t="inlineStr">
        <x:is>
          <x:t xml:space="preserve">correction</x:t>
        </x:is>
      </x:c>
      <x:c r="J123" s="5" t="inlineStr">
        <x:is>
          <x:t xml:space="preserve">clarity</x:t>
        </x:is>
      </x:c>
      <x:c r="K123" s="5" t="inlineStr">
        <x:is>
          <x:t xml:space="preserve">center_upper</x:t>
        </x:is>
      </x:c>
      <x:c r="L123" s="5" t="inlineStr">
        <x:is>
          <x:t xml:space="preserve">low</x:t>
        </x:is>
      </x:c>
    </x:row>
    <x:row r="124" ht="22" customHeight="1">
      <x:c r="A124" s="5" t="inlineStr">
        <x:is>
          <x:t xml:space="preserve">V07_business_clarity</x:t>
        </x:is>
      </x:c>
      <x:c r="B124" s="5" t="inlineStr">
        <x:is>
          <x:t xml:space="preserve">business</x:t>
        </x:is>
      </x:c>
      <x:c r="C124" s="5" t="inlineStr">
        <x:is>
          <x:t xml:space="preserve">3</x:t>
        </x:is>
      </x:c>
      <x:c r="D124" s="5" t="inlineStr">
        <x:is>
          <x:t xml:space="preserve">bcc_plus</x:t>
        </x:is>
      </x:c>
      <x:c r="E124" s="5" t="inlineStr">
        <x:is>
          <x:t xml:space="preserve">00:00:04.000</x:t>
        </x:is>
      </x:c>
      <x:c r="F124" s="5" t="inlineStr">
        <x:is>
          <x:t xml:space="preserve">00:00:06.000</x:t>
        </x:is>
      </x:c>
      <x:c r="G124" s="5" t="inlineStr">
        <x:is>
          <x:t xml:space="preserve">Show the &lt;b&gt;cha&lt;/b&gt;nge.</x:t>
        </x:is>
      </x:c>
      <x:c r="H124" s="5" t="inlineStr">
        <x:is>
          <x:t xml:space="preserve">Show the change.</x:t>
        </x:is>
      </x:c>
      <x:c r="I124" s="5" t="inlineStr">
        <x:is>
          <x:t xml:space="preserve">action</x:t>
        </x:is>
      </x:c>
      <x:c r="J124" s="5" t="inlineStr">
        <x:is>
          <x:t xml:space="preserve">change</x:t>
        </x:is>
      </x:c>
      <x:c r="K124" s="5" t="inlineStr">
        <x:is>
          <x:t xml:space="preserve">left_mid</x:t>
        </x:is>
      </x:c>
      <x:c r="L124" s="5" t="inlineStr">
        <x:is>
          <x:t xml:space="preserve">medium</x:t>
        </x:is>
      </x:c>
    </x:row>
    <x:row r="125" ht="22" customHeight="1">
      <x:c r="A125" s="5" t="inlineStr">
        <x:is>
          <x:t xml:space="preserve">V07_business_clarity</x:t>
        </x:is>
      </x:c>
      <x:c r="B125" s="5" t="inlineStr">
        <x:is>
          <x:t xml:space="preserve">business</x:t>
        </x:is>
      </x:c>
      <x:c r="C125" s="5" t="inlineStr">
        <x:is>
          <x:t xml:space="preserve">1</x:t>
        </x:is>
      </x:c>
      <x:c r="D125" s="5" t="inlineStr">
        <x:is>
          <x:t xml:space="preserve">full_transcript</x:t>
        </x:is>
      </x:c>
      <x:c r="E125" s="5" t="inlineStr">
        <x:is>
          <x:t xml:space="preserve">00:00:00.000</x:t>
        </x:is>
      </x:c>
      <x:c r="F125" s="5" t="inlineStr">
        <x:is>
          <x:t xml:space="preserve">00:00:02.000</x:t>
        </x:is>
      </x:c>
      <x:c r="G125" s="5" t="inlineStr">
        <x:is>
          <x:t xml:space="preserve">If people are not buying, the first issue is often not price.</x:t>
        </x:is>
      </x:c>
      <x:c r="H125" s="5" t="inlineStr">
        <x:is>
          <x:t xml:space="preserve">If people are not buying, the first issue is often not price.</x:t>
        </x:is>
      </x:c>
      <x:c r="I125" s="5" t="inlineStr">
        <x:is>
          <x:t xml:space="preserve">false_belief</x:t>
        </x:is>
      </x:c>
      <x:c r="J125" s="5" t="inlineStr">
        <x:is>
          <x:t xml:space="preserve">price</x:t>
        </x:is>
      </x:c>
      <x:c r="K125" s="5" t="inlineStr">
        <x:is>
          <x:t xml:space="preserve">center_upper</x:t>
        </x:is>
      </x:c>
      <x:c r="L125" s="5" t="inlineStr">
        <x:is>
          <x:t xml:space="preserve">low</x:t>
        </x:is>
      </x:c>
    </x:row>
    <x:row r="126" ht="22" customHeight="1">
      <x:c r="A126" s="5" t="inlineStr">
        <x:is>
          <x:t xml:space="preserve">V07_business_clarity</x:t>
        </x:is>
      </x:c>
      <x:c r="B126" s="5" t="inlineStr">
        <x:is>
          <x:t xml:space="preserve">business</x:t>
        </x:is>
      </x:c>
      <x:c r="C126" s="5" t="inlineStr">
        <x:is>
          <x:t xml:space="preserve">2</x:t>
        </x:is>
      </x:c>
      <x:c r="D126" s="5" t="inlineStr">
        <x:is>
          <x:t xml:space="preserve">full_transcript</x:t>
        </x:is>
      </x:c>
      <x:c r="E126" s="5" t="inlineStr">
        <x:is>
          <x:t xml:space="preserve">00:00:02.000</x:t>
        </x:is>
      </x:c>
      <x:c r="F126" s="5" t="inlineStr">
        <x:is>
          <x:t xml:space="preserve">00:00:04.000</x:t>
        </x:is>
      </x:c>
      <x:c r="G126" s="5" t="inlineStr">
        <x:is>
          <x:t xml:space="preserve">It is clarity.</x:t>
        </x:is>
      </x:c>
      <x:c r="H126" s="5" t="inlineStr">
        <x:is>
          <x:t xml:space="preserve">It is clarity.</x:t>
        </x:is>
      </x:c>
      <x:c r="I126" s="5" t="inlineStr">
        <x:is>
          <x:t xml:space="preserve">correction</x:t>
        </x:is>
      </x:c>
      <x:c r="J126" s="5" t="inlineStr">
        <x:is>
          <x:t xml:space="preserve">clarity</x:t>
        </x:is>
      </x:c>
      <x:c r="K126" s="5" t="inlineStr">
        <x:is>
          <x:t xml:space="preserve">center_upper</x:t>
        </x:is>
      </x:c>
      <x:c r="L126" s="5" t="inlineStr">
        <x:is>
          <x:t xml:space="preserve">low</x:t>
        </x:is>
      </x:c>
    </x:row>
    <x:row r="127" ht="22" customHeight="1">
      <x:c r="A127" s="5" t="inlineStr">
        <x:is>
          <x:t xml:space="preserve">V07_business_clarity</x:t>
        </x:is>
      </x:c>
      <x:c r="B127" s="5" t="inlineStr">
        <x:is>
          <x:t xml:space="preserve">business</x:t>
        </x:is>
      </x:c>
      <x:c r="C127" s="5" t="inlineStr">
        <x:is>
          <x:t xml:space="preserve">3</x:t>
        </x:is>
      </x:c>
      <x:c r="D127" s="5" t="inlineStr">
        <x:is>
          <x:t xml:space="preserve">full_transcript</x:t>
        </x:is>
      </x:c>
      <x:c r="E127" s="5" t="inlineStr">
        <x:is>
          <x:t xml:space="preserve">00:00:04.000</x:t>
        </x:is>
      </x:c>
      <x:c r="F127" s="5" t="inlineStr">
        <x:is>
          <x:t xml:space="preserve">00:00:06.000</x:t>
        </x:is>
      </x:c>
      <x:c r="G127" s="5" t="inlineStr">
        <x:is>
          <x:t xml:space="preserve">They need to know what changes after they say yes.</x:t>
        </x:is>
      </x:c>
      <x:c r="H127" s="5" t="inlineStr">
        <x:is>
          <x:t xml:space="preserve">They need to know what changes after they say yes.</x:t>
        </x:is>
      </x:c>
      <x:c r="I127" s="5" t="inlineStr">
        <x:is>
          <x:t xml:space="preserve">action</x:t>
        </x:is>
      </x:c>
      <x:c r="J127" s="5" t="inlineStr">
        <x:is>
          <x:t xml:space="preserve">change</x:t>
        </x:is>
      </x:c>
      <x:c r="K127" s="5" t="inlineStr">
        <x:is>
          <x:t xml:space="preserve">left_mid</x:t>
        </x:is>
      </x:c>
      <x:c r="L127" s="5" t="inlineStr">
        <x:is>
          <x:t xml:space="preserve">medium</x:t>
        </x:is>
      </x:c>
    </x:row>
    <x:row r="128" ht="36" customHeight="1">
      <x:c r="A128" s="5" t="inlineStr">
        <x:is>
          <x:t xml:space="preserve">V07_business_clarity</x:t>
        </x:is>
      </x:c>
      <x:c r="B128" s="5" t="inlineStr">
        <x:is>
          <x:t xml:space="preserve">business</x:t>
        </x:is>
      </x:c>
      <x:c r="C128" s="5" t="inlineStr">
        <x:is>
          <x:t xml:space="preserve">1</x:t>
        </x:is>
      </x:c>
      <x:c r="D128" s="5" t="inlineStr">
        <x:is>
          <x:t xml:space="preserve">heavy_bionic</x:t>
        </x:is>
      </x:c>
      <x:c r="E128" s="5" t="inlineStr">
        <x:is>
          <x:t xml:space="preserve">00:00:00.000</x:t>
        </x:is>
      </x:c>
      <x:c r="F128" s="5" t="inlineStr">
        <x:is>
          <x:t xml:space="preserve">00:00:02.000</x:t>
        </x:is>
      </x:c>
      <x:c r="G128" s="5" t="inlineStr">
        <x:is>
          <x:t xml:space="preserve">If &lt;b&gt;peo&lt;/b&gt;ple are &lt;b&gt;not&lt;/b&gt; &lt;b&gt;buy&lt;/b&gt;ing, the &lt;b&gt;first&lt;/b&gt; &lt;b&gt;iss&lt;/b&gt;ue is &lt;b&gt;oft&lt;/b&gt;en &lt;b&gt;not&lt;/b&gt; &lt;b&gt;pri&lt;/b&gt;ce.</x:t>
        </x:is>
      </x:c>
      <x:c r="H128" s="5" t="inlineStr">
        <x:is>
          <x:t xml:space="preserve">If people are not buying, the first issue is often not price.</x:t>
        </x:is>
      </x:c>
      <x:c r="I128" s="5" t="inlineStr">
        <x:is>
          <x:t xml:space="preserve">false_belief</x:t>
        </x:is>
      </x:c>
      <x:c r="J128" s="5" t="inlineStr">
        <x:is>
          <x:t xml:space="preserve">price</x:t>
        </x:is>
      </x:c>
      <x:c r="K128" s="5" t="inlineStr">
        <x:is>
          <x:t xml:space="preserve">center_upper</x:t>
        </x:is>
      </x:c>
      <x:c r="L128" s="5" t="inlineStr">
        <x:is>
          <x:t xml:space="preserve">low</x:t>
        </x:is>
      </x:c>
    </x:row>
    <x:row r="129" ht="22" customHeight="1">
      <x:c r="A129" s="5" t="inlineStr">
        <x:is>
          <x:t xml:space="preserve">V07_business_clarity</x:t>
        </x:is>
      </x:c>
      <x:c r="B129" s="5" t="inlineStr">
        <x:is>
          <x:t xml:space="preserve">business</x:t>
        </x:is>
      </x:c>
      <x:c r="C129" s="5" t="inlineStr">
        <x:is>
          <x:t xml:space="preserve">2</x:t>
        </x:is>
      </x:c>
      <x:c r="D129" s="5" t="inlineStr">
        <x:is>
          <x:t xml:space="preserve">heavy_bionic</x:t>
        </x:is>
      </x:c>
      <x:c r="E129" s="5" t="inlineStr">
        <x:is>
          <x:t xml:space="preserve">00:00:02.000</x:t>
        </x:is>
      </x:c>
      <x:c r="F129" s="5" t="inlineStr">
        <x:is>
          <x:t xml:space="preserve">00:00:04.000</x:t>
        </x:is>
      </x:c>
      <x:c r="G129" s="5" t="inlineStr">
        <x:is>
          <x:t xml:space="preserve">It is &lt;b&gt;cla&lt;/b&gt;rity.</x:t>
        </x:is>
      </x:c>
      <x:c r="H129" s="5" t="inlineStr">
        <x:is>
          <x:t xml:space="preserve">It is clarity.</x:t>
        </x:is>
      </x:c>
      <x:c r="I129" s="5" t="inlineStr">
        <x:is>
          <x:t xml:space="preserve">correction</x:t>
        </x:is>
      </x:c>
      <x:c r="J129" s="5" t="inlineStr">
        <x:is>
          <x:t xml:space="preserve">clarity</x:t>
        </x:is>
      </x:c>
      <x:c r="K129" s="5" t="inlineStr">
        <x:is>
          <x:t xml:space="preserve">center_upper</x:t>
        </x:is>
      </x:c>
      <x:c r="L129" s="5" t="inlineStr">
        <x:is>
          <x:t xml:space="preserve">low</x:t>
        </x:is>
      </x:c>
    </x:row>
    <x:row r="130" ht="36" customHeight="1">
      <x:c r="A130" s="5" t="inlineStr">
        <x:is>
          <x:t xml:space="preserve">V07_business_clarity</x:t>
        </x:is>
      </x:c>
      <x:c r="B130" s="5" t="inlineStr">
        <x:is>
          <x:t xml:space="preserve">business</x:t>
        </x:is>
      </x:c>
      <x:c r="C130" s="5" t="inlineStr">
        <x:is>
          <x:t xml:space="preserve">3</x:t>
        </x:is>
      </x:c>
      <x:c r="D130" s="5" t="inlineStr">
        <x:is>
          <x:t xml:space="preserve">heavy_bionic</x:t>
        </x:is>
      </x:c>
      <x:c r="E130" s="5" t="inlineStr">
        <x:is>
          <x:t xml:space="preserve">00:00:04.000</x:t>
        </x:is>
      </x:c>
      <x:c r="F130" s="5" t="inlineStr">
        <x:is>
          <x:t xml:space="preserve">00:00:06.000</x:t>
        </x:is>
      </x:c>
      <x:c r="G130" s="5" t="inlineStr">
        <x:is>
          <x:t xml:space="preserve">They &lt;b&gt;need&lt;/b&gt; to &lt;b&gt;know&lt;/b&gt; &lt;b&gt;what&lt;/b&gt; &lt;b&gt;cha&lt;/b&gt;nges &lt;b&gt;after&lt;/b&gt; they say yes.</x:t>
        </x:is>
      </x:c>
      <x:c r="H130" s="5" t="inlineStr">
        <x:is>
          <x:t xml:space="preserve">They need to know what changes after they say yes.</x:t>
        </x:is>
      </x:c>
      <x:c r="I130" s="5" t="inlineStr">
        <x:is>
          <x:t xml:space="preserve">action</x:t>
        </x:is>
      </x:c>
      <x:c r="J130" s="5" t="inlineStr">
        <x:is>
          <x:t xml:space="preserve">change</x:t>
        </x:is>
      </x:c>
      <x:c r="K130" s="5" t="inlineStr">
        <x:is>
          <x:t xml:space="preserve">left_mid</x:t>
        </x:is>
      </x:c>
      <x:c r="L130" s="5" t="inlineStr">
        <x:is>
          <x:t xml:space="preserve">medium</x:t>
        </x:is>
      </x:c>
    </x:row>
    <x:row r="131" ht="22" customHeight="1">
      <x:c r="A131" s="5" t="inlineStr">
        <x:is>
          <x:t xml:space="preserve">V07_business_clarity</x:t>
        </x:is>
      </x:c>
      <x:c r="B131" s="5" t="inlineStr">
        <x:is>
          <x:t xml:space="preserve">business</x:t>
        </x:is>
      </x:c>
      <x:c r="C131" s="5" t="inlineStr">
        <x:is>
          <x:t xml:space="preserve">1</x:t>
        </x:is>
      </x:c>
      <x:c r="D131" s="5" t="inlineStr">
        <x:is>
          <x:t xml:space="preserve">keyword_highlight</x:t>
        </x:is>
      </x:c>
      <x:c r="E131" s="5" t="inlineStr">
        <x:is>
          <x:t xml:space="preserve">00:00:00.000</x:t>
        </x:is>
      </x:c>
      <x:c r="F131" s="5" t="inlineStr">
        <x:is>
          <x:t xml:space="preserve">00:00:02.000</x:t>
        </x:is>
      </x:c>
      <x:c r="G131" s="5" t="inlineStr">
        <x:is>
          <x:t xml:space="preserve">If people are not buying, the first issue is often not &lt;b&gt;price&lt;/b&gt;.</x:t>
        </x:is>
      </x:c>
      <x:c r="H131" s="5" t="inlineStr">
        <x:is>
          <x:t xml:space="preserve">If people are not buying, the first issue is often not price.</x:t>
        </x:is>
      </x:c>
      <x:c r="I131" s="5" t="inlineStr">
        <x:is>
          <x:t xml:space="preserve">false_belief</x:t>
        </x:is>
      </x:c>
      <x:c r="J131" s="5" t="inlineStr">
        <x:is>
          <x:t xml:space="preserve">price</x:t>
        </x:is>
      </x:c>
      <x:c r="K131" s="5" t="inlineStr">
        <x:is>
          <x:t xml:space="preserve">center_upper</x:t>
        </x:is>
      </x:c>
      <x:c r="L131" s="5" t="inlineStr">
        <x:is>
          <x:t xml:space="preserve">low</x:t>
        </x:is>
      </x:c>
    </x:row>
    <x:row r="132" ht="22" customHeight="1">
      <x:c r="A132" s="5" t="inlineStr">
        <x:is>
          <x:t xml:space="preserve">V07_business_clarity</x:t>
        </x:is>
      </x:c>
      <x:c r="B132" s="5" t="inlineStr">
        <x:is>
          <x:t xml:space="preserve">business</x:t>
        </x:is>
      </x:c>
      <x:c r="C132" s="5" t="inlineStr">
        <x:is>
          <x:t xml:space="preserve">2</x:t>
        </x:is>
      </x:c>
      <x:c r="D132" s="5" t="inlineStr">
        <x:is>
          <x:t xml:space="preserve">keyword_highlight</x:t>
        </x:is>
      </x:c>
      <x:c r="E132" s="5" t="inlineStr">
        <x:is>
          <x:t xml:space="preserve">00:00:02.000</x:t>
        </x:is>
      </x:c>
      <x:c r="F132" s="5" t="inlineStr">
        <x:is>
          <x:t xml:space="preserve">00:00:04.000</x:t>
        </x:is>
      </x:c>
      <x:c r="G132" s="5" t="inlineStr">
        <x:is>
          <x:t xml:space="preserve">It is &lt;b&gt;clarity&lt;/b&gt;.</x:t>
        </x:is>
      </x:c>
      <x:c r="H132" s="5" t="inlineStr">
        <x:is>
          <x:t xml:space="preserve">It is clarity.</x:t>
        </x:is>
      </x:c>
      <x:c r="I132" s="5" t="inlineStr">
        <x:is>
          <x:t xml:space="preserve">correction</x:t>
        </x:is>
      </x:c>
      <x:c r="J132" s="5" t="inlineStr">
        <x:is>
          <x:t xml:space="preserve">clarity</x:t>
        </x:is>
      </x:c>
      <x:c r="K132" s="5" t="inlineStr">
        <x:is>
          <x:t xml:space="preserve">center_upper</x:t>
        </x:is>
      </x:c>
      <x:c r="L132" s="5" t="inlineStr">
        <x:is>
          <x:t xml:space="preserve">low</x:t>
        </x:is>
      </x:c>
    </x:row>
    <x:row r="133" ht="22" customHeight="1">
      <x:c r="A133" s="5" t="inlineStr">
        <x:is>
          <x:t xml:space="preserve">V07_business_clarity</x:t>
        </x:is>
      </x:c>
      <x:c r="B133" s="5" t="inlineStr">
        <x:is>
          <x:t xml:space="preserve">business</x:t>
        </x:is>
      </x:c>
      <x:c r="C133" s="5" t="inlineStr">
        <x:is>
          <x:t xml:space="preserve">3</x:t>
        </x:is>
      </x:c>
      <x:c r="D133" s="5" t="inlineStr">
        <x:is>
          <x:t xml:space="preserve">keyword_highlight</x:t>
        </x:is>
      </x:c>
      <x:c r="E133" s="5" t="inlineStr">
        <x:is>
          <x:t xml:space="preserve">00:00:04.000</x:t>
        </x:is>
      </x:c>
      <x:c r="F133" s="5" t="inlineStr">
        <x:is>
          <x:t xml:space="preserve">00:00:06.000</x:t>
        </x:is>
      </x:c>
      <x:c r="G133" s="5" t="inlineStr">
        <x:is>
          <x:t xml:space="preserve">They need to know what changes after they say yes.</x:t>
        </x:is>
      </x:c>
      <x:c r="H133" s="5" t="inlineStr">
        <x:is>
          <x:t xml:space="preserve">They need to know what changes after they say yes.</x:t>
        </x:is>
      </x:c>
      <x:c r="I133" s="5" t="inlineStr">
        <x:is>
          <x:t xml:space="preserve">action</x:t>
        </x:is>
      </x:c>
      <x:c r="J133" s="5" t="inlineStr">
        <x:is>
          <x:t xml:space="preserve">change</x:t>
        </x:is>
      </x:c>
      <x:c r="K133" s="5" t="inlineStr">
        <x:is>
          <x:t xml:space="preserve">left_mid</x:t>
        </x:is>
      </x:c>
      <x:c r="L133" s="5" t="inlineStr">
        <x:is>
          <x:t xml:space="preserve">medium</x:t>
        </x:is>
      </x:c>
    </x:row>
    <x:row r="134" ht="22" customHeight="1">
      <x:c r="A134" s="5" t="inlineStr">
        <x:is>
          <x:t xml:space="preserve">V07_business_clarity</x:t>
        </x:is>
      </x:c>
      <x:c r="B134" s="5" t="inlineStr">
        <x:is>
          <x:t xml:space="preserve">business</x:t>
        </x:is>
      </x:c>
      <x:c r="C134" s="5" t="inlineStr">
        <x:is>
          <x:t xml:space="preserve">1</x:t>
        </x:is>
      </x:c>
      <x:c r="D134" s="5" t="inlineStr">
        <x:is>
          <x:t xml:space="preserve">semantic_compression</x:t>
        </x:is>
      </x:c>
      <x:c r="E134" s="5" t="inlineStr">
        <x:is>
          <x:t xml:space="preserve">00:00:00.000</x:t>
        </x:is>
      </x:c>
      <x:c r="F134" s="5" t="inlineStr">
        <x:is>
          <x:t xml:space="preserve">00:00:02.000</x:t>
        </x:is>
      </x:c>
      <x:c r="G134" s="5" t="inlineStr">
        <x:is>
          <x:t xml:space="preserve">Not price.</x:t>
        </x:is>
      </x:c>
      <x:c r="H134" s="5" t="inlineStr">
        <x:is>
          <x:t xml:space="preserve">Not price.</x:t>
        </x:is>
      </x:c>
      <x:c r="I134" s="5" t="inlineStr">
        <x:is>
          <x:t xml:space="preserve">false_belief</x:t>
        </x:is>
      </x:c>
      <x:c r="J134" s="5" t="inlineStr">
        <x:is>
          <x:t xml:space="preserve">price</x:t>
        </x:is>
      </x:c>
      <x:c r="K134" s="5" t="inlineStr">
        <x:is>
          <x:t xml:space="preserve">center_upper</x:t>
        </x:is>
      </x:c>
      <x:c r="L134" s="5" t="inlineStr">
        <x:is>
          <x:t xml:space="preserve">low</x:t>
        </x:is>
      </x:c>
    </x:row>
    <x:row r="135" ht="22" customHeight="1">
      <x:c r="A135" s="5" t="inlineStr">
        <x:is>
          <x:t xml:space="preserve">V07_business_clarity</x:t>
        </x:is>
      </x:c>
      <x:c r="B135" s="5" t="inlineStr">
        <x:is>
          <x:t xml:space="preserve">business</x:t>
        </x:is>
      </x:c>
      <x:c r="C135" s="5" t="inlineStr">
        <x:is>
          <x:t xml:space="preserve">2</x:t>
        </x:is>
      </x:c>
      <x:c r="D135" s="5" t="inlineStr">
        <x:is>
          <x:t xml:space="preserve">semantic_compression</x:t>
        </x:is>
      </x:c>
      <x:c r="E135" s="5" t="inlineStr">
        <x:is>
          <x:t xml:space="preserve">00:00:02.000</x:t>
        </x:is>
      </x:c>
      <x:c r="F135" s="5" t="inlineStr">
        <x:is>
          <x:t xml:space="preserve">00:00:04.000</x:t>
        </x:is>
      </x:c>
      <x:c r="G135" s="5" t="inlineStr">
        <x:is>
          <x:t xml:space="preserve">Clarity.</x:t>
        </x:is>
      </x:c>
      <x:c r="H135" s="5" t="inlineStr">
        <x:is>
          <x:t xml:space="preserve">Clarity.</x:t>
        </x:is>
      </x:c>
      <x:c r="I135" s="5" t="inlineStr">
        <x:is>
          <x:t xml:space="preserve">correction</x:t>
        </x:is>
      </x:c>
      <x:c r="J135" s="5" t="inlineStr">
        <x:is>
          <x:t xml:space="preserve">clarity</x:t>
        </x:is>
      </x:c>
      <x:c r="K135" s="5" t="inlineStr">
        <x:is>
          <x:t xml:space="preserve">center_upper</x:t>
        </x:is>
      </x:c>
      <x:c r="L135" s="5" t="inlineStr">
        <x:is>
          <x:t xml:space="preserve">low</x:t>
        </x:is>
      </x:c>
    </x:row>
    <x:row r="136" ht="22" customHeight="1">
      <x:c r="A136" s="5" t="inlineStr">
        <x:is>
          <x:t xml:space="preserve">V07_business_clarity</x:t>
        </x:is>
      </x:c>
      <x:c r="B136" s="5" t="inlineStr">
        <x:is>
          <x:t xml:space="preserve">business</x:t>
        </x:is>
      </x:c>
      <x:c r="C136" s="5" t="inlineStr">
        <x:is>
          <x:t xml:space="preserve">3</x:t>
        </x:is>
      </x:c>
      <x:c r="D136" s="5" t="inlineStr">
        <x:is>
          <x:t xml:space="preserve">semantic_compression</x:t>
        </x:is>
      </x:c>
      <x:c r="E136" s="5" t="inlineStr">
        <x:is>
          <x:t xml:space="preserve">00:00:04.000</x:t>
        </x:is>
      </x:c>
      <x:c r="F136" s="5" t="inlineStr">
        <x:is>
          <x:t xml:space="preserve">00:00:06.000</x:t>
        </x:is>
      </x:c>
      <x:c r="G136" s="5" t="inlineStr">
        <x:is>
          <x:t xml:space="preserve">Show the change.</x:t>
        </x:is>
      </x:c>
      <x:c r="H136" s="5" t="inlineStr">
        <x:is>
          <x:t xml:space="preserve">Show the change.</x:t>
        </x:is>
      </x:c>
      <x:c r="I136" s="5" t="inlineStr">
        <x:is>
          <x:t xml:space="preserve">action</x:t>
        </x:is>
      </x:c>
      <x:c r="J136" s="5" t="inlineStr">
        <x:is>
          <x:t xml:space="preserve">change</x:t>
        </x:is>
      </x:c>
      <x:c r="K136" s="5" t="inlineStr">
        <x:is>
          <x:t xml:space="preserve">left_mid</x:t>
        </x:is>
      </x:c>
      <x:c r="L136" s="5" t="inlineStr">
        <x:is>
          <x:t xml:space="preserve">medium</x:t>
        </x:is>
      </x:c>
    </x:row>
    <x:row r="137" ht="22" customHeight="1">
      <x:c r="A137" s="5" t="inlineStr">
        <x:is>
          <x:t xml:space="preserve">V08_calendar_system</x:t>
        </x:is>
      </x:c>
      <x:c r="B137" s="5" t="inlineStr">
        <x:is>
          <x:t xml:space="preserve">time_management</x:t>
        </x:is>
      </x:c>
      <x:c r="C137" s="5" t="inlineStr">
        <x:is>
          <x:t xml:space="preserve">1</x:t>
        </x:is>
      </x:c>
      <x:c r="D137" s="5" t="inlineStr">
        <x:is>
          <x:t xml:space="preserve">bcc</x:t>
        </x:is>
      </x:c>
      <x:c r="E137" s="5" t="inlineStr">
        <x:is>
          <x:t xml:space="preserve">00:00:00.000</x:t>
        </x:is>
      </x:c>
      <x:c r="F137" s="5" t="inlineStr">
        <x:is>
          <x:t xml:space="preserve">00:00:02.000</x:t>
        </x:is>
      </x:c>
      <x:c r="G137" s="5" t="inlineStr">
        <x:is>
          <x:t xml:space="preserve">To-do lists &lt;b&gt;sto&lt;/b&gt;re.</x:t>
        </x:is>
      </x:c>
      <x:c r="H137" s="5" t="inlineStr">
        <x:is>
          <x:t xml:space="preserve">To-do lists store.</x:t>
        </x:is>
      </x:c>
      <x:c r="I137" s="5" t="inlineStr">
        <x:is>
          <x:t xml:space="preserve">diagnosis</x:t>
        </x:is>
      </x:c>
      <x:c r="J137" s="5" t="inlineStr">
        <x:is>
          <x:t xml:space="preserve">store</x:t>
        </x:is>
      </x:c>
      <x:c r="K137" s="5" t="inlineStr">
        <x:is>
          <x:t xml:space="preserve">center_upper</x:t>
        </x:is>
      </x:c>
      <x:c r="L137" s="5" t="inlineStr">
        <x:is>
          <x:t xml:space="preserve">low</x:t>
        </x:is>
      </x:c>
    </x:row>
    <x:row r="138" ht="22" customHeight="1">
      <x:c r="A138" s="5" t="inlineStr">
        <x:is>
          <x:t xml:space="preserve">V08_calendar_system</x:t>
        </x:is>
      </x:c>
      <x:c r="B138" s="5" t="inlineStr">
        <x:is>
          <x:t xml:space="preserve">time_management</x:t>
        </x:is>
      </x:c>
      <x:c r="C138" s="5" t="inlineStr">
        <x:is>
          <x:t xml:space="preserve">2</x:t>
        </x:is>
      </x:c>
      <x:c r="D138" s="5" t="inlineStr">
        <x:is>
          <x:t xml:space="preserve">bcc</x:t>
        </x:is>
      </x:c>
      <x:c r="E138" s="5" t="inlineStr">
        <x:is>
          <x:t xml:space="preserve">00:00:02.000</x:t>
        </x:is>
      </x:c>
      <x:c r="F138" s="5" t="inlineStr">
        <x:is>
          <x:t xml:space="preserve">00:00:04.000</x:t>
        </x:is>
      </x:c>
      <x:c r="G138" s="5" t="inlineStr">
        <x:is>
          <x:t xml:space="preserve">Calendars &lt;b&gt;exe&lt;/b&gt;cute.</x:t>
        </x:is>
      </x:c>
      <x:c r="H138" s="5" t="inlineStr">
        <x:is>
          <x:t xml:space="preserve">Calendars execute.</x:t>
        </x:is>
      </x:c>
      <x:c r="I138" s="5" t="inlineStr">
        <x:is>
          <x:t xml:space="preserve">correction</x:t>
        </x:is>
      </x:c>
      <x:c r="J138" s="5" t="inlineStr">
        <x:is>
          <x:t xml:space="preserve">execute</x:t>
        </x:is>
      </x:c>
      <x:c r="K138" s="5" t="inlineStr">
        <x:is>
          <x:t xml:space="preserve">center_upper</x:t>
        </x:is>
      </x:c>
      <x:c r="L138" s="5" t="inlineStr">
        <x:is>
          <x:t xml:space="preserve">low</x:t>
        </x:is>
      </x:c>
    </x:row>
    <x:row r="139" ht="22" customHeight="1">
      <x:c r="A139" s="5" t="inlineStr">
        <x:is>
          <x:t xml:space="preserve">V08_calendar_system</x:t>
        </x:is>
      </x:c>
      <x:c r="B139" s="5" t="inlineStr">
        <x:is>
          <x:t xml:space="preserve">time_management</x:t>
        </x:is>
      </x:c>
      <x:c r="C139" s="5" t="inlineStr">
        <x:is>
          <x:t xml:space="preserve">3</x:t>
        </x:is>
      </x:c>
      <x:c r="D139" s="5" t="inlineStr">
        <x:is>
          <x:t xml:space="preserve">bcc</x:t>
        </x:is>
      </x:c>
      <x:c r="E139" s="5" t="inlineStr">
        <x:is>
          <x:t xml:space="preserve">00:00:04.000</x:t>
        </x:is>
      </x:c>
      <x:c r="F139" s="5" t="inlineStr">
        <x:is>
          <x:t xml:space="preserve">00:00:06.000</x:t>
        </x:is>
      </x:c>
      <x:c r="G139" s="5" t="inlineStr">
        <x:is>
          <x:t xml:space="preserve">&lt;b&gt;Block&lt;/b&gt; it.</x:t>
        </x:is>
      </x:c>
      <x:c r="H139" s="5" t="inlineStr">
        <x:is>
          <x:t xml:space="preserve">Block it.</x:t>
        </x:is>
      </x:c>
      <x:c r="I139" s="5" t="inlineStr">
        <x:is>
          <x:t xml:space="preserve">action</x:t>
        </x:is>
      </x:c>
      <x:c r="J139" s="5" t="inlineStr">
        <x:is>
          <x:t xml:space="preserve">block</x:t>
        </x:is>
      </x:c>
      <x:c r="K139" s="5" t="inlineStr">
        <x:is>
          <x:t xml:space="preserve">center_upper</x:t>
        </x:is>
      </x:c>
      <x:c r="L139" s="5" t="inlineStr">
        <x:is>
          <x:t xml:space="preserve">medium</x:t>
        </x:is>
      </x:c>
    </x:row>
    <x:row r="140" ht="22" customHeight="1">
      <x:c r="A140" s="5" t="inlineStr">
        <x:is>
          <x:t xml:space="preserve">V08_calendar_system</x:t>
        </x:is>
      </x:c>
      <x:c r="B140" s="5" t="inlineStr">
        <x:is>
          <x:t xml:space="preserve">time_management</x:t>
        </x:is>
      </x:c>
      <x:c r="C140" s="5" t="inlineStr">
        <x:is>
          <x:t xml:space="preserve">1</x:t>
        </x:is>
      </x:c>
      <x:c r="D140" s="5" t="inlineStr">
        <x:is>
          <x:t xml:space="preserve">bcc_plus</x:t>
        </x:is>
      </x:c>
      <x:c r="E140" s="5" t="inlineStr">
        <x:is>
          <x:t xml:space="preserve">00:00:00.000</x:t>
        </x:is>
      </x:c>
      <x:c r="F140" s="5" t="inlineStr">
        <x:is>
          <x:t xml:space="preserve">00:00:02.000</x:t>
        </x:is>
      </x:c>
      <x:c r="G140" s="5" t="inlineStr">
        <x:is>
          <x:t xml:space="preserve">To-do lists &lt;b&gt;sto&lt;/b&gt;re.</x:t>
        </x:is>
      </x:c>
      <x:c r="H140" s="5" t="inlineStr">
        <x:is>
          <x:t xml:space="preserve">To-do lists store.</x:t>
        </x:is>
      </x:c>
      <x:c r="I140" s="5" t="inlineStr">
        <x:is>
          <x:t xml:space="preserve">diagnosis</x:t>
        </x:is>
      </x:c>
      <x:c r="J140" s="5" t="inlineStr">
        <x:is>
          <x:t xml:space="preserve">store</x:t>
        </x:is>
      </x:c>
      <x:c r="K140" s="5" t="inlineStr">
        <x:is>
          <x:t xml:space="preserve">center_upper</x:t>
        </x:is>
      </x:c>
      <x:c r="L140" s="5" t="inlineStr">
        <x:is>
          <x:t xml:space="preserve">low</x:t>
        </x:is>
      </x:c>
    </x:row>
    <x:row r="141" ht="22" customHeight="1">
      <x:c r="A141" s="5" t="inlineStr">
        <x:is>
          <x:t xml:space="preserve">V08_calendar_system</x:t>
        </x:is>
      </x:c>
      <x:c r="B141" s="5" t="inlineStr">
        <x:is>
          <x:t xml:space="preserve">time_management</x:t>
        </x:is>
      </x:c>
      <x:c r="C141" s="5" t="inlineStr">
        <x:is>
          <x:t xml:space="preserve">2</x:t>
        </x:is>
      </x:c>
      <x:c r="D141" s="5" t="inlineStr">
        <x:is>
          <x:t xml:space="preserve">bcc_plus</x:t>
        </x:is>
      </x:c>
      <x:c r="E141" s="5" t="inlineStr">
        <x:is>
          <x:t xml:space="preserve">00:00:02.000</x:t>
        </x:is>
      </x:c>
      <x:c r="F141" s="5" t="inlineStr">
        <x:is>
          <x:t xml:space="preserve">00:00:04.000</x:t>
        </x:is>
      </x:c>
      <x:c r="G141" s="5" t="inlineStr">
        <x:is>
          <x:t xml:space="preserve">Calendars &lt;b&gt;exe&lt;/b&gt;cute.</x:t>
        </x:is>
      </x:c>
      <x:c r="H141" s="5" t="inlineStr">
        <x:is>
          <x:t xml:space="preserve">Calendars execute.</x:t>
        </x:is>
      </x:c>
      <x:c r="I141" s="5" t="inlineStr">
        <x:is>
          <x:t xml:space="preserve">correction</x:t>
        </x:is>
      </x:c>
      <x:c r="J141" s="5" t="inlineStr">
        <x:is>
          <x:t xml:space="preserve">execute</x:t>
        </x:is>
      </x:c>
      <x:c r="K141" s="5" t="inlineStr">
        <x:is>
          <x:t xml:space="preserve">center_upper</x:t>
        </x:is>
      </x:c>
      <x:c r="L141" s="5" t="inlineStr">
        <x:is>
          <x:t xml:space="preserve">low</x:t>
        </x:is>
      </x:c>
    </x:row>
    <x:row r="142" ht="22" customHeight="1">
      <x:c r="A142" s="5" t="inlineStr">
        <x:is>
          <x:t xml:space="preserve">V08_calendar_system</x:t>
        </x:is>
      </x:c>
      <x:c r="B142" s="5" t="inlineStr">
        <x:is>
          <x:t xml:space="preserve">time_management</x:t>
        </x:is>
      </x:c>
      <x:c r="C142" s="5" t="inlineStr">
        <x:is>
          <x:t xml:space="preserve">3</x:t>
        </x:is>
      </x:c>
      <x:c r="D142" s="5" t="inlineStr">
        <x:is>
          <x:t xml:space="preserve">bcc_plus</x:t>
        </x:is>
      </x:c>
      <x:c r="E142" s="5" t="inlineStr">
        <x:is>
          <x:t xml:space="preserve">00:00:04.000</x:t>
        </x:is>
      </x:c>
      <x:c r="F142" s="5" t="inlineStr">
        <x:is>
          <x:t xml:space="preserve">00:00:06.000</x:t>
        </x:is>
      </x:c>
      <x:c r="G142" s="5" t="inlineStr">
        <x:is>
          <x:t xml:space="preserve">&lt;b&gt;Block&lt;/b&gt; it.</x:t>
        </x:is>
      </x:c>
      <x:c r="H142" s="5" t="inlineStr">
        <x:is>
          <x:t xml:space="preserve">Block it.</x:t>
        </x:is>
      </x:c>
      <x:c r="I142" s="5" t="inlineStr">
        <x:is>
          <x:t xml:space="preserve">action</x:t>
        </x:is>
      </x:c>
      <x:c r="J142" s="5" t="inlineStr">
        <x:is>
          <x:t xml:space="preserve">block</x:t>
        </x:is>
      </x:c>
      <x:c r="K142" s="5" t="inlineStr">
        <x:is>
          <x:t xml:space="preserve">center_upper</x:t>
        </x:is>
      </x:c>
      <x:c r="L142" s="5" t="inlineStr">
        <x:is>
          <x:t xml:space="preserve">medium</x:t>
        </x:is>
      </x:c>
    </x:row>
    <x:row r="143" ht="22" customHeight="1">
      <x:c r="A143" s="5" t="inlineStr">
        <x:is>
          <x:t xml:space="preserve">V08_calendar_system</x:t>
        </x:is>
      </x:c>
      <x:c r="B143" s="5" t="inlineStr">
        <x:is>
          <x:t xml:space="preserve">time_management</x:t>
        </x:is>
      </x:c>
      <x:c r="C143" s="5" t="inlineStr">
        <x:is>
          <x:t xml:space="preserve">1</x:t>
        </x:is>
      </x:c>
      <x:c r="D143" s="5" t="inlineStr">
        <x:is>
          <x:t xml:space="preserve">full_transcript</x:t>
        </x:is>
      </x:c>
      <x:c r="E143" s="5" t="inlineStr">
        <x:is>
          <x:t xml:space="preserve">00:00:00.000</x:t>
        </x:is>
      </x:c>
      <x:c r="F143" s="5" t="inlineStr">
        <x:is>
          <x:t xml:space="preserve">00:00:02.000</x:t>
        </x:is>
      </x:c>
      <x:c r="G143" s="5" t="inlineStr">
        <x:is>
          <x:t xml:space="preserve">A to-do list tells you what exists.</x:t>
        </x:is>
      </x:c>
      <x:c r="H143" s="5" t="inlineStr">
        <x:is>
          <x:t xml:space="preserve">A to-do list tells you what exists.</x:t>
        </x:is>
      </x:c>
      <x:c r="I143" s="5" t="inlineStr">
        <x:is>
          <x:t xml:space="preserve">diagnosis</x:t>
        </x:is>
      </x:c>
      <x:c r="J143" s="5" t="inlineStr">
        <x:is>
          <x:t xml:space="preserve">store</x:t>
        </x:is>
      </x:c>
      <x:c r="K143" s="5" t="inlineStr">
        <x:is>
          <x:t xml:space="preserve">center_upper</x:t>
        </x:is>
      </x:c>
      <x:c r="L143" s="5" t="inlineStr">
        <x:is>
          <x:t xml:space="preserve">low</x:t>
        </x:is>
      </x:c>
    </x:row>
    <x:row r="144" ht="22" customHeight="1">
      <x:c r="A144" s="5" t="inlineStr">
        <x:is>
          <x:t xml:space="preserve">V08_calendar_system</x:t>
        </x:is>
      </x:c>
      <x:c r="B144" s="5" t="inlineStr">
        <x:is>
          <x:t xml:space="preserve">time_management</x:t>
        </x:is>
      </x:c>
      <x:c r="C144" s="5" t="inlineStr">
        <x:is>
          <x:t xml:space="preserve">2</x:t>
        </x:is>
      </x:c>
      <x:c r="D144" s="5" t="inlineStr">
        <x:is>
          <x:t xml:space="preserve">full_transcript</x:t>
        </x:is>
      </x:c>
      <x:c r="E144" s="5" t="inlineStr">
        <x:is>
          <x:t xml:space="preserve">00:00:02.000</x:t>
        </x:is>
      </x:c>
      <x:c r="F144" s="5" t="inlineStr">
        <x:is>
          <x:t xml:space="preserve">00:00:04.000</x:t>
        </x:is>
      </x:c>
      <x:c r="G144" s="5" t="inlineStr">
        <x:is>
          <x:t xml:space="preserve">A calendar tells you when it will happen.</x:t>
        </x:is>
      </x:c>
      <x:c r="H144" s="5" t="inlineStr">
        <x:is>
          <x:t xml:space="preserve">A calendar tells you when it will happen.</x:t>
        </x:is>
      </x:c>
      <x:c r="I144" s="5" t="inlineStr">
        <x:is>
          <x:t xml:space="preserve">correction</x:t>
        </x:is>
      </x:c>
      <x:c r="J144" s="5" t="inlineStr">
        <x:is>
          <x:t xml:space="preserve">execute</x:t>
        </x:is>
      </x:c>
      <x:c r="K144" s="5" t="inlineStr">
        <x:is>
          <x:t xml:space="preserve">center_upper</x:t>
        </x:is>
      </x:c>
      <x:c r="L144" s="5" t="inlineStr">
        <x:is>
          <x:t xml:space="preserve">low</x:t>
        </x:is>
      </x:c>
    </x:row>
    <x:row r="145" ht="22" customHeight="1">
      <x:c r="A145" s="5" t="inlineStr">
        <x:is>
          <x:t xml:space="preserve">V08_calendar_system</x:t>
        </x:is>
      </x:c>
      <x:c r="B145" s="5" t="inlineStr">
        <x:is>
          <x:t xml:space="preserve">time_management</x:t>
        </x:is>
      </x:c>
      <x:c r="C145" s="5" t="inlineStr">
        <x:is>
          <x:t xml:space="preserve">3</x:t>
        </x:is>
      </x:c>
      <x:c r="D145" s="5" t="inlineStr">
        <x:is>
          <x:t xml:space="preserve">full_transcript</x:t>
        </x:is>
      </x:c>
      <x:c r="E145" s="5" t="inlineStr">
        <x:is>
          <x:t xml:space="preserve">00:00:04.000</x:t>
        </x:is>
      </x:c>
      <x:c r="F145" s="5" t="inlineStr">
        <x:is>
          <x:t xml:space="preserve">00:00:06.000</x:t>
        </x:is>
      </x:c>
      <x:c r="G145" s="5" t="inlineStr">
        <x:is>
          <x:t xml:space="preserve">If it matters, give it a time block.</x:t>
        </x:is>
      </x:c>
      <x:c r="H145" s="5" t="inlineStr">
        <x:is>
          <x:t xml:space="preserve">If it matters, give it a time block.</x:t>
        </x:is>
      </x:c>
      <x:c r="I145" s="5" t="inlineStr">
        <x:is>
          <x:t xml:space="preserve">action</x:t>
        </x:is>
      </x:c>
      <x:c r="J145" s="5" t="inlineStr">
        <x:is>
          <x:t xml:space="preserve">block</x:t>
        </x:is>
      </x:c>
      <x:c r="K145" s="5" t="inlineStr">
        <x:is>
          <x:t xml:space="preserve">center_upper</x:t>
        </x:is>
      </x:c>
      <x:c r="L145" s="5" t="inlineStr">
        <x:is>
          <x:t xml:space="preserve">medium</x:t>
        </x:is>
      </x:c>
    </x:row>
    <x:row r="146" ht="22" customHeight="1">
      <x:c r="A146" s="5" t="inlineStr">
        <x:is>
          <x:t xml:space="preserve">V08_calendar_system</x:t>
        </x:is>
      </x:c>
      <x:c r="B146" s="5" t="inlineStr">
        <x:is>
          <x:t xml:space="preserve">time_management</x:t>
        </x:is>
      </x:c>
      <x:c r="C146" s="5" t="inlineStr">
        <x:is>
          <x:t xml:space="preserve">1</x:t>
        </x:is>
      </x:c>
      <x:c r="D146" s="5" t="inlineStr">
        <x:is>
          <x:t xml:space="preserve">heavy_bionic</x:t>
        </x:is>
      </x:c>
      <x:c r="E146" s="5" t="inlineStr">
        <x:is>
          <x:t xml:space="preserve">00:00:00.000</x:t>
        </x:is>
      </x:c>
      <x:c r="F146" s="5" t="inlineStr">
        <x:is>
          <x:t xml:space="preserve">00:00:02.000</x:t>
        </x:is>
      </x:c>
      <x:c r="G146" s="5" t="inlineStr">
        <x:is>
          <x:t xml:space="preserve">A to-do &lt;b&gt;list&lt;/b&gt; &lt;b&gt;tel&lt;/b&gt;ls you &lt;b&gt;what&lt;/b&gt; &lt;b&gt;exi&lt;/b&gt;sts.</x:t>
        </x:is>
      </x:c>
      <x:c r="H146" s="5" t="inlineStr">
        <x:is>
          <x:t xml:space="preserve">A to-do list tells you what exists.</x:t>
        </x:is>
      </x:c>
      <x:c r="I146" s="5" t="inlineStr">
        <x:is>
          <x:t xml:space="preserve">diagnosis</x:t>
        </x:is>
      </x:c>
      <x:c r="J146" s="5" t="inlineStr">
        <x:is>
          <x:t xml:space="preserve">store</x:t>
        </x:is>
      </x:c>
      <x:c r="K146" s="5" t="inlineStr">
        <x:is>
          <x:t xml:space="preserve">center_upper</x:t>
        </x:is>
      </x:c>
      <x:c r="L146" s="5" t="inlineStr">
        <x:is>
          <x:t xml:space="preserve">low</x:t>
        </x:is>
      </x:c>
    </x:row>
    <x:row r="147" ht="22" customHeight="1">
      <x:c r="A147" s="5" t="inlineStr">
        <x:is>
          <x:t xml:space="preserve">V08_calendar_system</x:t>
        </x:is>
      </x:c>
      <x:c r="B147" s="5" t="inlineStr">
        <x:is>
          <x:t xml:space="preserve">time_management</x:t>
        </x:is>
      </x:c>
      <x:c r="C147" s="5" t="inlineStr">
        <x:is>
          <x:t xml:space="preserve">2</x:t>
        </x:is>
      </x:c>
      <x:c r="D147" s="5" t="inlineStr">
        <x:is>
          <x:t xml:space="preserve">heavy_bionic</x:t>
        </x:is>
      </x:c>
      <x:c r="E147" s="5" t="inlineStr">
        <x:is>
          <x:t xml:space="preserve">00:00:02.000</x:t>
        </x:is>
      </x:c>
      <x:c r="F147" s="5" t="inlineStr">
        <x:is>
          <x:t xml:space="preserve">00:00:04.000</x:t>
        </x:is>
      </x:c>
      <x:c r="G147" s="5" t="inlineStr">
        <x:is>
          <x:t xml:space="preserve">A &lt;b&gt;cale&lt;/b&gt;ndar &lt;b&gt;tel&lt;/b&gt;ls you &lt;b&gt;when&lt;/b&gt; it &lt;b&gt;will&lt;/b&gt; &lt;b&gt;hap&lt;/b&gt;pen.</x:t>
        </x:is>
      </x:c>
      <x:c r="H147" s="5" t="inlineStr">
        <x:is>
          <x:t xml:space="preserve">A calendar tells you when it will happen.</x:t>
        </x:is>
      </x:c>
      <x:c r="I147" s="5" t="inlineStr">
        <x:is>
          <x:t xml:space="preserve">correction</x:t>
        </x:is>
      </x:c>
      <x:c r="J147" s="5" t="inlineStr">
        <x:is>
          <x:t xml:space="preserve">execute</x:t>
        </x:is>
      </x:c>
      <x:c r="K147" s="5" t="inlineStr">
        <x:is>
          <x:t xml:space="preserve">center_upper</x:t>
        </x:is>
      </x:c>
      <x:c r="L147" s="5" t="inlineStr">
        <x:is>
          <x:t xml:space="preserve">low</x:t>
        </x:is>
      </x:c>
    </x:row>
    <x:row r="148" ht="22" customHeight="1">
      <x:c r="A148" s="5" t="inlineStr">
        <x:is>
          <x:t xml:space="preserve">V08_calendar_system</x:t>
        </x:is>
      </x:c>
      <x:c r="B148" s="5" t="inlineStr">
        <x:is>
          <x:t xml:space="preserve">time_management</x:t>
        </x:is>
      </x:c>
      <x:c r="C148" s="5" t="inlineStr">
        <x:is>
          <x:t xml:space="preserve">3</x:t>
        </x:is>
      </x:c>
      <x:c r="D148" s="5" t="inlineStr">
        <x:is>
          <x:t xml:space="preserve">heavy_bionic</x:t>
        </x:is>
      </x:c>
      <x:c r="E148" s="5" t="inlineStr">
        <x:is>
          <x:t xml:space="preserve">00:00:04.000</x:t>
        </x:is>
      </x:c>
      <x:c r="F148" s="5" t="inlineStr">
        <x:is>
          <x:t xml:space="preserve">00:00:06.000</x:t>
        </x:is>
      </x:c>
      <x:c r="G148" s="5" t="inlineStr">
        <x:is>
          <x:t xml:space="preserve">If it &lt;b&gt;mat&lt;/b&gt;ters, &lt;b&gt;give&lt;/b&gt; it a &lt;b&gt;time&lt;/b&gt; &lt;b&gt;block&lt;/b&gt;.</x:t>
        </x:is>
      </x:c>
      <x:c r="H148" s="5" t="inlineStr">
        <x:is>
          <x:t xml:space="preserve">If it matters, give it a time block.</x:t>
        </x:is>
      </x:c>
      <x:c r="I148" s="5" t="inlineStr">
        <x:is>
          <x:t xml:space="preserve">action</x:t>
        </x:is>
      </x:c>
      <x:c r="J148" s="5" t="inlineStr">
        <x:is>
          <x:t xml:space="preserve">block</x:t>
        </x:is>
      </x:c>
      <x:c r="K148" s="5" t="inlineStr">
        <x:is>
          <x:t xml:space="preserve">center_upper</x:t>
        </x:is>
      </x:c>
      <x:c r="L148" s="5" t="inlineStr">
        <x:is>
          <x:t xml:space="preserve">medium</x:t>
        </x:is>
      </x:c>
    </x:row>
    <x:row r="149" ht="22" customHeight="1">
      <x:c r="A149" s="5" t="inlineStr">
        <x:is>
          <x:t xml:space="preserve">V08_calendar_system</x:t>
        </x:is>
      </x:c>
      <x:c r="B149" s="5" t="inlineStr">
        <x:is>
          <x:t xml:space="preserve">time_management</x:t>
        </x:is>
      </x:c>
      <x:c r="C149" s="5" t="inlineStr">
        <x:is>
          <x:t xml:space="preserve">1</x:t>
        </x:is>
      </x:c>
      <x:c r="D149" s="5" t="inlineStr">
        <x:is>
          <x:t xml:space="preserve">keyword_highlight</x:t>
        </x:is>
      </x:c>
      <x:c r="E149" s="5" t="inlineStr">
        <x:is>
          <x:t xml:space="preserve">00:00:00.000</x:t>
        </x:is>
      </x:c>
      <x:c r="F149" s="5" t="inlineStr">
        <x:is>
          <x:t xml:space="preserve">00:00:02.000</x:t>
        </x:is>
      </x:c>
      <x:c r="G149" s="5" t="inlineStr">
        <x:is>
          <x:t xml:space="preserve">A to-do list tells you what exists.</x:t>
        </x:is>
      </x:c>
      <x:c r="H149" s="5" t="inlineStr">
        <x:is>
          <x:t xml:space="preserve">A to-do list tells you what exists.</x:t>
        </x:is>
      </x:c>
      <x:c r="I149" s="5" t="inlineStr">
        <x:is>
          <x:t xml:space="preserve">diagnosis</x:t>
        </x:is>
      </x:c>
      <x:c r="J149" s="5" t="inlineStr">
        <x:is>
          <x:t xml:space="preserve">store</x:t>
        </x:is>
      </x:c>
      <x:c r="K149" s="5" t="inlineStr">
        <x:is>
          <x:t xml:space="preserve">center_upper</x:t>
        </x:is>
      </x:c>
      <x:c r="L149" s="5" t="inlineStr">
        <x:is>
          <x:t xml:space="preserve">low</x:t>
        </x:is>
      </x:c>
    </x:row>
    <x:row r="150" ht="22" customHeight="1">
      <x:c r="A150" s="5" t="inlineStr">
        <x:is>
          <x:t xml:space="preserve">V08_calendar_system</x:t>
        </x:is>
      </x:c>
      <x:c r="B150" s="5" t="inlineStr">
        <x:is>
          <x:t xml:space="preserve">time_management</x:t>
        </x:is>
      </x:c>
      <x:c r="C150" s="5" t="inlineStr">
        <x:is>
          <x:t xml:space="preserve">2</x:t>
        </x:is>
      </x:c>
      <x:c r="D150" s="5" t="inlineStr">
        <x:is>
          <x:t xml:space="preserve">keyword_highlight</x:t>
        </x:is>
      </x:c>
      <x:c r="E150" s="5" t="inlineStr">
        <x:is>
          <x:t xml:space="preserve">00:00:02.000</x:t>
        </x:is>
      </x:c>
      <x:c r="F150" s="5" t="inlineStr">
        <x:is>
          <x:t xml:space="preserve">00:00:04.000</x:t>
        </x:is>
      </x:c>
      <x:c r="G150" s="5" t="inlineStr">
        <x:is>
          <x:t xml:space="preserve">A calendar tells you when it will happen.</x:t>
        </x:is>
      </x:c>
      <x:c r="H150" s="5" t="inlineStr">
        <x:is>
          <x:t xml:space="preserve">A calendar tells you when it will happen.</x:t>
        </x:is>
      </x:c>
      <x:c r="I150" s="5" t="inlineStr">
        <x:is>
          <x:t xml:space="preserve">correction</x:t>
        </x:is>
      </x:c>
      <x:c r="J150" s="5" t="inlineStr">
        <x:is>
          <x:t xml:space="preserve">execute</x:t>
        </x:is>
      </x:c>
      <x:c r="K150" s="5" t="inlineStr">
        <x:is>
          <x:t xml:space="preserve">center_upper</x:t>
        </x:is>
      </x:c>
      <x:c r="L150" s="5" t="inlineStr">
        <x:is>
          <x:t xml:space="preserve">low</x:t>
        </x:is>
      </x:c>
    </x:row>
    <x:row r="151" ht="22" customHeight="1">
      <x:c r="A151" s="5" t="inlineStr">
        <x:is>
          <x:t xml:space="preserve">V08_calendar_system</x:t>
        </x:is>
      </x:c>
      <x:c r="B151" s="5" t="inlineStr">
        <x:is>
          <x:t xml:space="preserve">time_management</x:t>
        </x:is>
      </x:c>
      <x:c r="C151" s="5" t="inlineStr">
        <x:is>
          <x:t xml:space="preserve">3</x:t>
        </x:is>
      </x:c>
      <x:c r="D151" s="5" t="inlineStr">
        <x:is>
          <x:t xml:space="preserve">keyword_highlight</x:t>
        </x:is>
      </x:c>
      <x:c r="E151" s="5" t="inlineStr">
        <x:is>
          <x:t xml:space="preserve">00:00:04.000</x:t>
        </x:is>
      </x:c>
      <x:c r="F151" s="5" t="inlineStr">
        <x:is>
          <x:t xml:space="preserve">00:00:06.000</x:t>
        </x:is>
      </x:c>
      <x:c r="G151" s="5" t="inlineStr">
        <x:is>
          <x:t xml:space="preserve">If it matters, give it a time &lt;b&gt;block&lt;/b&gt;.</x:t>
        </x:is>
      </x:c>
      <x:c r="H151" s="5" t="inlineStr">
        <x:is>
          <x:t xml:space="preserve">If it matters, give it a time block.</x:t>
        </x:is>
      </x:c>
      <x:c r="I151" s="5" t="inlineStr">
        <x:is>
          <x:t xml:space="preserve">action</x:t>
        </x:is>
      </x:c>
      <x:c r="J151" s="5" t="inlineStr">
        <x:is>
          <x:t xml:space="preserve">block</x:t>
        </x:is>
      </x:c>
      <x:c r="K151" s="5" t="inlineStr">
        <x:is>
          <x:t xml:space="preserve">center_upper</x:t>
        </x:is>
      </x:c>
      <x:c r="L151" s="5" t="inlineStr">
        <x:is>
          <x:t xml:space="preserve">medium</x:t>
        </x:is>
      </x:c>
    </x:row>
    <x:row r="152" ht="22" customHeight="1">
      <x:c r="A152" s="5" t="inlineStr">
        <x:is>
          <x:t xml:space="preserve">V08_calendar_system</x:t>
        </x:is>
      </x:c>
      <x:c r="B152" s="5" t="inlineStr">
        <x:is>
          <x:t xml:space="preserve">time_management</x:t>
        </x:is>
      </x:c>
      <x:c r="C152" s="5" t="inlineStr">
        <x:is>
          <x:t xml:space="preserve">1</x:t>
        </x:is>
      </x:c>
      <x:c r="D152" s="5" t="inlineStr">
        <x:is>
          <x:t xml:space="preserve">semantic_compression</x:t>
        </x:is>
      </x:c>
      <x:c r="E152" s="5" t="inlineStr">
        <x:is>
          <x:t xml:space="preserve">00:00:00.000</x:t>
        </x:is>
      </x:c>
      <x:c r="F152" s="5" t="inlineStr">
        <x:is>
          <x:t xml:space="preserve">00:00:02.000</x:t>
        </x:is>
      </x:c>
      <x:c r="G152" s="5" t="inlineStr">
        <x:is>
          <x:t xml:space="preserve">To-do lists store.</x:t>
        </x:is>
      </x:c>
      <x:c r="H152" s="5" t="inlineStr">
        <x:is>
          <x:t xml:space="preserve">To-do lists store.</x:t>
        </x:is>
      </x:c>
      <x:c r="I152" s="5" t="inlineStr">
        <x:is>
          <x:t xml:space="preserve">diagnosis</x:t>
        </x:is>
      </x:c>
      <x:c r="J152" s="5" t="inlineStr">
        <x:is>
          <x:t xml:space="preserve">store</x:t>
        </x:is>
      </x:c>
      <x:c r="K152" s="5" t="inlineStr">
        <x:is>
          <x:t xml:space="preserve">center_upper</x:t>
        </x:is>
      </x:c>
      <x:c r="L152" s="5" t="inlineStr">
        <x:is>
          <x:t xml:space="preserve">low</x:t>
        </x:is>
      </x:c>
    </x:row>
    <x:row r="153" ht="22" customHeight="1">
      <x:c r="A153" s="5" t="inlineStr">
        <x:is>
          <x:t xml:space="preserve">V08_calendar_system</x:t>
        </x:is>
      </x:c>
      <x:c r="B153" s="5" t="inlineStr">
        <x:is>
          <x:t xml:space="preserve">time_management</x:t>
        </x:is>
      </x:c>
      <x:c r="C153" s="5" t="inlineStr">
        <x:is>
          <x:t xml:space="preserve">2</x:t>
        </x:is>
      </x:c>
      <x:c r="D153" s="5" t="inlineStr">
        <x:is>
          <x:t xml:space="preserve">semantic_compression</x:t>
        </x:is>
      </x:c>
      <x:c r="E153" s="5" t="inlineStr">
        <x:is>
          <x:t xml:space="preserve">00:00:02.000</x:t>
        </x:is>
      </x:c>
      <x:c r="F153" s="5" t="inlineStr">
        <x:is>
          <x:t xml:space="preserve">00:00:04.000</x:t>
        </x:is>
      </x:c>
      <x:c r="G153" s="5" t="inlineStr">
        <x:is>
          <x:t xml:space="preserve">Calendars execute.</x:t>
        </x:is>
      </x:c>
      <x:c r="H153" s="5" t="inlineStr">
        <x:is>
          <x:t xml:space="preserve">Calendars execute.</x:t>
        </x:is>
      </x:c>
      <x:c r="I153" s="5" t="inlineStr">
        <x:is>
          <x:t xml:space="preserve">correction</x:t>
        </x:is>
      </x:c>
      <x:c r="J153" s="5" t="inlineStr">
        <x:is>
          <x:t xml:space="preserve">execute</x:t>
        </x:is>
      </x:c>
      <x:c r="K153" s="5" t="inlineStr">
        <x:is>
          <x:t xml:space="preserve">center_upper</x:t>
        </x:is>
      </x:c>
      <x:c r="L153" s="5" t="inlineStr">
        <x:is>
          <x:t xml:space="preserve">low</x:t>
        </x:is>
      </x:c>
    </x:row>
    <x:row r="154" ht="22" customHeight="1">
      <x:c r="A154" s="5" t="inlineStr">
        <x:is>
          <x:t xml:space="preserve">V08_calendar_system</x:t>
        </x:is>
      </x:c>
      <x:c r="B154" s="5" t="inlineStr">
        <x:is>
          <x:t xml:space="preserve">time_management</x:t>
        </x:is>
      </x:c>
      <x:c r="C154" s="5" t="inlineStr">
        <x:is>
          <x:t xml:space="preserve">3</x:t>
        </x:is>
      </x:c>
      <x:c r="D154" s="5" t="inlineStr">
        <x:is>
          <x:t xml:space="preserve">semantic_compression</x:t>
        </x:is>
      </x:c>
      <x:c r="E154" s="5" t="inlineStr">
        <x:is>
          <x:t xml:space="preserve">00:00:04.000</x:t>
        </x:is>
      </x:c>
      <x:c r="F154" s="5" t="inlineStr">
        <x:is>
          <x:t xml:space="preserve">00:00:06.000</x:t>
        </x:is>
      </x:c>
      <x:c r="G154" s="5" t="inlineStr">
        <x:is>
          <x:t xml:space="preserve">Block it.</x:t>
        </x:is>
      </x:c>
      <x:c r="H154" s="5" t="inlineStr">
        <x:is>
          <x:t xml:space="preserve">Block it.</x:t>
        </x:is>
      </x:c>
      <x:c r="I154" s="5" t="inlineStr">
        <x:is>
          <x:t xml:space="preserve">action</x:t>
        </x:is>
      </x:c>
      <x:c r="J154" s="5" t="inlineStr">
        <x:is>
          <x:t xml:space="preserve">block</x:t>
        </x:is>
      </x:c>
      <x:c r="K154" s="5" t="inlineStr">
        <x:is>
          <x:t xml:space="preserve">center_upper</x:t>
        </x:is>
      </x:c>
      <x:c r="L154" s="5" t="inlineStr">
        <x:is>
          <x:t xml:space="preserve">medium</x:t>
        </x:is>
      </x:c>
    </x:row>
    <x:row r="155" ht="22" customHeight="1">
      <x:c r="A155" s="5" t="inlineStr">
        <x:is>
          <x:t xml:space="preserve">V09_nutrition_satiety</x:t>
        </x:is>
      </x:c>
      <x:c r="B155" s="5" t="inlineStr">
        <x:is>
          <x:t xml:space="preserve">nutrition</x:t>
        </x:is>
      </x:c>
      <x:c r="C155" s="5" t="inlineStr">
        <x:is>
          <x:t xml:space="preserve">1</x:t>
        </x:is>
      </x:c>
      <x:c r="D155" s="5" t="inlineStr">
        <x:is>
          <x:t xml:space="preserve">bcc</x:t>
        </x:is>
      </x:c>
      <x:c r="E155" s="5" t="inlineStr">
        <x:is>
          <x:t xml:space="preserve">00:00:00.000</x:t>
        </x:is>
      </x:c>
      <x:c r="F155" s="5" t="inlineStr">
        <x:is>
          <x:t xml:space="preserve">00:00:02.000</x:t>
        </x:is>
      </x:c>
      <x:c r="G155" s="5" t="inlineStr">
        <x:is>
          <x:t xml:space="preserve">&lt;b&gt;Not&lt;/b&gt; &lt;b&gt;will&lt;/b&gt;power.</x:t>
        </x:is>
      </x:c>
      <x:c r="H155" s="5" t="inlineStr">
        <x:is>
          <x:t xml:space="preserve">Not willpower.</x:t>
        </x:is>
      </x:c>
      <x:c r="I155" s="5" t="inlineStr">
        <x:is>
          <x:t xml:space="preserve">false_belief</x:t>
        </x:is>
      </x:c>
      <x:c r="J155" s="5" t="inlineStr">
        <x:is>
          <x:t xml:space="preserve">willpower</x:t>
        </x:is>
      </x:c>
      <x:c r="K155" s="5" t="inlineStr">
        <x:is>
          <x:t xml:space="preserve">center_upper</x:t>
        </x:is>
      </x:c>
      <x:c r="L155" s="5" t="inlineStr">
        <x:is>
          <x:t xml:space="preserve">low</x:t>
        </x:is>
      </x:c>
    </x:row>
    <x:row r="156" ht="22" customHeight="1">
      <x:c r="A156" s="5" t="inlineStr">
        <x:is>
          <x:t xml:space="preserve">V09_nutrition_satiety</x:t>
        </x:is>
      </x:c>
      <x:c r="B156" s="5" t="inlineStr">
        <x:is>
          <x:t xml:space="preserve">nutrition</x:t>
        </x:is>
      </x:c>
      <x:c r="C156" s="5" t="inlineStr">
        <x:is>
          <x:t xml:space="preserve">2</x:t>
        </x:is>
      </x:c>
      <x:c r="D156" s="5" t="inlineStr">
        <x:is>
          <x:t xml:space="preserve">bcc</x:t>
        </x:is>
      </x:c>
      <x:c r="E156" s="5" t="inlineStr">
        <x:is>
          <x:t xml:space="preserve">00:00:02.000</x:t>
        </x:is>
      </x:c>
      <x:c r="F156" s="5" t="inlineStr">
        <x:is>
          <x:t xml:space="preserve">00:00:04.000</x:t>
        </x:is>
      </x:c>
      <x:c r="G156" s="5" t="inlineStr">
        <x:is>
          <x:t xml:space="preserve">Low &lt;b&gt;sat&lt;/b&gt;iety.</x:t>
        </x:is>
      </x:c>
      <x:c r="H156" s="5" t="inlineStr">
        <x:is>
          <x:t xml:space="preserve">Low satiety.</x:t>
        </x:is>
      </x:c>
      <x:c r="I156" s="5" t="inlineStr">
        <x:is>
          <x:t xml:space="preserve">diagnosis</x:t>
        </x:is>
      </x:c>
      <x:c r="J156" s="5" t="inlineStr">
        <x:is>
          <x:t xml:space="preserve">satiety</x:t>
        </x:is>
      </x:c>
      <x:c r="K156" s="5" t="inlineStr">
        <x:is>
          <x:t xml:space="preserve">center_upper</x:t>
        </x:is>
      </x:c>
      <x:c r="L156" s="5" t="inlineStr">
        <x:is>
          <x:t xml:space="preserve">low</x:t>
        </x:is>
      </x:c>
    </x:row>
    <x:row r="157" ht="22" customHeight="1">
      <x:c r="A157" s="5" t="inlineStr">
        <x:is>
          <x:t xml:space="preserve">V09_nutrition_satiety</x:t>
        </x:is>
      </x:c>
      <x:c r="B157" s="5" t="inlineStr">
        <x:is>
          <x:t xml:space="preserve">nutrition</x:t>
        </x:is>
      </x:c>
      <x:c r="C157" s="5" t="inlineStr">
        <x:is>
          <x:t xml:space="preserve">3</x:t>
        </x:is>
      </x:c>
      <x:c r="D157" s="5" t="inlineStr">
        <x:is>
          <x:t xml:space="preserve">bcc</x:t>
        </x:is>
      </x:c>
      <x:c r="E157" s="5" t="inlineStr">
        <x:is>
          <x:t xml:space="preserve">00:00:04.000</x:t>
        </x:is>
      </x:c>
      <x:c r="F157" s="5" t="inlineStr">
        <x:is>
          <x:t xml:space="preserve">00:00:06.000</x:t>
        </x:is>
      </x:c>
      <x:c r="G157" s="5" t="inlineStr">
        <x:is>
          <x:t xml:space="preserve">&lt;b&gt;Pro&lt;/b&gt;tein. &lt;b&gt;Fib&lt;/b&gt;er. &lt;b&gt;Vol&lt;/b&gt;ume.</x:t>
        </x:is>
      </x:c>
      <x:c r="H157" s="5" t="inlineStr">
        <x:is>
          <x:t xml:space="preserve">Protein. Fiber. Volume.</x:t>
        </x:is>
      </x:c>
      <x:c r="I157" s="5" t="inlineStr">
        <x:is>
          <x:t xml:space="preserve">action</x:t>
        </x:is>
      </x:c>
      <x:c r="J157" s="5" t="inlineStr">
        <x:is>
          <x:t xml:space="preserve">protein;fiber;volume</x:t>
        </x:is>
      </x:c>
      <x:c r="K157" s="5" t="inlineStr">
        <x:is>
          <x:t xml:space="preserve">left_mid</x:t>
        </x:is>
      </x:c>
      <x:c r="L157" s="5" t="inlineStr">
        <x:is>
          <x:t xml:space="preserve">medium</x:t>
        </x:is>
      </x:c>
    </x:row>
    <x:row r="158" ht="22" customHeight="1">
      <x:c r="A158" s="5" t="inlineStr">
        <x:is>
          <x:t xml:space="preserve">V09_nutrition_satiety</x:t>
        </x:is>
      </x:c>
      <x:c r="B158" s="5" t="inlineStr">
        <x:is>
          <x:t xml:space="preserve">nutrition</x:t>
        </x:is>
      </x:c>
      <x:c r="C158" s="5" t="inlineStr">
        <x:is>
          <x:t xml:space="preserve">1</x:t>
        </x:is>
      </x:c>
      <x:c r="D158" s="5" t="inlineStr">
        <x:is>
          <x:t xml:space="preserve">bcc_plus</x:t>
        </x:is>
      </x:c>
      <x:c r="E158" s="5" t="inlineStr">
        <x:is>
          <x:t xml:space="preserve">00:00:00.000</x:t>
        </x:is>
      </x:c>
      <x:c r="F158" s="5" t="inlineStr">
        <x:is>
          <x:t xml:space="preserve">00:00:02.000</x:t>
        </x:is>
      </x:c>
      <x:c r="G158" s="5" t="inlineStr">
        <x:is>
          <x:t xml:space="preserve">&lt;b&gt;Not&lt;/b&gt; &lt;b&gt;will&lt;/b&gt;power.</x:t>
        </x:is>
      </x:c>
      <x:c r="H158" s="5" t="inlineStr">
        <x:is>
          <x:t xml:space="preserve">Not willpower.</x:t>
        </x:is>
      </x:c>
      <x:c r="I158" s="5" t="inlineStr">
        <x:is>
          <x:t xml:space="preserve">false_belief</x:t>
        </x:is>
      </x:c>
      <x:c r="J158" s="5" t="inlineStr">
        <x:is>
          <x:t xml:space="preserve">willpower</x:t>
        </x:is>
      </x:c>
      <x:c r="K158" s="5" t="inlineStr">
        <x:is>
          <x:t xml:space="preserve">center_upper</x:t>
        </x:is>
      </x:c>
      <x:c r="L158" s="5" t="inlineStr">
        <x:is>
          <x:t xml:space="preserve">low</x:t>
        </x:is>
      </x:c>
    </x:row>
    <x:row r="159" ht="22" customHeight="1">
      <x:c r="A159" s="5" t="inlineStr">
        <x:is>
          <x:t xml:space="preserve">V09_nutrition_satiety</x:t>
        </x:is>
      </x:c>
      <x:c r="B159" s="5" t="inlineStr">
        <x:is>
          <x:t xml:space="preserve">nutrition</x:t>
        </x:is>
      </x:c>
      <x:c r="C159" s="5" t="inlineStr">
        <x:is>
          <x:t xml:space="preserve">2</x:t>
        </x:is>
      </x:c>
      <x:c r="D159" s="5" t="inlineStr">
        <x:is>
          <x:t xml:space="preserve">bcc_plus</x:t>
        </x:is>
      </x:c>
      <x:c r="E159" s="5" t="inlineStr">
        <x:is>
          <x:t xml:space="preserve">00:00:02.000</x:t>
        </x:is>
      </x:c>
      <x:c r="F159" s="5" t="inlineStr">
        <x:is>
          <x:t xml:space="preserve">00:00:04.000</x:t>
        </x:is>
      </x:c>
      <x:c r="G159" s="5" t="inlineStr">
        <x:is>
          <x:t xml:space="preserve">Low &lt;b&gt;sat&lt;/b&gt;iety.</x:t>
        </x:is>
      </x:c>
      <x:c r="H159" s="5" t="inlineStr">
        <x:is>
          <x:t xml:space="preserve">Low satiety.</x:t>
        </x:is>
      </x:c>
      <x:c r="I159" s="5" t="inlineStr">
        <x:is>
          <x:t xml:space="preserve">diagnosis</x:t>
        </x:is>
      </x:c>
      <x:c r="J159" s="5" t="inlineStr">
        <x:is>
          <x:t xml:space="preserve">satiety</x:t>
        </x:is>
      </x:c>
      <x:c r="K159" s="5" t="inlineStr">
        <x:is>
          <x:t xml:space="preserve">center_upper</x:t>
        </x:is>
      </x:c>
      <x:c r="L159" s="5" t="inlineStr">
        <x:is>
          <x:t xml:space="preserve">low</x:t>
        </x:is>
      </x:c>
    </x:row>
    <x:row r="160" ht="22" customHeight="1">
      <x:c r="A160" s="5" t="inlineStr">
        <x:is>
          <x:t xml:space="preserve">V09_nutrition_satiety</x:t>
        </x:is>
      </x:c>
      <x:c r="B160" s="5" t="inlineStr">
        <x:is>
          <x:t xml:space="preserve">nutrition</x:t>
        </x:is>
      </x:c>
      <x:c r="C160" s="5" t="inlineStr">
        <x:is>
          <x:t xml:space="preserve">3</x:t>
        </x:is>
      </x:c>
      <x:c r="D160" s="5" t="inlineStr">
        <x:is>
          <x:t xml:space="preserve">bcc_plus</x:t>
        </x:is>
      </x:c>
      <x:c r="E160" s="5" t="inlineStr">
        <x:is>
          <x:t xml:space="preserve">00:00:04.000</x:t>
        </x:is>
      </x:c>
      <x:c r="F160" s="5" t="inlineStr">
        <x:is>
          <x:t xml:space="preserve">00:00:06.000</x:t>
        </x:is>
      </x:c>
      <x:c r="G160" s="5" t="inlineStr">
        <x:is>
          <x:t xml:space="preserve">&lt;b&gt;Pro&lt;/b&gt;tein. &lt;b&gt;Fib&lt;/b&gt;er. &lt;b&gt;Vol&lt;/b&gt;ume.</x:t>
        </x:is>
      </x:c>
      <x:c r="H160" s="5" t="inlineStr">
        <x:is>
          <x:t xml:space="preserve">Protein. Fiber. Volume.</x:t>
        </x:is>
      </x:c>
      <x:c r="I160" s="5" t="inlineStr">
        <x:is>
          <x:t xml:space="preserve">action</x:t>
        </x:is>
      </x:c>
      <x:c r="J160" s="5" t="inlineStr">
        <x:is>
          <x:t xml:space="preserve">protein;fiber;volume</x:t>
        </x:is>
      </x:c>
      <x:c r="K160" s="5" t="inlineStr">
        <x:is>
          <x:t xml:space="preserve">left_mid</x:t>
        </x:is>
      </x:c>
      <x:c r="L160" s="5" t="inlineStr">
        <x:is>
          <x:t xml:space="preserve">medium</x:t>
        </x:is>
      </x:c>
    </x:row>
    <x:row r="161" ht="22" customHeight="1">
      <x:c r="A161" s="5" t="inlineStr">
        <x:is>
          <x:t xml:space="preserve">V09_nutrition_satiety</x:t>
        </x:is>
      </x:c>
      <x:c r="B161" s="5" t="inlineStr">
        <x:is>
          <x:t xml:space="preserve">nutrition</x:t>
        </x:is>
      </x:c>
      <x:c r="C161" s="5" t="inlineStr">
        <x:is>
          <x:t xml:space="preserve">1</x:t>
        </x:is>
      </x:c>
      <x:c r="D161" s="5" t="inlineStr">
        <x:is>
          <x:t xml:space="preserve">full_transcript</x:t>
        </x:is>
      </x:c>
      <x:c r="E161" s="5" t="inlineStr">
        <x:is>
          <x:t xml:space="preserve">00:00:00.000</x:t>
        </x:is>
      </x:c>
      <x:c r="F161" s="5" t="inlineStr">
        <x:is>
          <x:t xml:space="preserve">00:00:02.000</x:t>
        </x:is>
      </x:c>
      <x:c r="G161" s="5" t="inlineStr">
        <x:is>
          <x:t xml:space="preserve">If you are hungry an hour after eating, it might not be willpower.</x:t>
        </x:is>
      </x:c>
      <x:c r="H161" s="5" t="inlineStr">
        <x:is>
          <x:t xml:space="preserve">If you are hungry an hour after eating, it might not be willpower.</x:t>
        </x:is>
      </x:c>
      <x:c r="I161" s="5" t="inlineStr">
        <x:is>
          <x:t xml:space="preserve">false_belief</x:t>
        </x:is>
      </x:c>
      <x:c r="J161" s="5" t="inlineStr">
        <x:is>
          <x:t xml:space="preserve">willpower</x:t>
        </x:is>
      </x:c>
      <x:c r="K161" s="5" t="inlineStr">
        <x:is>
          <x:t xml:space="preserve">center_upper</x:t>
        </x:is>
      </x:c>
      <x:c r="L161" s="5" t="inlineStr">
        <x:is>
          <x:t xml:space="preserve">low</x:t>
        </x:is>
      </x:c>
    </x:row>
    <x:row r="162" ht="22" customHeight="1">
      <x:c r="A162" s="5" t="inlineStr">
        <x:is>
          <x:t xml:space="preserve">V09_nutrition_satiety</x:t>
        </x:is>
      </x:c>
      <x:c r="B162" s="5" t="inlineStr">
        <x:is>
          <x:t xml:space="preserve">nutrition</x:t>
        </x:is>
      </x:c>
      <x:c r="C162" s="5" t="inlineStr">
        <x:is>
          <x:t xml:space="preserve">2</x:t>
        </x:is>
      </x:c>
      <x:c r="D162" s="5" t="inlineStr">
        <x:is>
          <x:t xml:space="preserve">full_transcript</x:t>
        </x:is>
      </x:c>
      <x:c r="E162" s="5" t="inlineStr">
        <x:is>
          <x:t xml:space="preserve">00:00:02.000</x:t>
        </x:is>
      </x:c>
      <x:c r="F162" s="5" t="inlineStr">
        <x:is>
          <x:t xml:space="preserve">00:00:04.000</x:t>
        </x:is>
      </x:c>
      <x:c r="G162" s="5" t="inlineStr">
        <x:is>
          <x:t xml:space="preserve">It might be low satiety.</x:t>
        </x:is>
      </x:c>
      <x:c r="H162" s="5" t="inlineStr">
        <x:is>
          <x:t xml:space="preserve">It might be low satiety.</x:t>
        </x:is>
      </x:c>
      <x:c r="I162" s="5" t="inlineStr">
        <x:is>
          <x:t xml:space="preserve">diagnosis</x:t>
        </x:is>
      </x:c>
      <x:c r="J162" s="5" t="inlineStr">
        <x:is>
          <x:t xml:space="preserve">satiety</x:t>
        </x:is>
      </x:c>
      <x:c r="K162" s="5" t="inlineStr">
        <x:is>
          <x:t xml:space="preserve">center_upper</x:t>
        </x:is>
      </x:c>
      <x:c r="L162" s="5" t="inlineStr">
        <x:is>
          <x:t xml:space="preserve">low</x:t>
        </x:is>
      </x:c>
    </x:row>
    <x:row r="163" ht="22" customHeight="1">
      <x:c r="A163" s="5" t="inlineStr">
        <x:is>
          <x:t xml:space="preserve">V09_nutrition_satiety</x:t>
        </x:is>
      </x:c>
      <x:c r="B163" s="5" t="inlineStr">
        <x:is>
          <x:t xml:space="preserve">nutrition</x:t>
        </x:is>
      </x:c>
      <x:c r="C163" s="5" t="inlineStr">
        <x:is>
          <x:t xml:space="preserve">3</x:t>
        </x:is>
      </x:c>
      <x:c r="D163" s="5" t="inlineStr">
        <x:is>
          <x:t xml:space="preserve">full_transcript</x:t>
        </x:is>
      </x:c>
      <x:c r="E163" s="5" t="inlineStr">
        <x:is>
          <x:t xml:space="preserve">00:00:04.000</x:t>
        </x:is>
      </x:c>
      <x:c r="F163" s="5" t="inlineStr">
        <x:is>
          <x:t xml:space="preserve">00:00:06.000</x:t>
        </x:is>
      </x:c>
      <x:c r="G163" s="5" t="inlineStr">
        <x:is>
          <x:t xml:space="preserve">Add protein, fiber, or volume first.</x:t>
        </x:is>
      </x:c>
      <x:c r="H163" s="5" t="inlineStr">
        <x:is>
          <x:t xml:space="preserve">Add protein, fiber, or volume first.</x:t>
        </x:is>
      </x:c>
      <x:c r="I163" s="5" t="inlineStr">
        <x:is>
          <x:t xml:space="preserve">action</x:t>
        </x:is>
      </x:c>
      <x:c r="J163" s="5" t="inlineStr">
        <x:is>
          <x:t xml:space="preserve">protein;fiber;volume</x:t>
        </x:is>
      </x:c>
      <x:c r="K163" s="5" t="inlineStr">
        <x:is>
          <x:t xml:space="preserve">left_mid</x:t>
        </x:is>
      </x:c>
      <x:c r="L163" s="5" t="inlineStr">
        <x:is>
          <x:t xml:space="preserve">medium</x:t>
        </x:is>
      </x:c>
    </x:row>
    <x:row r="164" ht="36" customHeight="1">
      <x:c r="A164" s="5" t="inlineStr">
        <x:is>
          <x:t xml:space="preserve">V09_nutrition_satiety</x:t>
        </x:is>
      </x:c>
      <x:c r="B164" s="5" t="inlineStr">
        <x:is>
          <x:t xml:space="preserve">nutrition</x:t>
        </x:is>
      </x:c>
      <x:c r="C164" s="5" t="inlineStr">
        <x:is>
          <x:t xml:space="preserve">1</x:t>
        </x:is>
      </x:c>
      <x:c r="D164" s="5" t="inlineStr">
        <x:is>
          <x:t xml:space="preserve">heavy_bionic</x:t>
        </x:is>
      </x:c>
      <x:c r="E164" s="5" t="inlineStr">
        <x:is>
          <x:t xml:space="preserve">00:00:00.000</x:t>
        </x:is>
      </x:c>
      <x:c r="F164" s="5" t="inlineStr">
        <x:is>
          <x:t xml:space="preserve">00:00:02.000</x:t>
        </x:is>
      </x:c>
      <x:c r="G164" s="5" t="inlineStr">
        <x:is>
          <x:t xml:space="preserve">If you are &lt;b&gt;hun&lt;/b&gt;gry an &lt;b&gt;hour&lt;/b&gt; &lt;b&gt;after&lt;/b&gt; &lt;b&gt;eat&lt;/b&gt;ing, it &lt;b&gt;mig&lt;/b&gt;ht &lt;b&gt;not&lt;/b&gt; be &lt;b&gt;will&lt;/b&gt;power.</x:t>
        </x:is>
      </x:c>
      <x:c r="H164" s="5" t="inlineStr">
        <x:is>
          <x:t xml:space="preserve">If you are hungry an hour after eating, it might not be willpower.</x:t>
        </x:is>
      </x:c>
      <x:c r="I164" s="5" t="inlineStr">
        <x:is>
          <x:t xml:space="preserve">false_belief</x:t>
        </x:is>
      </x:c>
      <x:c r="J164" s="5" t="inlineStr">
        <x:is>
          <x:t xml:space="preserve">willpower</x:t>
        </x:is>
      </x:c>
      <x:c r="K164" s="5" t="inlineStr">
        <x:is>
          <x:t xml:space="preserve">center_upper</x:t>
        </x:is>
      </x:c>
      <x:c r="L164" s="5" t="inlineStr">
        <x:is>
          <x:t xml:space="preserve">low</x:t>
        </x:is>
      </x:c>
    </x:row>
    <x:row r="165" ht="22" customHeight="1">
      <x:c r="A165" s="5" t="inlineStr">
        <x:is>
          <x:t xml:space="preserve">V09_nutrition_satiety</x:t>
        </x:is>
      </x:c>
      <x:c r="B165" s="5" t="inlineStr">
        <x:is>
          <x:t xml:space="preserve">nutrition</x:t>
        </x:is>
      </x:c>
      <x:c r="C165" s="5" t="inlineStr">
        <x:is>
          <x:t xml:space="preserve">2</x:t>
        </x:is>
      </x:c>
      <x:c r="D165" s="5" t="inlineStr">
        <x:is>
          <x:t xml:space="preserve">heavy_bionic</x:t>
        </x:is>
      </x:c>
      <x:c r="E165" s="5" t="inlineStr">
        <x:is>
          <x:t xml:space="preserve">00:00:02.000</x:t>
        </x:is>
      </x:c>
      <x:c r="F165" s="5" t="inlineStr">
        <x:is>
          <x:t xml:space="preserve">00:00:04.000</x:t>
        </x:is>
      </x:c>
      <x:c r="G165" s="5" t="inlineStr">
        <x:is>
          <x:t xml:space="preserve">It &lt;b&gt;mig&lt;/b&gt;ht be low &lt;b&gt;sat&lt;/b&gt;iety.</x:t>
        </x:is>
      </x:c>
      <x:c r="H165" s="5" t="inlineStr">
        <x:is>
          <x:t xml:space="preserve">It might be low satiety.</x:t>
        </x:is>
      </x:c>
      <x:c r="I165" s="5" t="inlineStr">
        <x:is>
          <x:t xml:space="preserve">diagnosis</x:t>
        </x:is>
      </x:c>
      <x:c r="J165" s="5" t="inlineStr">
        <x:is>
          <x:t xml:space="preserve">satiety</x:t>
        </x:is>
      </x:c>
      <x:c r="K165" s="5" t="inlineStr">
        <x:is>
          <x:t xml:space="preserve">center_upper</x:t>
        </x:is>
      </x:c>
      <x:c r="L165" s="5" t="inlineStr">
        <x:is>
          <x:t xml:space="preserve">low</x:t>
        </x:is>
      </x:c>
    </x:row>
    <x:row r="166" ht="22" customHeight="1">
      <x:c r="A166" s="5" t="inlineStr">
        <x:is>
          <x:t xml:space="preserve">V09_nutrition_satiety</x:t>
        </x:is>
      </x:c>
      <x:c r="B166" s="5" t="inlineStr">
        <x:is>
          <x:t xml:space="preserve">nutrition</x:t>
        </x:is>
      </x:c>
      <x:c r="C166" s="5" t="inlineStr">
        <x:is>
          <x:t xml:space="preserve">3</x:t>
        </x:is>
      </x:c>
      <x:c r="D166" s="5" t="inlineStr">
        <x:is>
          <x:t xml:space="preserve">heavy_bionic</x:t>
        </x:is>
      </x:c>
      <x:c r="E166" s="5" t="inlineStr">
        <x:is>
          <x:t xml:space="preserve">00:00:04.000</x:t>
        </x:is>
      </x:c>
      <x:c r="F166" s="5" t="inlineStr">
        <x:is>
          <x:t xml:space="preserve">00:00:06.000</x:t>
        </x:is>
      </x:c>
      <x:c r="G166" s="5" t="inlineStr">
        <x:is>
          <x:t xml:space="preserve">Add &lt;b&gt;pro&lt;/b&gt;tein, &lt;b&gt;fib&lt;/b&gt;er, or &lt;b&gt;vol&lt;/b&gt;ume &lt;b&gt;first&lt;/b&gt;.</x:t>
        </x:is>
      </x:c>
      <x:c r="H166" s="5" t="inlineStr">
        <x:is>
          <x:t xml:space="preserve">Add protein, fiber, or volume first.</x:t>
        </x:is>
      </x:c>
      <x:c r="I166" s="5" t="inlineStr">
        <x:is>
          <x:t xml:space="preserve">action</x:t>
        </x:is>
      </x:c>
      <x:c r="J166" s="5" t="inlineStr">
        <x:is>
          <x:t xml:space="preserve">protein;fiber;volume</x:t>
        </x:is>
      </x:c>
      <x:c r="K166" s="5" t="inlineStr">
        <x:is>
          <x:t xml:space="preserve">left_mid</x:t>
        </x:is>
      </x:c>
      <x:c r="L166" s="5" t="inlineStr">
        <x:is>
          <x:t xml:space="preserve">medium</x:t>
        </x:is>
      </x:c>
    </x:row>
    <x:row r="167" ht="22" customHeight="1">
      <x:c r="A167" s="5" t="inlineStr">
        <x:is>
          <x:t xml:space="preserve">V09_nutrition_satiety</x:t>
        </x:is>
      </x:c>
      <x:c r="B167" s="5" t="inlineStr">
        <x:is>
          <x:t xml:space="preserve">nutrition</x:t>
        </x:is>
      </x:c>
      <x:c r="C167" s="5" t="inlineStr">
        <x:is>
          <x:t xml:space="preserve">1</x:t>
        </x:is>
      </x:c>
      <x:c r="D167" s="5" t="inlineStr">
        <x:is>
          <x:t xml:space="preserve">keyword_highlight</x:t>
        </x:is>
      </x:c>
      <x:c r="E167" s="5" t="inlineStr">
        <x:is>
          <x:t xml:space="preserve">00:00:00.000</x:t>
        </x:is>
      </x:c>
      <x:c r="F167" s="5" t="inlineStr">
        <x:is>
          <x:t xml:space="preserve">00:00:02.000</x:t>
        </x:is>
      </x:c>
      <x:c r="G167" s="5" t="inlineStr">
        <x:is>
          <x:t xml:space="preserve">If you are hungry an hour after eating, it might not be &lt;b&gt;willpower&lt;/b&gt;.</x:t>
        </x:is>
      </x:c>
      <x:c r="H167" s="5" t="inlineStr">
        <x:is>
          <x:t xml:space="preserve">If you are hungry an hour after eating, it might not be willpower.</x:t>
        </x:is>
      </x:c>
      <x:c r="I167" s="5" t="inlineStr">
        <x:is>
          <x:t xml:space="preserve">false_belief</x:t>
        </x:is>
      </x:c>
      <x:c r="J167" s="5" t="inlineStr">
        <x:is>
          <x:t xml:space="preserve">willpower</x:t>
        </x:is>
      </x:c>
      <x:c r="K167" s="5" t="inlineStr">
        <x:is>
          <x:t xml:space="preserve">center_upper</x:t>
        </x:is>
      </x:c>
      <x:c r="L167" s="5" t="inlineStr">
        <x:is>
          <x:t xml:space="preserve">low</x:t>
        </x:is>
      </x:c>
    </x:row>
    <x:row r="168" ht="22" customHeight="1">
      <x:c r="A168" s="5" t="inlineStr">
        <x:is>
          <x:t xml:space="preserve">V09_nutrition_satiety</x:t>
        </x:is>
      </x:c>
      <x:c r="B168" s="5" t="inlineStr">
        <x:is>
          <x:t xml:space="preserve">nutrition</x:t>
        </x:is>
      </x:c>
      <x:c r="C168" s="5" t="inlineStr">
        <x:is>
          <x:t xml:space="preserve">2</x:t>
        </x:is>
      </x:c>
      <x:c r="D168" s="5" t="inlineStr">
        <x:is>
          <x:t xml:space="preserve">keyword_highlight</x:t>
        </x:is>
      </x:c>
      <x:c r="E168" s="5" t="inlineStr">
        <x:is>
          <x:t xml:space="preserve">00:00:02.000</x:t>
        </x:is>
      </x:c>
      <x:c r="F168" s="5" t="inlineStr">
        <x:is>
          <x:t xml:space="preserve">00:00:04.000</x:t>
        </x:is>
      </x:c>
      <x:c r="G168" s="5" t="inlineStr">
        <x:is>
          <x:t xml:space="preserve">It might be low &lt;b&gt;satiety&lt;/b&gt;.</x:t>
        </x:is>
      </x:c>
      <x:c r="H168" s="5" t="inlineStr">
        <x:is>
          <x:t xml:space="preserve">It might be low satiety.</x:t>
        </x:is>
      </x:c>
      <x:c r="I168" s="5" t="inlineStr">
        <x:is>
          <x:t xml:space="preserve">diagnosis</x:t>
        </x:is>
      </x:c>
      <x:c r="J168" s="5" t="inlineStr">
        <x:is>
          <x:t xml:space="preserve">satiety</x:t>
        </x:is>
      </x:c>
      <x:c r="K168" s="5" t="inlineStr">
        <x:is>
          <x:t xml:space="preserve">center_upper</x:t>
        </x:is>
      </x:c>
      <x:c r="L168" s="5" t="inlineStr">
        <x:is>
          <x:t xml:space="preserve">low</x:t>
        </x:is>
      </x:c>
    </x:row>
    <x:row r="169" ht="22" customHeight="1">
      <x:c r="A169" s="5" t="inlineStr">
        <x:is>
          <x:t xml:space="preserve">V09_nutrition_satiety</x:t>
        </x:is>
      </x:c>
      <x:c r="B169" s="5" t="inlineStr">
        <x:is>
          <x:t xml:space="preserve">nutrition</x:t>
        </x:is>
      </x:c>
      <x:c r="C169" s="5" t="inlineStr">
        <x:is>
          <x:t xml:space="preserve">3</x:t>
        </x:is>
      </x:c>
      <x:c r="D169" s="5" t="inlineStr">
        <x:is>
          <x:t xml:space="preserve">keyword_highlight</x:t>
        </x:is>
      </x:c>
      <x:c r="E169" s="5" t="inlineStr">
        <x:is>
          <x:t xml:space="preserve">00:00:04.000</x:t>
        </x:is>
      </x:c>
      <x:c r="F169" s="5" t="inlineStr">
        <x:is>
          <x:t xml:space="preserve">00:00:06.000</x:t>
        </x:is>
      </x:c>
      <x:c r="G169" s="5" t="inlineStr">
        <x:is>
          <x:t xml:space="preserve">Add &lt;b&gt;protein&lt;/b&gt;, &lt;b&gt;fiber&lt;/b&gt;, or &lt;b&gt;volume&lt;/b&gt; first.</x:t>
        </x:is>
      </x:c>
      <x:c r="H169" s="5" t="inlineStr">
        <x:is>
          <x:t xml:space="preserve">Add protein, fiber, or volume first.</x:t>
        </x:is>
      </x:c>
      <x:c r="I169" s="5" t="inlineStr">
        <x:is>
          <x:t xml:space="preserve">action</x:t>
        </x:is>
      </x:c>
      <x:c r="J169" s="5" t="inlineStr">
        <x:is>
          <x:t xml:space="preserve">protein;fiber;volume</x:t>
        </x:is>
      </x:c>
      <x:c r="K169" s="5" t="inlineStr">
        <x:is>
          <x:t xml:space="preserve">left_mid</x:t>
        </x:is>
      </x:c>
      <x:c r="L169" s="5" t="inlineStr">
        <x:is>
          <x:t xml:space="preserve">medium</x:t>
        </x:is>
      </x:c>
    </x:row>
    <x:row r="170" ht="22" customHeight="1">
      <x:c r="A170" s="5" t="inlineStr">
        <x:is>
          <x:t xml:space="preserve">V09_nutrition_satiety</x:t>
        </x:is>
      </x:c>
      <x:c r="B170" s="5" t="inlineStr">
        <x:is>
          <x:t xml:space="preserve">nutrition</x:t>
        </x:is>
      </x:c>
      <x:c r="C170" s="5" t="inlineStr">
        <x:is>
          <x:t xml:space="preserve">1</x:t>
        </x:is>
      </x:c>
      <x:c r="D170" s="5" t="inlineStr">
        <x:is>
          <x:t xml:space="preserve">semantic_compression</x:t>
        </x:is>
      </x:c>
      <x:c r="E170" s="5" t="inlineStr">
        <x:is>
          <x:t xml:space="preserve">00:00:00.000</x:t>
        </x:is>
      </x:c>
      <x:c r="F170" s="5" t="inlineStr">
        <x:is>
          <x:t xml:space="preserve">00:00:02.000</x:t>
        </x:is>
      </x:c>
      <x:c r="G170" s="5" t="inlineStr">
        <x:is>
          <x:t xml:space="preserve">Not willpower.</x:t>
        </x:is>
      </x:c>
      <x:c r="H170" s="5" t="inlineStr">
        <x:is>
          <x:t xml:space="preserve">Not willpower.</x:t>
        </x:is>
      </x:c>
      <x:c r="I170" s="5" t="inlineStr">
        <x:is>
          <x:t xml:space="preserve">false_belief</x:t>
        </x:is>
      </x:c>
      <x:c r="J170" s="5" t="inlineStr">
        <x:is>
          <x:t xml:space="preserve">willpower</x:t>
        </x:is>
      </x:c>
      <x:c r="K170" s="5" t="inlineStr">
        <x:is>
          <x:t xml:space="preserve">center_upper</x:t>
        </x:is>
      </x:c>
      <x:c r="L170" s="5" t="inlineStr">
        <x:is>
          <x:t xml:space="preserve">low</x:t>
        </x:is>
      </x:c>
    </x:row>
    <x:row r="171" ht="22" customHeight="1">
      <x:c r="A171" s="5" t="inlineStr">
        <x:is>
          <x:t xml:space="preserve">V09_nutrition_satiety</x:t>
        </x:is>
      </x:c>
      <x:c r="B171" s="5" t="inlineStr">
        <x:is>
          <x:t xml:space="preserve">nutrition</x:t>
        </x:is>
      </x:c>
      <x:c r="C171" s="5" t="inlineStr">
        <x:is>
          <x:t xml:space="preserve">2</x:t>
        </x:is>
      </x:c>
      <x:c r="D171" s="5" t="inlineStr">
        <x:is>
          <x:t xml:space="preserve">semantic_compression</x:t>
        </x:is>
      </x:c>
      <x:c r="E171" s="5" t="inlineStr">
        <x:is>
          <x:t xml:space="preserve">00:00:02.000</x:t>
        </x:is>
      </x:c>
      <x:c r="F171" s="5" t="inlineStr">
        <x:is>
          <x:t xml:space="preserve">00:00:04.000</x:t>
        </x:is>
      </x:c>
      <x:c r="G171" s="5" t="inlineStr">
        <x:is>
          <x:t xml:space="preserve">Low satiety.</x:t>
        </x:is>
      </x:c>
      <x:c r="H171" s="5" t="inlineStr">
        <x:is>
          <x:t xml:space="preserve">Low satiety.</x:t>
        </x:is>
      </x:c>
      <x:c r="I171" s="5" t="inlineStr">
        <x:is>
          <x:t xml:space="preserve">diagnosis</x:t>
        </x:is>
      </x:c>
      <x:c r="J171" s="5" t="inlineStr">
        <x:is>
          <x:t xml:space="preserve">satiety</x:t>
        </x:is>
      </x:c>
      <x:c r="K171" s="5" t="inlineStr">
        <x:is>
          <x:t xml:space="preserve">center_upper</x:t>
        </x:is>
      </x:c>
      <x:c r="L171" s="5" t="inlineStr">
        <x:is>
          <x:t xml:space="preserve">low</x:t>
        </x:is>
      </x:c>
    </x:row>
    <x:row r="172" ht="22" customHeight="1">
      <x:c r="A172" s="5" t="inlineStr">
        <x:is>
          <x:t xml:space="preserve">V09_nutrition_satiety</x:t>
        </x:is>
      </x:c>
      <x:c r="B172" s="5" t="inlineStr">
        <x:is>
          <x:t xml:space="preserve">nutrition</x:t>
        </x:is>
      </x:c>
      <x:c r="C172" s="5" t="inlineStr">
        <x:is>
          <x:t xml:space="preserve">3</x:t>
        </x:is>
      </x:c>
      <x:c r="D172" s="5" t="inlineStr">
        <x:is>
          <x:t xml:space="preserve">semantic_compression</x:t>
        </x:is>
      </x:c>
      <x:c r="E172" s="5" t="inlineStr">
        <x:is>
          <x:t xml:space="preserve">00:00:04.000</x:t>
        </x:is>
      </x:c>
      <x:c r="F172" s="5" t="inlineStr">
        <x:is>
          <x:t xml:space="preserve">00:00:06.000</x:t>
        </x:is>
      </x:c>
      <x:c r="G172" s="5" t="inlineStr">
        <x:is>
          <x:t xml:space="preserve">Protein. Fiber. Volume.</x:t>
        </x:is>
      </x:c>
      <x:c r="H172" s="5" t="inlineStr">
        <x:is>
          <x:t xml:space="preserve">Protein. Fiber. Volume.</x:t>
        </x:is>
      </x:c>
      <x:c r="I172" s="5" t="inlineStr">
        <x:is>
          <x:t xml:space="preserve">action</x:t>
        </x:is>
      </x:c>
      <x:c r="J172" s="5" t="inlineStr">
        <x:is>
          <x:t xml:space="preserve">protein;fiber;volume</x:t>
        </x:is>
      </x:c>
      <x:c r="K172" s="5" t="inlineStr">
        <x:is>
          <x:t xml:space="preserve">left_mid</x:t>
        </x:is>
      </x:c>
      <x:c r="L172" s="5" t="inlineStr">
        <x:is>
          <x:t xml:space="preserve">medium</x:t>
        </x:is>
      </x:c>
    </x:row>
    <x:row r="173" ht="22" customHeight="1">
      <x:c r="A173" s="5" t="inlineStr">
        <x:is>
          <x:t xml:space="preserve">V10_tutorial_ui</x:t>
        </x:is>
      </x:c>
      <x:c r="B173" s="5" t="inlineStr">
        <x:is>
          <x:t xml:space="preserve">tutorial</x:t>
        </x:is>
      </x:c>
      <x:c r="C173" s="5" t="inlineStr">
        <x:is>
          <x:t xml:space="preserve">1</x:t>
        </x:is>
      </x:c>
      <x:c r="D173" s="5" t="inlineStr">
        <x:is>
          <x:t xml:space="preserve">bcc</x:t>
        </x:is>
      </x:c>
      <x:c r="E173" s="5" t="inlineStr">
        <x:is>
          <x:t xml:space="preserve">00:00:00.000</x:t>
        </x:is>
      </x:c>
      <x:c r="F173" s="5" t="inlineStr">
        <x:is>
          <x:t xml:space="preserve">00:00:02.000</x:t>
        </x:is>
      </x:c>
      <x:c r="G173" s="5" t="inlineStr">
        <x:is>
          <x:t xml:space="preserve">&lt;b&gt;Stop&lt;/b&gt; &lt;b&gt;sear&lt;/b&gt;ching.</x:t>
        </x:is>
      </x:c>
      <x:c r="H173" s="5" t="inlineStr">
        <x:is>
          <x:t xml:space="preserve">Stop searching.</x:t>
        </x:is>
      </x:c>
      <x:c r="I173" s="5" t="inlineStr">
        <x:is>
          <x:t xml:space="preserve">warning</x:t>
        </x:is>
      </x:c>
      <x:c r="J173" s="5" t="inlineStr">
        <x:is>
          <x:t xml:space="preserve">searching</x:t>
        </x:is>
      </x:c>
      <x:c r="K173" s="5" t="inlineStr">
        <x:is>
          <x:t xml:space="preserve">right_mid</x:t>
        </x:is>
      </x:c>
      <x:c r="L173" s="5" t="inlineStr">
        <x:is>
          <x:t xml:space="preserve">high</x:t>
        </x:is>
      </x:c>
    </x:row>
    <x:row r="174" ht="22" customHeight="1">
      <x:c r="A174" s="5" t="inlineStr">
        <x:is>
          <x:t xml:space="preserve">V10_tutorial_ui</x:t>
        </x:is>
      </x:c>
      <x:c r="B174" s="5" t="inlineStr">
        <x:is>
          <x:t xml:space="preserve">tutorial</x:t>
        </x:is>
      </x:c>
      <x:c r="C174" s="5" t="inlineStr">
        <x:is>
          <x:t xml:space="preserve">2</x:t>
        </x:is>
      </x:c>
      <x:c r="D174" s="5" t="inlineStr">
        <x:is>
          <x:t xml:space="preserve">bcc</x:t>
        </x:is>
      </x:c>
      <x:c r="E174" s="5" t="inlineStr">
        <x:is>
          <x:t xml:space="preserve">00:00:02.000</x:t>
        </x:is>
      </x:c>
      <x:c r="F174" s="5" t="inlineStr">
        <x:is>
          <x:t xml:space="preserve">00:00:04.000</x:t>
        </x:is>
      </x:c>
      <x:c r="G174" s="5" t="inlineStr">
        <x:is>
          <x:t xml:space="preserve">&lt;b&gt;Sett&lt;/b&gt;ings. &lt;b&gt;Notifi&lt;/b&gt;cations.</x:t>
        </x:is>
      </x:c>
      <x:c r="H174" s="5" t="inlineStr">
        <x:is>
          <x:t xml:space="preserve">Settings. Notifications.</x:t>
        </x:is>
      </x:c>
      <x:c r="I174" s="5" t="inlineStr">
        <x:is>
          <x:t xml:space="preserve">sequence</x:t>
        </x:is>
      </x:c>
      <x:c r="J174" s="5" t="inlineStr">
        <x:is>
          <x:t xml:space="preserve">settings;notifications</x:t>
        </x:is>
      </x:c>
      <x:c r="K174" s="5" t="inlineStr">
        <x:is>
          <x:t xml:space="preserve">right_mid</x:t>
        </x:is>
      </x:c>
      <x:c r="L174" s="5" t="inlineStr">
        <x:is>
          <x:t xml:space="preserve">high</x:t>
        </x:is>
      </x:c>
    </x:row>
    <x:row r="175" ht="22" customHeight="1">
      <x:c r="A175" s="5" t="inlineStr">
        <x:is>
          <x:t xml:space="preserve">V10_tutorial_ui</x:t>
        </x:is>
      </x:c>
      <x:c r="B175" s="5" t="inlineStr">
        <x:is>
          <x:t xml:space="preserve">tutorial</x:t>
        </x:is>
      </x:c>
      <x:c r="C175" s="5" t="inlineStr">
        <x:is>
          <x:t xml:space="preserve">3</x:t>
        </x:is>
      </x:c>
      <x:c r="D175" s="5" t="inlineStr">
        <x:is>
          <x:t xml:space="preserve">bcc</x:t>
        </x:is>
      </x:c>
      <x:c r="E175" s="5" t="inlineStr">
        <x:is>
          <x:t xml:space="preserve">00:00:04.000</x:t>
        </x:is>
      </x:c>
      <x:c r="F175" s="5" t="inlineStr">
        <x:is>
          <x:t xml:space="preserve">00:00:06.000</x:t>
        </x:is>
      </x:c>
      <x:c r="G175" s="5" t="inlineStr">
        <x:is>
          <x:t xml:space="preserve">&lt;b&gt;Keep&lt;/b&gt; action &lt;b&gt;ale&lt;/b&gt;rts.</x:t>
        </x:is>
      </x:c>
      <x:c r="H175" s="5" t="inlineStr">
        <x:is>
          <x:t xml:space="preserve">Keep action alerts.</x:t>
        </x:is>
      </x:c>
      <x:c r="I175" s="5" t="inlineStr">
        <x:is>
          <x:t xml:space="preserve">action</x:t>
        </x:is>
      </x:c>
      <x:c r="J175" s="5" t="inlineStr">
        <x:is>
          <x:t xml:space="preserve">alerts</x:t>
        </x:is>
      </x:c>
      <x:c r="K175" s="5" t="inlineStr">
        <x:is>
          <x:t xml:space="preserve">right_mid</x:t>
        </x:is>
      </x:c>
      <x:c r="L175" s="5" t="inlineStr">
        <x:is>
          <x:t xml:space="preserve">high</x:t>
        </x:is>
      </x:c>
    </x:row>
    <x:row r="176" ht="22" customHeight="1">
      <x:c r="A176" s="5" t="inlineStr">
        <x:is>
          <x:t xml:space="preserve">V10_tutorial_ui</x:t>
        </x:is>
      </x:c>
      <x:c r="B176" s="5" t="inlineStr">
        <x:is>
          <x:t xml:space="preserve">tutorial</x:t>
        </x:is>
      </x:c>
      <x:c r="C176" s="5" t="inlineStr">
        <x:is>
          <x:t xml:space="preserve">1</x:t>
        </x:is>
      </x:c>
      <x:c r="D176" s="5" t="inlineStr">
        <x:is>
          <x:t xml:space="preserve">bcc_plus</x:t>
        </x:is>
      </x:c>
      <x:c r="E176" s="5" t="inlineStr">
        <x:is>
          <x:t xml:space="preserve">00:00:00.000</x:t>
        </x:is>
      </x:c>
      <x:c r="F176" s="5" t="inlineStr">
        <x:is>
          <x:t xml:space="preserve">00:00:02.000</x:t>
        </x:is>
      </x:c>
      <x:c r="G176" s="5" t="inlineStr">
        <x:is>
          <x:t xml:space="preserve">&lt;b&gt;Stop&lt;/b&gt; &lt;b&gt;sear&lt;/b&gt;ching.</x:t>
        </x:is>
      </x:c>
      <x:c r="H176" s="5" t="inlineStr">
        <x:is>
          <x:t xml:space="preserve">Stop searching.</x:t>
        </x:is>
      </x:c>
      <x:c r="I176" s="5" t="inlineStr">
        <x:is>
          <x:t xml:space="preserve">warning</x:t>
        </x:is>
      </x:c>
      <x:c r="J176" s="5" t="inlineStr">
        <x:is>
          <x:t xml:space="preserve">searching</x:t>
        </x:is>
      </x:c>
      <x:c r="K176" s="5" t="inlineStr">
        <x:is>
          <x:t xml:space="preserve">right_mid</x:t>
        </x:is>
      </x:c>
      <x:c r="L176" s="5" t="inlineStr">
        <x:is>
          <x:t xml:space="preserve">high</x:t>
        </x:is>
      </x:c>
    </x:row>
    <x:row r="177" ht="22" customHeight="1">
      <x:c r="A177" s="5" t="inlineStr">
        <x:is>
          <x:t xml:space="preserve">V10_tutorial_ui</x:t>
        </x:is>
      </x:c>
      <x:c r="B177" s="5" t="inlineStr">
        <x:is>
          <x:t xml:space="preserve">tutorial</x:t>
        </x:is>
      </x:c>
      <x:c r="C177" s="5" t="inlineStr">
        <x:is>
          <x:t xml:space="preserve">2</x:t>
        </x:is>
      </x:c>
      <x:c r="D177" s="5" t="inlineStr">
        <x:is>
          <x:t xml:space="preserve">bcc_plus</x:t>
        </x:is>
      </x:c>
      <x:c r="E177" s="5" t="inlineStr">
        <x:is>
          <x:t xml:space="preserve">00:00:02.000</x:t>
        </x:is>
      </x:c>
      <x:c r="F177" s="5" t="inlineStr">
        <x:is>
          <x:t xml:space="preserve">00:00:04.000</x:t>
        </x:is>
      </x:c>
      <x:c r="G177" s="5" t="inlineStr">
        <x:is>
          <x:t xml:space="preserve">&lt;b&gt;Sett&lt;/b&gt;ings. &lt;b&gt;Notifi&lt;/b&gt;cations.</x:t>
        </x:is>
      </x:c>
      <x:c r="H177" s="5" t="inlineStr">
        <x:is>
          <x:t xml:space="preserve">Settings. Notifications.</x:t>
        </x:is>
      </x:c>
      <x:c r="I177" s="5" t="inlineStr">
        <x:is>
          <x:t xml:space="preserve">sequence</x:t>
        </x:is>
      </x:c>
      <x:c r="J177" s="5" t="inlineStr">
        <x:is>
          <x:t xml:space="preserve">settings;notifications</x:t>
        </x:is>
      </x:c>
      <x:c r="K177" s="5" t="inlineStr">
        <x:is>
          <x:t xml:space="preserve">right_mid</x:t>
        </x:is>
      </x:c>
      <x:c r="L177" s="5" t="inlineStr">
        <x:is>
          <x:t xml:space="preserve">high</x:t>
        </x:is>
      </x:c>
    </x:row>
    <x:row r="178" ht="22" customHeight="1">
      <x:c r="A178" s="5" t="inlineStr">
        <x:is>
          <x:t xml:space="preserve">V10_tutorial_ui</x:t>
        </x:is>
      </x:c>
      <x:c r="B178" s="5" t="inlineStr">
        <x:is>
          <x:t xml:space="preserve">tutorial</x:t>
        </x:is>
      </x:c>
      <x:c r="C178" s="5" t="inlineStr">
        <x:is>
          <x:t xml:space="preserve">3</x:t>
        </x:is>
      </x:c>
      <x:c r="D178" s="5" t="inlineStr">
        <x:is>
          <x:t xml:space="preserve">bcc_plus</x:t>
        </x:is>
      </x:c>
      <x:c r="E178" s="5" t="inlineStr">
        <x:is>
          <x:t xml:space="preserve">00:00:04.000</x:t>
        </x:is>
      </x:c>
      <x:c r="F178" s="5" t="inlineStr">
        <x:is>
          <x:t xml:space="preserve">00:00:06.000</x:t>
        </x:is>
      </x:c>
      <x:c r="G178" s="5" t="inlineStr">
        <x:is>
          <x:t xml:space="preserve">&lt;b&gt;Keep&lt;/b&gt; action &lt;b&gt;ale&lt;/b&gt;rts.</x:t>
        </x:is>
      </x:c>
      <x:c r="H178" s="5" t="inlineStr">
        <x:is>
          <x:t xml:space="preserve">Keep action alerts.</x:t>
        </x:is>
      </x:c>
      <x:c r="I178" s="5" t="inlineStr">
        <x:is>
          <x:t xml:space="preserve">action</x:t>
        </x:is>
      </x:c>
      <x:c r="J178" s="5" t="inlineStr">
        <x:is>
          <x:t xml:space="preserve">alerts</x:t>
        </x:is>
      </x:c>
      <x:c r="K178" s="5" t="inlineStr">
        <x:is>
          <x:t xml:space="preserve">right_mid</x:t>
        </x:is>
      </x:c>
      <x:c r="L178" s="5" t="inlineStr">
        <x:is>
          <x:t xml:space="preserve">high</x:t>
        </x:is>
      </x:c>
    </x:row>
    <x:row r="179" ht="22" customHeight="1">
      <x:c r="A179" s="5" t="inlineStr">
        <x:is>
          <x:t xml:space="preserve">V10_tutorial_ui</x:t>
        </x:is>
      </x:c>
      <x:c r="B179" s="5" t="inlineStr">
        <x:is>
          <x:t xml:space="preserve">tutorial</x:t>
        </x:is>
      </x:c>
      <x:c r="C179" s="5" t="inlineStr">
        <x:is>
          <x:t xml:space="preserve">1</x:t>
        </x:is>
      </x:c>
      <x:c r="D179" s="5" t="inlineStr">
        <x:is>
          <x:t xml:space="preserve">full_transcript</x:t>
        </x:is>
      </x:c>
      <x:c r="E179" s="5" t="inlineStr">
        <x:is>
          <x:t xml:space="preserve">00:00:00.000</x:t>
        </x:is>
      </x:c>
      <x:c r="F179" s="5" t="inlineStr">
        <x:is>
          <x:t xml:space="preserve">00:00:02.000</x:t>
        </x:is>
      </x:c>
      <x:c r="G179" s="5" t="inlineStr">
        <x:is>
          <x:t xml:space="preserve">Do not search every menu.</x:t>
        </x:is>
      </x:c>
      <x:c r="H179" s="5" t="inlineStr">
        <x:is>
          <x:t xml:space="preserve">Do not search every menu.</x:t>
        </x:is>
      </x:c>
      <x:c r="I179" s="5" t="inlineStr">
        <x:is>
          <x:t xml:space="preserve">warning</x:t>
        </x:is>
      </x:c>
      <x:c r="J179" s="5" t="inlineStr">
        <x:is>
          <x:t xml:space="preserve">searching</x:t>
        </x:is>
      </x:c>
      <x:c r="K179" s="5" t="inlineStr">
        <x:is>
          <x:t xml:space="preserve">right_mid</x:t>
        </x:is>
      </x:c>
      <x:c r="L179" s="5" t="inlineStr">
        <x:is>
          <x:t xml:space="preserve">high</x:t>
        </x:is>
      </x:c>
    </x:row>
    <x:row r="180" ht="22" customHeight="1">
      <x:c r="A180" s="5" t="inlineStr">
        <x:is>
          <x:t xml:space="preserve">V10_tutorial_ui</x:t>
        </x:is>
      </x:c>
      <x:c r="B180" s="5" t="inlineStr">
        <x:is>
          <x:t xml:space="preserve">tutorial</x:t>
        </x:is>
      </x:c>
      <x:c r="C180" s="5" t="inlineStr">
        <x:is>
          <x:t xml:space="preserve">2</x:t>
        </x:is>
      </x:c>
      <x:c r="D180" s="5" t="inlineStr">
        <x:is>
          <x:t xml:space="preserve">full_transcript</x:t>
        </x:is>
      </x:c>
      <x:c r="E180" s="5" t="inlineStr">
        <x:is>
          <x:t xml:space="preserve">00:00:02.000</x:t>
        </x:is>
      </x:c>
      <x:c r="F180" s="5" t="inlineStr">
        <x:is>
          <x:t xml:space="preserve">00:00:04.000</x:t>
        </x:is>
      </x:c>
      <x:c r="G180" s="5" t="inlineStr">
        <x:is>
          <x:t xml:space="preserve">Open settings, choose notifications, then turn off non-essential alerts.</x:t>
        </x:is>
      </x:c>
      <x:c r="H180" s="5" t="inlineStr">
        <x:is>
          <x:t xml:space="preserve">Open settings, choose notifications, then turn off non-essential alerts.</x:t>
        </x:is>
      </x:c>
      <x:c r="I180" s="5" t="inlineStr">
        <x:is>
          <x:t xml:space="preserve">sequence</x:t>
        </x:is>
      </x:c>
      <x:c r="J180" s="5" t="inlineStr">
        <x:is>
          <x:t xml:space="preserve">settings;notifications</x:t>
        </x:is>
      </x:c>
      <x:c r="K180" s="5" t="inlineStr">
        <x:is>
          <x:t xml:space="preserve">right_mid</x:t>
        </x:is>
      </x:c>
      <x:c r="L180" s="5" t="inlineStr">
        <x:is>
          <x:t xml:space="preserve">high</x:t>
        </x:is>
      </x:c>
    </x:row>
    <x:row r="181" ht="22" customHeight="1">
      <x:c r="A181" s="5" t="inlineStr">
        <x:is>
          <x:t xml:space="preserve">V10_tutorial_ui</x:t>
        </x:is>
      </x:c>
      <x:c r="B181" s="5" t="inlineStr">
        <x:is>
          <x:t xml:space="preserve">tutorial</x:t>
        </x:is>
      </x:c>
      <x:c r="C181" s="5" t="inlineStr">
        <x:is>
          <x:t xml:space="preserve">3</x:t>
        </x:is>
      </x:c>
      <x:c r="D181" s="5" t="inlineStr">
        <x:is>
          <x:t xml:space="preserve">full_transcript</x:t>
        </x:is>
      </x:c>
      <x:c r="E181" s="5" t="inlineStr">
        <x:is>
          <x:t xml:space="preserve">00:00:04.000</x:t>
        </x:is>
      </x:c>
      <x:c r="F181" s="5" t="inlineStr">
        <x:is>
          <x:t xml:space="preserve">00:00:06.000</x:t>
        </x:is>
      </x:c>
      <x:c r="G181" s="5" t="inlineStr">
        <x:is>
          <x:t xml:space="preserve">Keep only the alerts that cause action.</x:t>
        </x:is>
      </x:c>
      <x:c r="H181" s="5" t="inlineStr">
        <x:is>
          <x:t xml:space="preserve">Keep only the alerts that cause action.</x:t>
        </x:is>
      </x:c>
      <x:c r="I181" s="5" t="inlineStr">
        <x:is>
          <x:t xml:space="preserve">action</x:t>
        </x:is>
      </x:c>
      <x:c r="J181" s="5" t="inlineStr">
        <x:is>
          <x:t xml:space="preserve">alerts</x:t>
        </x:is>
      </x:c>
      <x:c r="K181" s="5" t="inlineStr">
        <x:is>
          <x:t xml:space="preserve">right_mid</x:t>
        </x:is>
      </x:c>
      <x:c r="L181" s="5" t="inlineStr">
        <x:is>
          <x:t xml:space="preserve">high</x:t>
        </x:is>
      </x:c>
    </x:row>
    <x:row r="182" ht="22" customHeight="1">
      <x:c r="A182" s="5" t="inlineStr">
        <x:is>
          <x:t xml:space="preserve">V10_tutorial_ui</x:t>
        </x:is>
      </x:c>
      <x:c r="B182" s="5" t="inlineStr">
        <x:is>
          <x:t xml:space="preserve">tutorial</x:t>
        </x:is>
      </x:c>
      <x:c r="C182" s="5" t="inlineStr">
        <x:is>
          <x:t xml:space="preserve">1</x:t>
        </x:is>
      </x:c>
      <x:c r="D182" s="5" t="inlineStr">
        <x:is>
          <x:t xml:space="preserve">heavy_bionic</x:t>
        </x:is>
      </x:c>
      <x:c r="E182" s="5" t="inlineStr">
        <x:is>
          <x:t xml:space="preserve">00:00:00.000</x:t>
        </x:is>
      </x:c>
      <x:c r="F182" s="5" t="inlineStr">
        <x:is>
          <x:t xml:space="preserve">00:00:02.000</x:t>
        </x:is>
      </x:c>
      <x:c r="G182" s="5" t="inlineStr">
        <x:is>
          <x:t xml:space="preserve">Do &lt;b&gt;not&lt;/b&gt; &lt;b&gt;sea&lt;/b&gt;rch every &lt;b&gt;menu&lt;/b&gt;.</x:t>
        </x:is>
      </x:c>
      <x:c r="H182" s="5" t="inlineStr">
        <x:is>
          <x:t xml:space="preserve">Do not search every menu.</x:t>
        </x:is>
      </x:c>
      <x:c r="I182" s="5" t="inlineStr">
        <x:is>
          <x:t xml:space="preserve">warning</x:t>
        </x:is>
      </x:c>
      <x:c r="J182" s="5" t="inlineStr">
        <x:is>
          <x:t xml:space="preserve">searching</x:t>
        </x:is>
      </x:c>
      <x:c r="K182" s="5" t="inlineStr">
        <x:is>
          <x:t xml:space="preserve">right_mid</x:t>
        </x:is>
      </x:c>
      <x:c r="L182" s="5" t="inlineStr">
        <x:is>
          <x:t xml:space="preserve">high</x:t>
        </x:is>
      </x:c>
    </x:row>
    <x:row r="183" ht="36" customHeight="1">
      <x:c r="A183" s="5" t="inlineStr">
        <x:is>
          <x:t xml:space="preserve">V10_tutorial_ui</x:t>
        </x:is>
      </x:c>
      <x:c r="B183" s="5" t="inlineStr">
        <x:is>
          <x:t xml:space="preserve">tutorial</x:t>
        </x:is>
      </x:c>
      <x:c r="C183" s="5" t="inlineStr">
        <x:is>
          <x:t xml:space="preserve">2</x:t>
        </x:is>
      </x:c>
      <x:c r="D183" s="5" t="inlineStr">
        <x:is>
          <x:t xml:space="preserve">heavy_bionic</x:t>
        </x:is>
      </x:c>
      <x:c r="E183" s="5" t="inlineStr">
        <x:is>
          <x:t xml:space="preserve">00:00:02.000</x:t>
        </x:is>
      </x:c>
      <x:c r="F183" s="5" t="inlineStr">
        <x:is>
          <x:t xml:space="preserve">00:00:04.000</x:t>
        </x:is>
      </x:c>
      <x:c r="G183" s="5" t="inlineStr">
        <x:is>
          <x:t xml:space="preserve">&lt;b&gt;Open&lt;/b&gt; &lt;b&gt;sett&lt;/b&gt;ings, &lt;b&gt;cho&lt;/b&gt;ose &lt;b&gt;notifi&lt;/b&gt;cations, &lt;b&gt;then&lt;/b&gt; &lt;b&gt;turn&lt;/b&gt; off non-&lt;b&gt;esse&lt;/b&gt;ntial &lt;b&gt;ale&lt;/b&gt;rts.</x:t>
        </x:is>
      </x:c>
      <x:c r="H183" s="5" t="inlineStr">
        <x:is>
          <x:t xml:space="preserve">Open settings, choose notifications, then turn off non-essential alerts.</x:t>
        </x:is>
      </x:c>
      <x:c r="I183" s="5" t="inlineStr">
        <x:is>
          <x:t xml:space="preserve">sequence</x:t>
        </x:is>
      </x:c>
      <x:c r="J183" s="5" t="inlineStr">
        <x:is>
          <x:t xml:space="preserve">settings;notifications</x:t>
        </x:is>
      </x:c>
      <x:c r="K183" s="5" t="inlineStr">
        <x:is>
          <x:t xml:space="preserve">right_mid</x:t>
        </x:is>
      </x:c>
      <x:c r="L183" s="5" t="inlineStr">
        <x:is>
          <x:t xml:space="preserve">high</x:t>
        </x:is>
      </x:c>
    </x:row>
    <x:row r="184" ht="22" customHeight="1">
      <x:c r="A184" s="5" t="inlineStr">
        <x:is>
          <x:t xml:space="preserve">V10_tutorial_ui</x:t>
        </x:is>
      </x:c>
      <x:c r="B184" s="5" t="inlineStr">
        <x:is>
          <x:t xml:space="preserve">tutorial</x:t>
        </x:is>
      </x:c>
      <x:c r="C184" s="5" t="inlineStr">
        <x:is>
          <x:t xml:space="preserve">3</x:t>
        </x:is>
      </x:c>
      <x:c r="D184" s="5" t="inlineStr">
        <x:is>
          <x:t xml:space="preserve">heavy_bionic</x:t>
        </x:is>
      </x:c>
      <x:c r="E184" s="5" t="inlineStr">
        <x:is>
          <x:t xml:space="preserve">00:00:04.000</x:t>
        </x:is>
      </x:c>
      <x:c r="F184" s="5" t="inlineStr">
        <x:is>
          <x:t xml:space="preserve">00:00:06.000</x:t>
        </x:is>
      </x:c>
      <x:c r="G184" s="5" t="inlineStr">
        <x:is>
          <x:t xml:space="preserve">&lt;b&gt;Keep&lt;/b&gt; &lt;b&gt;only&lt;/b&gt; the &lt;b&gt;ale&lt;/b&gt;rts that &lt;b&gt;cau&lt;/b&gt;se &lt;b&gt;act&lt;/b&gt;ion.</x:t>
        </x:is>
      </x:c>
      <x:c r="H184" s="5" t="inlineStr">
        <x:is>
          <x:t xml:space="preserve">Keep only the alerts that cause action.</x:t>
        </x:is>
      </x:c>
      <x:c r="I184" s="5" t="inlineStr">
        <x:is>
          <x:t xml:space="preserve">action</x:t>
        </x:is>
      </x:c>
      <x:c r="J184" s="5" t="inlineStr">
        <x:is>
          <x:t xml:space="preserve">alerts</x:t>
        </x:is>
      </x:c>
      <x:c r="K184" s="5" t="inlineStr">
        <x:is>
          <x:t xml:space="preserve">right_mid</x:t>
        </x:is>
      </x:c>
      <x:c r="L184" s="5" t="inlineStr">
        <x:is>
          <x:t xml:space="preserve">high</x:t>
        </x:is>
      </x:c>
    </x:row>
    <x:row r="185" ht="22" customHeight="1">
      <x:c r="A185" s="5" t="inlineStr">
        <x:is>
          <x:t xml:space="preserve">V10_tutorial_ui</x:t>
        </x:is>
      </x:c>
      <x:c r="B185" s="5" t="inlineStr">
        <x:is>
          <x:t xml:space="preserve">tutorial</x:t>
        </x:is>
      </x:c>
      <x:c r="C185" s="5" t="inlineStr">
        <x:is>
          <x:t xml:space="preserve">1</x:t>
        </x:is>
      </x:c>
      <x:c r="D185" s="5" t="inlineStr">
        <x:is>
          <x:t xml:space="preserve">keyword_highlight</x:t>
        </x:is>
      </x:c>
      <x:c r="E185" s="5" t="inlineStr">
        <x:is>
          <x:t xml:space="preserve">00:00:00.000</x:t>
        </x:is>
      </x:c>
      <x:c r="F185" s="5" t="inlineStr">
        <x:is>
          <x:t xml:space="preserve">00:00:02.000</x:t>
        </x:is>
      </x:c>
      <x:c r="G185" s="5" t="inlineStr">
        <x:is>
          <x:t xml:space="preserve">Do not search every menu.</x:t>
        </x:is>
      </x:c>
      <x:c r="H185" s="5" t="inlineStr">
        <x:is>
          <x:t xml:space="preserve">Do not search every menu.</x:t>
        </x:is>
      </x:c>
      <x:c r="I185" s="5" t="inlineStr">
        <x:is>
          <x:t xml:space="preserve">warning</x:t>
        </x:is>
      </x:c>
      <x:c r="J185" s="5" t="inlineStr">
        <x:is>
          <x:t xml:space="preserve">searching</x:t>
        </x:is>
      </x:c>
      <x:c r="K185" s="5" t="inlineStr">
        <x:is>
          <x:t xml:space="preserve">right_mid</x:t>
        </x:is>
      </x:c>
      <x:c r="L185" s="5" t="inlineStr">
        <x:is>
          <x:t xml:space="preserve">high</x:t>
        </x:is>
      </x:c>
    </x:row>
    <x:row r="186" ht="36" customHeight="1">
      <x:c r="A186" s="5" t="inlineStr">
        <x:is>
          <x:t xml:space="preserve">V10_tutorial_ui</x:t>
        </x:is>
      </x:c>
      <x:c r="B186" s="5" t="inlineStr">
        <x:is>
          <x:t xml:space="preserve">tutorial</x:t>
        </x:is>
      </x:c>
      <x:c r="C186" s="5" t="inlineStr">
        <x:is>
          <x:t xml:space="preserve">2</x:t>
        </x:is>
      </x:c>
      <x:c r="D186" s="5" t="inlineStr">
        <x:is>
          <x:t xml:space="preserve">keyword_highlight</x:t>
        </x:is>
      </x:c>
      <x:c r="E186" s="5" t="inlineStr">
        <x:is>
          <x:t xml:space="preserve">00:00:02.000</x:t>
        </x:is>
      </x:c>
      <x:c r="F186" s="5" t="inlineStr">
        <x:is>
          <x:t xml:space="preserve">00:00:04.000</x:t>
        </x:is>
      </x:c>
      <x:c r="G186" s="5" t="inlineStr">
        <x:is>
          <x:t xml:space="preserve">Open &lt;b&gt;settings&lt;/b&gt;, choose &lt;b&gt;notifications&lt;/b&gt;, then turn off non-essential alerts.</x:t>
        </x:is>
      </x:c>
      <x:c r="H186" s="5" t="inlineStr">
        <x:is>
          <x:t xml:space="preserve">Open settings, choose notifications, then turn off non-essential alerts.</x:t>
        </x:is>
      </x:c>
      <x:c r="I186" s="5" t="inlineStr">
        <x:is>
          <x:t xml:space="preserve">sequence</x:t>
        </x:is>
      </x:c>
      <x:c r="J186" s="5" t="inlineStr">
        <x:is>
          <x:t xml:space="preserve">settings;notifications</x:t>
        </x:is>
      </x:c>
      <x:c r="K186" s="5" t="inlineStr">
        <x:is>
          <x:t xml:space="preserve">right_mid</x:t>
        </x:is>
      </x:c>
      <x:c r="L186" s="5" t="inlineStr">
        <x:is>
          <x:t xml:space="preserve">high</x:t>
        </x:is>
      </x:c>
    </x:row>
    <x:row r="187" ht="22" customHeight="1">
      <x:c r="A187" s="5" t="inlineStr">
        <x:is>
          <x:t xml:space="preserve">V10_tutorial_ui</x:t>
        </x:is>
      </x:c>
      <x:c r="B187" s="5" t="inlineStr">
        <x:is>
          <x:t xml:space="preserve">tutorial</x:t>
        </x:is>
      </x:c>
      <x:c r="C187" s="5" t="inlineStr">
        <x:is>
          <x:t xml:space="preserve">3</x:t>
        </x:is>
      </x:c>
      <x:c r="D187" s="5" t="inlineStr">
        <x:is>
          <x:t xml:space="preserve">keyword_highlight</x:t>
        </x:is>
      </x:c>
      <x:c r="E187" s="5" t="inlineStr">
        <x:is>
          <x:t xml:space="preserve">00:00:04.000</x:t>
        </x:is>
      </x:c>
      <x:c r="F187" s="5" t="inlineStr">
        <x:is>
          <x:t xml:space="preserve">00:00:06.000</x:t>
        </x:is>
      </x:c>
      <x:c r="G187" s="5" t="inlineStr">
        <x:is>
          <x:t xml:space="preserve">Keep only the &lt;b&gt;alerts&lt;/b&gt; that cause action.</x:t>
        </x:is>
      </x:c>
      <x:c r="H187" s="5" t="inlineStr">
        <x:is>
          <x:t xml:space="preserve">Keep only the alerts that cause action.</x:t>
        </x:is>
      </x:c>
      <x:c r="I187" s="5" t="inlineStr">
        <x:is>
          <x:t xml:space="preserve">action</x:t>
        </x:is>
      </x:c>
      <x:c r="J187" s="5" t="inlineStr">
        <x:is>
          <x:t xml:space="preserve">alerts</x:t>
        </x:is>
      </x:c>
      <x:c r="K187" s="5" t="inlineStr">
        <x:is>
          <x:t xml:space="preserve">right_mid</x:t>
        </x:is>
      </x:c>
      <x:c r="L187" s="5" t="inlineStr">
        <x:is>
          <x:t xml:space="preserve">high</x:t>
        </x:is>
      </x:c>
    </x:row>
    <x:row r="188" ht="22" customHeight="1">
      <x:c r="A188" s="5" t="inlineStr">
        <x:is>
          <x:t xml:space="preserve">V10_tutorial_ui</x:t>
        </x:is>
      </x:c>
      <x:c r="B188" s="5" t="inlineStr">
        <x:is>
          <x:t xml:space="preserve">tutorial</x:t>
        </x:is>
      </x:c>
      <x:c r="C188" s="5" t="inlineStr">
        <x:is>
          <x:t xml:space="preserve">1</x:t>
        </x:is>
      </x:c>
      <x:c r="D188" s="5" t="inlineStr">
        <x:is>
          <x:t xml:space="preserve">semantic_compression</x:t>
        </x:is>
      </x:c>
      <x:c r="E188" s="5" t="inlineStr">
        <x:is>
          <x:t xml:space="preserve">00:00:00.000</x:t>
        </x:is>
      </x:c>
      <x:c r="F188" s="5" t="inlineStr">
        <x:is>
          <x:t xml:space="preserve">00:00:02.000</x:t>
        </x:is>
      </x:c>
      <x:c r="G188" s="5" t="inlineStr">
        <x:is>
          <x:t xml:space="preserve">Stop searching.</x:t>
        </x:is>
      </x:c>
      <x:c r="H188" s="5" t="inlineStr">
        <x:is>
          <x:t xml:space="preserve">Stop searching.</x:t>
        </x:is>
      </x:c>
      <x:c r="I188" s="5" t="inlineStr">
        <x:is>
          <x:t xml:space="preserve">warning</x:t>
        </x:is>
      </x:c>
      <x:c r="J188" s="5" t="inlineStr">
        <x:is>
          <x:t xml:space="preserve">searching</x:t>
        </x:is>
      </x:c>
      <x:c r="K188" s="5" t="inlineStr">
        <x:is>
          <x:t xml:space="preserve">right_mid</x:t>
        </x:is>
      </x:c>
      <x:c r="L188" s="5" t="inlineStr">
        <x:is>
          <x:t xml:space="preserve">high</x:t>
        </x:is>
      </x:c>
    </x:row>
    <x:row r="189" ht="22" customHeight="1">
      <x:c r="A189" s="5" t="inlineStr">
        <x:is>
          <x:t xml:space="preserve">V10_tutorial_ui</x:t>
        </x:is>
      </x:c>
      <x:c r="B189" s="5" t="inlineStr">
        <x:is>
          <x:t xml:space="preserve">tutorial</x:t>
        </x:is>
      </x:c>
      <x:c r="C189" s="5" t="inlineStr">
        <x:is>
          <x:t xml:space="preserve">2</x:t>
        </x:is>
      </x:c>
      <x:c r="D189" s="5" t="inlineStr">
        <x:is>
          <x:t xml:space="preserve">semantic_compression</x:t>
        </x:is>
      </x:c>
      <x:c r="E189" s="5" t="inlineStr">
        <x:is>
          <x:t xml:space="preserve">00:00:02.000</x:t>
        </x:is>
      </x:c>
      <x:c r="F189" s="5" t="inlineStr">
        <x:is>
          <x:t xml:space="preserve">00:00:04.000</x:t>
        </x:is>
      </x:c>
      <x:c r="G189" s="5" t="inlineStr">
        <x:is>
          <x:t xml:space="preserve">Settings. Notifications.</x:t>
        </x:is>
      </x:c>
      <x:c r="H189" s="5" t="inlineStr">
        <x:is>
          <x:t xml:space="preserve">Settings. Notifications.</x:t>
        </x:is>
      </x:c>
      <x:c r="I189" s="5" t="inlineStr">
        <x:is>
          <x:t xml:space="preserve">sequence</x:t>
        </x:is>
      </x:c>
      <x:c r="J189" s="5" t="inlineStr">
        <x:is>
          <x:t xml:space="preserve">settings;notifications</x:t>
        </x:is>
      </x:c>
      <x:c r="K189" s="5" t="inlineStr">
        <x:is>
          <x:t xml:space="preserve">right_mid</x:t>
        </x:is>
      </x:c>
      <x:c r="L189" s="5" t="inlineStr">
        <x:is>
          <x:t xml:space="preserve">high</x:t>
        </x:is>
      </x:c>
    </x:row>
    <x:row r="190" ht="22" customHeight="1">
      <x:c r="A190" s="5" t="inlineStr">
        <x:is>
          <x:t xml:space="preserve">V10_tutorial_ui</x:t>
        </x:is>
      </x:c>
      <x:c r="B190" s="5" t="inlineStr">
        <x:is>
          <x:t xml:space="preserve">tutorial</x:t>
        </x:is>
      </x:c>
      <x:c r="C190" s="5" t="inlineStr">
        <x:is>
          <x:t xml:space="preserve">3</x:t>
        </x:is>
      </x:c>
      <x:c r="D190" s="5" t="inlineStr">
        <x:is>
          <x:t xml:space="preserve">semantic_compression</x:t>
        </x:is>
      </x:c>
      <x:c r="E190" s="5" t="inlineStr">
        <x:is>
          <x:t xml:space="preserve">00:00:04.000</x:t>
        </x:is>
      </x:c>
      <x:c r="F190" s="5" t="inlineStr">
        <x:is>
          <x:t xml:space="preserve">00:00:06.000</x:t>
        </x:is>
      </x:c>
      <x:c r="G190" s="5" t="inlineStr">
        <x:is>
          <x:t xml:space="preserve">Keep action alerts.</x:t>
        </x:is>
      </x:c>
      <x:c r="H190" s="5" t="inlineStr">
        <x:is>
          <x:t xml:space="preserve">Keep action alerts.</x:t>
        </x:is>
      </x:c>
      <x:c r="I190" s="5" t="inlineStr">
        <x:is>
          <x:t xml:space="preserve">action</x:t>
        </x:is>
      </x:c>
      <x:c r="J190" s="5" t="inlineStr">
        <x:is>
          <x:t xml:space="preserve">alerts</x:t>
        </x:is>
      </x:c>
      <x:c r="K190" s="5" t="inlineStr">
        <x:is>
          <x:t xml:space="preserve">right_mid</x:t>
        </x:is>
      </x:c>
      <x:c r="L190" s="5" t="inlineStr">
        <x:is>
          <x:t xml:space="preserve">high</x:t>
        </x:is>
      </x:c>
    </x:row>
    <x:row r="191" ht="22" customHeight="1">
      <x:c r="A191" s="5" t="inlineStr">
        <x:is>
          <x:t xml:space="preserve">V11_story_burnout</x:t>
        </x:is>
      </x:c>
      <x:c r="B191" s="5" t="inlineStr">
        <x:is>
          <x:t xml:space="preserve">story</x:t>
        </x:is>
      </x:c>
      <x:c r="C191" s="5" t="inlineStr">
        <x:is>
          <x:t xml:space="preserve">1</x:t>
        </x:is>
      </x:c>
      <x:c r="D191" s="5" t="inlineStr">
        <x:is>
          <x:t xml:space="preserve">bcc</x:t>
        </x:is>
      </x:c>
      <x:c r="E191" s="5" t="inlineStr">
        <x:is>
          <x:t xml:space="preserve">00:00:00.000</x:t>
        </x:is>
      </x:c>
      <x:c r="F191" s="5" t="inlineStr">
        <x:is>
          <x:t xml:space="preserve">00:00:02.000</x:t>
        </x:is>
      </x:c>
      <x:c r="G191" s="5" t="inlineStr">
        <x:is>
          <x:t xml:space="preserve">Tiny &lt;b&gt;deci&lt;/b&gt;sions.</x:t>
        </x:is>
      </x:c>
      <x:c r="H191" s="5" t="inlineStr">
        <x:is>
          <x:t xml:space="preserve">Tiny decisions.</x:t>
        </x:is>
      </x:c>
      <x:c r="I191" s="5" t="inlineStr">
        <x:is>
          <x:t xml:space="preserve">diagnosis</x:t>
        </x:is>
      </x:c>
      <x:c r="J191" s="5" t="inlineStr">
        <x:is>
          <x:t xml:space="preserve">decisions</x:t>
        </x:is>
      </x:c>
      <x:c r="K191" s="5" t="inlineStr">
        <x:is>
          <x:t xml:space="preserve">center_upper</x:t>
        </x:is>
      </x:c>
      <x:c r="L191" s="5" t="inlineStr">
        <x:is>
          <x:t xml:space="preserve">low</x:t>
        </x:is>
      </x:c>
    </x:row>
    <x:row r="192" ht="22" customHeight="1">
      <x:c r="A192" s="5" t="inlineStr">
        <x:is>
          <x:t xml:space="preserve">V11_story_burnout</x:t>
        </x:is>
      </x:c>
      <x:c r="B192" s="5" t="inlineStr">
        <x:is>
          <x:t xml:space="preserve">story</x:t>
        </x:is>
      </x:c>
      <x:c r="C192" s="5" t="inlineStr">
        <x:is>
          <x:t xml:space="preserve">2</x:t>
        </x:is>
      </x:c>
      <x:c r="D192" s="5" t="inlineStr">
        <x:is>
          <x:t xml:space="preserve">bcc</x:t>
        </x:is>
      </x:c>
      <x:c r="E192" s="5" t="inlineStr">
        <x:is>
          <x:t xml:space="preserve">00:00:02.000</x:t>
        </x:is>
      </x:c>
      <x:c r="F192" s="5" t="inlineStr">
        <x:is>
          <x:t xml:space="preserve">00:00:04.000</x:t>
        </x:is>
      </x:c>
      <x:c r="G192" s="5" t="inlineStr">
        <x:is>
          <x:t xml:space="preserve">&lt;b&gt;Not&lt;/b&gt; one &lt;b&gt;task&lt;/b&gt;.</x:t>
        </x:is>
      </x:c>
      <x:c r="H192" s="5" t="inlineStr">
        <x:is>
          <x:t xml:space="preserve">Not one task.</x:t>
        </x:is>
      </x:c>
      <x:c r="I192" s="5" t="inlineStr">
        <x:is>
          <x:t xml:space="preserve">false_belief</x:t>
        </x:is>
      </x:c>
      <x:c r="J192" s="5" t="inlineStr">
        <x:is>
          <x:t xml:space="preserve">task</x:t>
        </x:is>
      </x:c>
      <x:c r="K192" s="5" t="inlineStr">
        <x:is>
          <x:t xml:space="preserve">center_upper</x:t>
        </x:is>
      </x:c>
      <x:c r="L192" s="5" t="inlineStr">
        <x:is>
          <x:t xml:space="preserve">low</x:t>
        </x:is>
      </x:c>
    </x:row>
    <x:row r="193" ht="22" customHeight="1">
      <x:c r="A193" s="5" t="inlineStr">
        <x:is>
          <x:t xml:space="preserve">V11_story_burnout</x:t>
        </x:is>
      </x:c>
      <x:c r="B193" s="5" t="inlineStr">
        <x:is>
          <x:t xml:space="preserve">story</x:t>
        </x:is>
      </x:c>
      <x:c r="C193" s="5" t="inlineStr">
        <x:is>
          <x:t xml:space="preserve">3</x:t>
        </x:is>
      </x:c>
      <x:c r="D193" s="5" t="inlineStr">
        <x:is>
          <x:t xml:space="preserve">bcc</x:t>
        </x:is>
      </x:c>
      <x:c r="E193" s="5" t="inlineStr">
        <x:is>
          <x:t xml:space="preserve">00:00:04.000</x:t>
        </x:is>
      </x:c>
      <x:c r="F193" s="5" t="inlineStr">
        <x:is>
          <x:t xml:space="preserve">00:00:06.000</x:t>
        </x:is>
      </x:c>
      <x:c r="G193" s="5" t="inlineStr">
        <x:is>
          <x:t xml:space="preserve">&lt;b&gt;Reduce&lt;/b&gt; &lt;b&gt;deci&lt;/b&gt;sions.</x:t>
        </x:is>
      </x:c>
      <x:c r="H193" s="5" t="inlineStr">
        <x:is>
          <x:t xml:space="preserve">Reduce decisions.</x:t>
        </x:is>
      </x:c>
      <x:c r="I193" s="5" t="inlineStr">
        <x:is>
          <x:t xml:space="preserve">action</x:t>
        </x:is>
      </x:c>
      <x:c r="J193" s="5" t="inlineStr">
        <x:is>
          <x:t xml:space="preserve">decisions</x:t>
        </x:is>
      </x:c>
      <x:c r="K193" s="5" t="inlineStr">
        <x:is>
          <x:t xml:space="preserve">center_upper</x:t>
        </x:is>
      </x:c>
      <x:c r="L193" s="5" t="inlineStr">
        <x:is>
          <x:t xml:space="preserve">medium</x:t>
        </x:is>
      </x:c>
    </x:row>
    <x:row r="194" ht="22" customHeight="1">
      <x:c r="A194" s="5" t="inlineStr">
        <x:is>
          <x:t xml:space="preserve">V11_story_burnout</x:t>
        </x:is>
      </x:c>
      <x:c r="B194" s="5" t="inlineStr">
        <x:is>
          <x:t xml:space="preserve">story</x:t>
        </x:is>
      </x:c>
      <x:c r="C194" s="5" t="inlineStr">
        <x:is>
          <x:t xml:space="preserve">1</x:t>
        </x:is>
      </x:c>
      <x:c r="D194" s="5" t="inlineStr">
        <x:is>
          <x:t xml:space="preserve">bcc_plus</x:t>
        </x:is>
      </x:c>
      <x:c r="E194" s="5" t="inlineStr">
        <x:is>
          <x:t xml:space="preserve">00:00:00.000</x:t>
        </x:is>
      </x:c>
      <x:c r="F194" s="5" t="inlineStr">
        <x:is>
          <x:t xml:space="preserve">00:00:02.000</x:t>
        </x:is>
      </x:c>
      <x:c r="G194" s="5" t="inlineStr">
        <x:is>
          <x:t xml:space="preserve">Tiny &lt;b&gt;deci&lt;/b&gt;sions.</x:t>
        </x:is>
      </x:c>
      <x:c r="H194" s="5" t="inlineStr">
        <x:is>
          <x:t xml:space="preserve">Tiny decisions.</x:t>
        </x:is>
      </x:c>
      <x:c r="I194" s="5" t="inlineStr">
        <x:is>
          <x:t xml:space="preserve">diagnosis</x:t>
        </x:is>
      </x:c>
      <x:c r="J194" s="5" t="inlineStr">
        <x:is>
          <x:t xml:space="preserve">decisions</x:t>
        </x:is>
      </x:c>
      <x:c r="K194" s="5" t="inlineStr">
        <x:is>
          <x:t xml:space="preserve">center_upper</x:t>
        </x:is>
      </x:c>
      <x:c r="L194" s="5" t="inlineStr">
        <x:is>
          <x:t xml:space="preserve">low</x:t>
        </x:is>
      </x:c>
    </x:row>
    <x:row r="195" ht="22" customHeight="1">
      <x:c r="A195" s="5" t="inlineStr">
        <x:is>
          <x:t xml:space="preserve">V11_story_burnout</x:t>
        </x:is>
      </x:c>
      <x:c r="B195" s="5" t="inlineStr">
        <x:is>
          <x:t xml:space="preserve">story</x:t>
        </x:is>
      </x:c>
      <x:c r="C195" s="5" t="inlineStr">
        <x:is>
          <x:t xml:space="preserve">2</x:t>
        </x:is>
      </x:c>
      <x:c r="D195" s="5" t="inlineStr">
        <x:is>
          <x:t xml:space="preserve">bcc_plus</x:t>
        </x:is>
      </x:c>
      <x:c r="E195" s="5" t="inlineStr">
        <x:is>
          <x:t xml:space="preserve">00:00:02.000</x:t>
        </x:is>
      </x:c>
      <x:c r="F195" s="5" t="inlineStr">
        <x:is>
          <x:t xml:space="preserve">00:00:04.000</x:t>
        </x:is>
      </x:c>
      <x:c r="G195" s="5" t="inlineStr">
        <x:is>
          <x:t xml:space="preserve">&lt;b&gt;Not&lt;/b&gt; one &lt;b&gt;task&lt;/b&gt;.</x:t>
        </x:is>
      </x:c>
      <x:c r="H195" s="5" t="inlineStr">
        <x:is>
          <x:t xml:space="preserve">Not one task.</x:t>
        </x:is>
      </x:c>
      <x:c r="I195" s="5" t="inlineStr">
        <x:is>
          <x:t xml:space="preserve">false_belief</x:t>
        </x:is>
      </x:c>
      <x:c r="J195" s="5" t="inlineStr">
        <x:is>
          <x:t xml:space="preserve">task</x:t>
        </x:is>
      </x:c>
      <x:c r="K195" s="5" t="inlineStr">
        <x:is>
          <x:t xml:space="preserve">center_upper</x:t>
        </x:is>
      </x:c>
      <x:c r="L195" s="5" t="inlineStr">
        <x:is>
          <x:t xml:space="preserve">low</x:t>
        </x:is>
      </x:c>
    </x:row>
    <x:row r="196" ht="22" customHeight="1">
      <x:c r="A196" s="5" t="inlineStr">
        <x:is>
          <x:t xml:space="preserve">V11_story_burnout</x:t>
        </x:is>
      </x:c>
      <x:c r="B196" s="5" t="inlineStr">
        <x:is>
          <x:t xml:space="preserve">story</x:t>
        </x:is>
      </x:c>
      <x:c r="C196" s="5" t="inlineStr">
        <x:is>
          <x:t xml:space="preserve">3</x:t>
        </x:is>
      </x:c>
      <x:c r="D196" s="5" t="inlineStr">
        <x:is>
          <x:t xml:space="preserve">bcc_plus</x:t>
        </x:is>
      </x:c>
      <x:c r="E196" s="5" t="inlineStr">
        <x:is>
          <x:t xml:space="preserve">00:00:04.000</x:t>
        </x:is>
      </x:c>
      <x:c r="F196" s="5" t="inlineStr">
        <x:is>
          <x:t xml:space="preserve">00:00:06.000</x:t>
        </x:is>
      </x:c>
      <x:c r="G196" s="5" t="inlineStr">
        <x:is>
          <x:t xml:space="preserve">&lt;b&gt;Reduce&lt;/b&gt; &lt;b&gt;deci&lt;/b&gt;sions.</x:t>
        </x:is>
      </x:c>
      <x:c r="H196" s="5" t="inlineStr">
        <x:is>
          <x:t xml:space="preserve">Reduce decisions.</x:t>
        </x:is>
      </x:c>
      <x:c r="I196" s="5" t="inlineStr">
        <x:is>
          <x:t xml:space="preserve">action</x:t>
        </x:is>
      </x:c>
      <x:c r="J196" s="5" t="inlineStr">
        <x:is>
          <x:t xml:space="preserve">decisions</x:t>
        </x:is>
      </x:c>
      <x:c r="K196" s="5" t="inlineStr">
        <x:is>
          <x:t xml:space="preserve">center_upper</x:t>
        </x:is>
      </x:c>
      <x:c r="L196" s="5" t="inlineStr">
        <x:is>
          <x:t xml:space="preserve">medium</x:t>
        </x:is>
      </x:c>
    </x:row>
    <x:row r="197" ht="22" customHeight="1">
      <x:c r="A197" s="5" t="inlineStr">
        <x:is>
          <x:t xml:space="preserve">V11_story_burnout</x:t>
        </x:is>
      </x:c>
      <x:c r="B197" s="5" t="inlineStr">
        <x:is>
          <x:t xml:space="preserve">story</x:t>
        </x:is>
      </x:c>
      <x:c r="C197" s="5" t="inlineStr">
        <x:is>
          <x:t xml:space="preserve">1</x:t>
        </x:is>
      </x:c>
      <x:c r="D197" s="5" t="inlineStr">
        <x:is>
          <x:t xml:space="preserve">full_transcript</x:t>
        </x:is>
      </x:c>
      <x:c r="E197" s="5" t="inlineStr">
        <x:is>
          <x:t xml:space="preserve">00:00:00.000</x:t>
        </x:is>
      </x:c>
      <x:c r="F197" s="5" t="inlineStr">
        <x:is>
          <x:t xml:space="preserve">00:00:02.000</x:t>
        </x:is>
      </x:c>
      <x:c r="G197" s="5" t="inlineStr">
        <x:is>
          <x:t xml:space="preserve">Burnout often hides inside tiny decisions.</x:t>
        </x:is>
      </x:c>
      <x:c r="H197" s="5" t="inlineStr">
        <x:is>
          <x:t xml:space="preserve">Burnout often hides inside tiny decisions.</x:t>
        </x:is>
      </x:c>
      <x:c r="I197" s="5" t="inlineStr">
        <x:is>
          <x:t xml:space="preserve">diagnosis</x:t>
        </x:is>
      </x:c>
      <x:c r="J197" s="5" t="inlineStr">
        <x:is>
          <x:t xml:space="preserve">decisions</x:t>
        </x:is>
      </x:c>
      <x:c r="K197" s="5" t="inlineStr">
        <x:is>
          <x:t xml:space="preserve">center_upper</x:t>
        </x:is>
      </x:c>
      <x:c r="L197" s="5" t="inlineStr">
        <x:is>
          <x:t xml:space="preserve">low</x:t>
        </x:is>
      </x:c>
    </x:row>
    <x:row r="198" ht="22" customHeight="1">
      <x:c r="A198" s="5" t="inlineStr">
        <x:is>
          <x:t xml:space="preserve">V11_story_burnout</x:t>
        </x:is>
      </x:c>
      <x:c r="B198" s="5" t="inlineStr">
        <x:is>
          <x:t xml:space="preserve">story</x:t>
        </x:is>
      </x:c>
      <x:c r="C198" s="5" t="inlineStr">
        <x:is>
          <x:t xml:space="preserve">2</x:t>
        </x:is>
      </x:c>
      <x:c r="D198" s="5" t="inlineStr">
        <x:is>
          <x:t xml:space="preserve">full_transcript</x:t>
        </x:is>
      </x:c>
      <x:c r="E198" s="5" t="inlineStr">
        <x:is>
          <x:t xml:space="preserve">00:00:02.000</x:t>
        </x:is>
      </x:c>
      <x:c r="F198" s="5" t="inlineStr">
        <x:is>
          <x:t xml:space="preserve">00:00:04.000</x:t>
        </x:is>
      </x:c>
      <x:c r="G198" s="5" t="inlineStr">
        <x:is>
          <x:t xml:space="preserve">Not one big task, but a hundred unresolved choices.</x:t>
        </x:is>
      </x:c>
      <x:c r="H198" s="5" t="inlineStr">
        <x:is>
          <x:t xml:space="preserve">Not one big task, but a hundred unresolved choices.</x:t>
        </x:is>
      </x:c>
      <x:c r="I198" s="5" t="inlineStr">
        <x:is>
          <x:t xml:space="preserve">false_belief</x:t>
        </x:is>
      </x:c>
      <x:c r="J198" s="5" t="inlineStr">
        <x:is>
          <x:t xml:space="preserve">task</x:t>
        </x:is>
      </x:c>
      <x:c r="K198" s="5" t="inlineStr">
        <x:is>
          <x:t xml:space="preserve">center_upper</x:t>
        </x:is>
      </x:c>
      <x:c r="L198" s="5" t="inlineStr">
        <x:is>
          <x:t xml:space="preserve">low</x:t>
        </x:is>
      </x:c>
    </x:row>
    <x:row r="199" ht="22" customHeight="1">
      <x:c r="A199" s="5" t="inlineStr">
        <x:is>
          <x:t xml:space="preserve">V11_story_burnout</x:t>
        </x:is>
      </x:c>
      <x:c r="B199" s="5" t="inlineStr">
        <x:is>
          <x:t xml:space="preserve">story</x:t>
        </x:is>
      </x:c>
      <x:c r="C199" s="5" t="inlineStr">
        <x:is>
          <x:t xml:space="preserve">3</x:t>
        </x:is>
      </x:c>
      <x:c r="D199" s="5" t="inlineStr">
        <x:is>
          <x:t xml:space="preserve">full_transcript</x:t>
        </x:is>
      </x:c>
      <x:c r="E199" s="5" t="inlineStr">
        <x:is>
          <x:t xml:space="preserve">00:00:04.000</x:t>
        </x:is>
      </x:c>
      <x:c r="F199" s="5" t="inlineStr">
        <x:is>
          <x:t xml:space="preserve">00:00:06.000</x:t>
        </x:is>
      </x:c>
      <x:c r="G199" s="5" t="inlineStr">
        <x:is>
          <x:t xml:space="preserve">Reduce the decisions before you reduce the ambition.</x:t>
        </x:is>
      </x:c>
      <x:c r="H199" s="5" t="inlineStr">
        <x:is>
          <x:t xml:space="preserve">Reduce the decisions before you reduce the ambition.</x:t>
        </x:is>
      </x:c>
      <x:c r="I199" s="5" t="inlineStr">
        <x:is>
          <x:t xml:space="preserve">action</x:t>
        </x:is>
      </x:c>
      <x:c r="J199" s="5" t="inlineStr">
        <x:is>
          <x:t xml:space="preserve">decisions</x:t>
        </x:is>
      </x:c>
      <x:c r="K199" s="5" t="inlineStr">
        <x:is>
          <x:t xml:space="preserve">center_upper</x:t>
        </x:is>
      </x:c>
      <x:c r="L199" s="5" t="inlineStr">
        <x:is>
          <x:t xml:space="preserve">medium</x:t>
        </x:is>
      </x:c>
    </x:row>
    <x:row r="200" ht="36" customHeight="1">
      <x:c r="A200" s="5" t="inlineStr">
        <x:is>
          <x:t xml:space="preserve">V11_story_burnout</x:t>
        </x:is>
      </x:c>
      <x:c r="B200" s="5" t="inlineStr">
        <x:is>
          <x:t xml:space="preserve">story</x:t>
        </x:is>
      </x:c>
      <x:c r="C200" s="5" t="inlineStr">
        <x:is>
          <x:t xml:space="preserve">1</x:t>
        </x:is>
      </x:c>
      <x:c r="D200" s="5" t="inlineStr">
        <x:is>
          <x:t xml:space="preserve">heavy_bionic</x:t>
        </x:is>
      </x:c>
      <x:c r="E200" s="5" t="inlineStr">
        <x:is>
          <x:t xml:space="preserve">00:00:00.000</x:t>
        </x:is>
      </x:c>
      <x:c r="F200" s="5" t="inlineStr">
        <x:is>
          <x:t xml:space="preserve">00:00:02.000</x:t>
        </x:is>
      </x:c>
      <x:c r="G200" s="5" t="inlineStr">
        <x:is>
          <x:t xml:space="preserve">&lt;b&gt;Bur&lt;/b&gt;nout &lt;b&gt;oft&lt;/b&gt;en &lt;b&gt;hid&lt;/b&gt;es &lt;b&gt;ins&lt;/b&gt;ide &lt;b&gt;tiny&lt;/b&gt; &lt;b&gt;deci&lt;/b&gt;sions.</x:t>
        </x:is>
      </x:c>
      <x:c r="H200" s="5" t="inlineStr">
        <x:is>
          <x:t xml:space="preserve">Burnout often hides inside tiny decisions.</x:t>
        </x:is>
      </x:c>
      <x:c r="I200" s="5" t="inlineStr">
        <x:is>
          <x:t xml:space="preserve">diagnosis</x:t>
        </x:is>
      </x:c>
      <x:c r="J200" s="5" t="inlineStr">
        <x:is>
          <x:t xml:space="preserve">decisions</x:t>
        </x:is>
      </x:c>
      <x:c r="K200" s="5" t="inlineStr">
        <x:is>
          <x:t xml:space="preserve">center_upper</x:t>
        </x:is>
      </x:c>
      <x:c r="L200" s="5" t="inlineStr">
        <x:is>
          <x:t xml:space="preserve">low</x:t>
        </x:is>
      </x:c>
    </x:row>
    <x:row r="201" ht="36" customHeight="1">
      <x:c r="A201" s="5" t="inlineStr">
        <x:is>
          <x:t xml:space="preserve">V11_story_burnout</x:t>
        </x:is>
      </x:c>
      <x:c r="B201" s="5" t="inlineStr">
        <x:is>
          <x:t xml:space="preserve">story</x:t>
        </x:is>
      </x:c>
      <x:c r="C201" s="5" t="inlineStr">
        <x:is>
          <x:t xml:space="preserve">2</x:t>
        </x:is>
      </x:c>
      <x:c r="D201" s="5" t="inlineStr">
        <x:is>
          <x:t xml:space="preserve">heavy_bionic</x:t>
        </x:is>
      </x:c>
      <x:c r="E201" s="5" t="inlineStr">
        <x:is>
          <x:t xml:space="preserve">00:00:02.000</x:t>
        </x:is>
      </x:c>
      <x:c r="F201" s="5" t="inlineStr">
        <x:is>
          <x:t xml:space="preserve">00:00:04.000</x:t>
        </x:is>
      </x:c>
      <x:c r="G201" s="5" t="inlineStr">
        <x:is>
          <x:t xml:space="preserve">&lt;b&gt;Not&lt;/b&gt; one big &lt;b&gt;task&lt;/b&gt;, but a &lt;b&gt;hun&lt;/b&gt;dred &lt;b&gt;unre&lt;/b&gt;solved &lt;b&gt;cho&lt;/b&gt;ices.</x:t>
        </x:is>
      </x:c>
      <x:c r="H201" s="5" t="inlineStr">
        <x:is>
          <x:t xml:space="preserve">Not one big task, but a hundred unresolved choices.</x:t>
        </x:is>
      </x:c>
      <x:c r="I201" s="5" t="inlineStr">
        <x:is>
          <x:t xml:space="preserve">false_belief</x:t>
        </x:is>
      </x:c>
      <x:c r="J201" s="5" t="inlineStr">
        <x:is>
          <x:t xml:space="preserve">task</x:t>
        </x:is>
      </x:c>
      <x:c r="K201" s="5" t="inlineStr">
        <x:is>
          <x:t xml:space="preserve">center_upper</x:t>
        </x:is>
      </x:c>
      <x:c r="L201" s="5" t="inlineStr">
        <x:is>
          <x:t xml:space="preserve">low</x:t>
        </x:is>
      </x:c>
    </x:row>
    <x:row r="202" ht="36" customHeight="1">
      <x:c r="A202" s="5" t="inlineStr">
        <x:is>
          <x:t xml:space="preserve">V11_story_burnout</x:t>
        </x:is>
      </x:c>
      <x:c r="B202" s="5" t="inlineStr">
        <x:is>
          <x:t xml:space="preserve">story</x:t>
        </x:is>
      </x:c>
      <x:c r="C202" s="5" t="inlineStr">
        <x:is>
          <x:t xml:space="preserve">3</x:t>
        </x:is>
      </x:c>
      <x:c r="D202" s="5" t="inlineStr">
        <x:is>
          <x:t xml:space="preserve">heavy_bionic</x:t>
        </x:is>
      </x:c>
      <x:c r="E202" s="5" t="inlineStr">
        <x:is>
          <x:t xml:space="preserve">00:00:04.000</x:t>
        </x:is>
      </x:c>
      <x:c r="F202" s="5" t="inlineStr">
        <x:is>
          <x:t xml:space="preserve">00:00:06.000</x:t>
        </x:is>
      </x:c>
      <x:c r="G202" s="5" t="inlineStr">
        <x:is>
          <x:t xml:space="preserve">&lt;b&gt;Reduce&lt;/b&gt; the &lt;b&gt;deci&lt;/b&gt;sions &lt;b&gt;before&lt;/b&gt; you &lt;b&gt;reduce&lt;/b&gt; the &lt;b&gt;ambi&lt;/b&gt;tion.</x:t>
        </x:is>
      </x:c>
      <x:c r="H202" s="5" t="inlineStr">
        <x:is>
          <x:t xml:space="preserve">Reduce the decisions before you reduce the ambition.</x:t>
        </x:is>
      </x:c>
      <x:c r="I202" s="5" t="inlineStr">
        <x:is>
          <x:t xml:space="preserve">action</x:t>
        </x:is>
      </x:c>
      <x:c r="J202" s="5" t="inlineStr">
        <x:is>
          <x:t xml:space="preserve">decisions</x:t>
        </x:is>
      </x:c>
      <x:c r="K202" s="5" t="inlineStr">
        <x:is>
          <x:t xml:space="preserve">center_upper</x:t>
        </x:is>
      </x:c>
      <x:c r="L202" s="5" t="inlineStr">
        <x:is>
          <x:t xml:space="preserve">medium</x:t>
        </x:is>
      </x:c>
    </x:row>
    <x:row r="203" ht="22" customHeight="1">
      <x:c r="A203" s="5" t="inlineStr">
        <x:is>
          <x:t xml:space="preserve">V11_story_burnout</x:t>
        </x:is>
      </x:c>
      <x:c r="B203" s="5" t="inlineStr">
        <x:is>
          <x:t xml:space="preserve">story</x:t>
        </x:is>
      </x:c>
      <x:c r="C203" s="5" t="inlineStr">
        <x:is>
          <x:t xml:space="preserve">1</x:t>
        </x:is>
      </x:c>
      <x:c r="D203" s="5" t="inlineStr">
        <x:is>
          <x:t xml:space="preserve">keyword_highlight</x:t>
        </x:is>
      </x:c>
      <x:c r="E203" s="5" t="inlineStr">
        <x:is>
          <x:t xml:space="preserve">00:00:00.000</x:t>
        </x:is>
      </x:c>
      <x:c r="F203" s="5" t="inlineStr">
        <x:is>
          <x:t xml:space="preserve">00:00:02.000</x:t>
        </x:is>
      </x:c>
      <x:c r="G203" s="5" t="inlineStr">
        <x:is>
          <x:t xml:space="preserve">Burnout often hides inside tiny &lt;b&gt;decisions&lt;/b&gt;.</x:t>
        </x:is>
      </x:c>
      <x:c r="H203" s="5" t="inlineStr">
        <x:is>
          <x:t xml:space="preserve">Burnout often hides inside tiny decisions.</x:t>
        </x:is>
      </x:c>
      <x:c r="I203" s="5" t="inlineStr">
        <x:is>
          <x:t xml:space="preserve">diagnosis</x:t>
        </x:is>
      </x:c>
      <x:c r="J203" s="5" t="inlineStr">
        <x:is>
          <x:t xml:space="preserve">decisions</x:t>
        </x:is>
      </x:c>
      <x:c r="K203" s="5" t="inlineStr">
        <x:is>
          <x:t xml:space="preserve">center_upper</x:t>
        </x:is>
      </x:c>
      <x:c r="L203" s="5" t="inlineStr">
        <x:is>
          <x:t xml:space="preserve">low</x:t>
        </x:is>
      </x:c>
    </x:row>
    <x:row r="204" ht="22" customHeight="1">
      <x:c r="A204" s="5" t="inlineStr">
        <x:is>
          <x:t xml:space="preserve">V11_story_burnout</x:t>
        </x:is>
      </x:c>
      <x:c r="B204" s="5" t="inlineStr">
        <x:is>
          <x:t xml:space="preserve">story</x:t>
        </x:is>
      </x:c>
      <x:c r="C204" s="5" t="inlineStr">
        <x:is>
          <x:t xml:space="preserve">2</x:t>
        </x:is>
      </x:c>
      <x:c r="D204" s="5" t="inlineStr">
        <x:is>
          <x:t xml:space="preserve">keyword_highlight</x:t>
        </x:is>
      </x:c>
      <x:c r="E204" s="5" t="inlineStr">
        <x:is>
          <x:t xml:space="preserve">00:00:02.000</x:t>
        </x:is>
      </x:c>
      <x:c r="F204" s="5" t="inlineStr">
        <x:is>
          <x:t xml:space="preserve">00:00:04.000</x:t>
        </x:is>
      </x:c>
      <x:c r="G204" s="5" t="inlineStr">
        <x:is>
          <x:t xml:space="preserve">Not one big &lt;b&gt;task&lt;/b&gt;, but a hundred unresolved choices.</x:t>
        </x:is>
      </x:c>
      <x:c r="H204" s="5" t="inlineStr">
        <x:is>
          <x:t xml:space="preserve">Not one big task, but a hundred unresolved choices.</x:t>
        </x:is>
      </x:c>
      <x:c r="I204" s="5" t="inlineStr">
        <x:is>
          <x:t xml:space="preserve">false_belief</x:t>
        </x:is>
      </x:c>
      <x:c r="J204" s="5" t="inlineStr">
        <x:is>
          <x:t xml:space="preserve">task</x:t>
        </x:is>
      </x:c>
      <x:c r="K204" s="5" t="inlineStr">
        <x:is>
          <x:t xml:space="preserve">center_upper</x:t>
        </x:is>
      </x:c>
      <x:c r="L204" s="5" t="inlineStr">
        <x:is>
          <x:t xml:space="preserve">low</x:t>
        </x:is>
      </x:c>
    </x:row>
    <x:row r="205" ht="22" customHeight="1">
      <x:c r="A205" s="5" t="inlineStr">
        <x:is>
          <x:t xml:space="preserve">V11_story_burnout</x:t>
        </x:is>
      </x:c>
      <x:c r="B205" s="5" t="inlineStr">
        <x:is>
          <x:t xml:space="preserve">story</x:t>
        </x:is>
      </x:c>
      <x:c r="C205" s="5" t="inlineStr">
        <x:is>
          <x:t xml:space="preserve">3</x:t>
        </x:is>
      </x:c>
      <x:c r="D205" s="5" t="inlineStr">
        <x:is>
          <x:t xml:space="preserve">keyword_highlight</x:t>
        </x:is>
      </x:c>
      <x:c r="E205" s="5" t="inlineStr">
        <x:is>
          <x:t xml:space="preserve">00:00:04.000</x:t>
        </x:is>
      </x:c>
      <x:c r="F205" s="5" t="inlineStr">
        <x:is>
          <x:t xml:space="preserve">00:00:06.000</x:t>
        </x:is>
      </x:c>
      <x:c r="G205" s="5" t="inlineStr">
        <x:is>
          <x:t xml:space="preserve">Reduce the &lt;b&gt;decisions&lt;/b&gt; before you reduce the ambition.</x:t>
        </x:is>
      </x:c>
      <x:c r="H205" s="5" t="inlineStr">
        <x:is>
          <x:t xml:space="preserve">Reduce the decisions before you reduce the ambition.</x:t>
        </x:is>
      </x:c>
      <x:c r="I205" s="5" t="inlineStr">
        <x:is>
          <x:t xml:space="preserve">action</x:t>
        </x:is>
      </x:c>
      <x:c r="J205" s="5" t="inlineStr">
        <x:is>
          <x:t xml:space="preserve">decisions</x:t>
        </x:is>
      </x:c>
      <x:c r="K205" s="5" t="inlineStr">
        <x:is>
          <x:t xml:space="preserve">center_upper</x:t>
        </x:is>
      </x:c>
      <x:c r="L205" s="5" t="inlineStr">
        <x:is>
          <x:t xml:space="preserve">medium</x:t>
        </x:is>
      </x:c>
    </x:row>
    <x:row r="206" ht="22" customHeight="1">
      <x:c r="A206" s="5" t="inlineStr">
        <x:is>
          <x:t xml:space="preserve">V11_story_burnout</x:t>
        </x:is>
      </x:c>
      <x:c r="B206" s="5" t="inlineStr">
        <x:is>
          <x:t xml:space="preserve">story</x:t>
        </x:is>
      </x:c>
      <x:c r="C206" s="5" t="inlineStr">
        <x:is>
          <x:t xml:space="preserve">1</x:t>
        </x:is>
      </x:c>
      <x:c r="D206" s="5" t="inlineStr">
        <x:is>
          <x:t xml:space="preserve">semantic_compression</x:t>
        </x:is>
      </x:c>
      <x:c r="E206" s="5" t="inlineStr">
        <x:is>
          <x:t xml:space="preserve">00:00:00.000</x:t>
        </x:is>
      </x:c>
      <x:c r="F206" s="5" t="inlineStr">
        <x:is>
          <x:t xml:space="preserve">00:00:02.000</x:t>
        </x:is>
      </x:c>
      <x:c r="G206" s="5" t="inlineStr">
        <x:is>
          <x:t xml:space="preserve">Tiny decisions.</x:t>
        </x:is>
      </x:c>
      <x:c r="H206" s="5" t="inlineStr">
        <x:is>
          <x:t xml:space="preserve">Tiny decisions.</x:t>
        </x:is>
      </x:c>
      <x:c r="I206" s="5" t="inlineStr">
        <x:is>
          <x:t xml:space="preserve">diagnosis</x:t>
        </x:is>
      </x:c>
      <x:c r="J206" s="5" t="inlineStr">
        <x:is>
          <x:t xml:space="preserve">decisions</x:t>
        </x:is>
      </x:c>
      <x:c r="K206" s="5" t="inlineStr">
        <x:is>
          <x:t xml:space="preserve">center_upper</x:t>
        </x:is>
      </x:c>
      <x:c r="L206" s="5" t="inlineStr">
        <x:is>
          <x:t xml:space="preserve">low</x:t>
        </x:is>
      </x:c>
    </x:row>
    <x:row r="207" ht="22" customHeight="1">
      <x:c r="A207" s="5" t="inlineStr">
        <x:is>
          <x:t xml:space="preserve">V11_story_burnout</x:t>
        </x:is>
      </x:c>
      <x:c r="B207" s="5" t="inlineStr">
        <x:is>
          <x:t xml:space="preserve">story</x:t>
        </x:is>
      </x:c>
      <x:c r="C207" s="5" t="inlineStr">
        <x:is>
          <x:t xml:space="preserve">2</x:t>
        </x:is>
      </x:c>
      <x:c r="D207" s="5" t="inlineStr">
        <x:is>
          <x:t xml:space="preserve">semantic_compression</x:t>
        </x:is>
      </x:c>
      <x:c r="E207" s="5" t="inlineStr">
        <x:is>
          <x:t xml:space="preserve">00:00:02.000</x:t>
        </x:is>
      </x:c>
      <x:c r="F207" s="5" t="inlineStr">
        <x:is>
          <x:t xml:space="preserve">00:00:04.000</x:t>
        </x:is>
      </x:c>
      <x:c r="G207" s="5" t="inlineStr">
        <x:is>
          <x:t xml:space="preserve">Not one task.</x:t>
        </x:is>
      </x:c>
      <x:c r="H207" s="5" t="inlineStr">
        <x:is>
          <x:t xml:space="preserve">Not one task.</x:t>
        </x:is>
      </x:c>
      <x:c r="I207" s="5" t="inlineStr">
        <x:is>
          <x:t xml:space="preserve">false_belief</x:t>
        </x:is>
      </x:c>
      <x:c r="J207" s="5" t="inlineStr">
        <x:is>
          <x:t xml:space="preserve">task</x:t>
        </x:is>
      </x:c>
      <x:c r="K207" s="5" t="inlineStr">
        <x:is>
          <x:t xml:space="preserve">center_upper</x:t>
        </x:is>
      </x:c>
      <x:c r="L207" s="5" t="inlineStr">
        <x:is>
          <x:t xml:space="preserve">low</x:t>
        </x:is>
      </x:c>
    </x:row>
    <x:row r="208" ht="22" customHeight="1">
      <x:c r="A208" s="5" t="inlineStr">
        <x:is>
          <x:t xml:space="preserve">V11_story_burnout</x:t>
        </x:is>
      </x:c>
      <x:c r="B208" s="5" t="inlineStr">
        <x:is>
          <x:t xml:space="preserve">story</x:t>
        </x:is>
      </x:c>
      <x:c r="C208" s="5" t="inlineStr">
        <x:is>
          <x:t xml:space="preserve">3</x:t>
        </x:is>
      </x:c>
      <x:c r="D208" s="5" t="inlineStr">
        <x:is>
          <x:t xml:space="preserve">semantic_compression</x:t>
        </x:is>
      </x:c>
      <x:c r="E208" s="5" t="inlineStr">
        <x:is>
          <x:t xml:space="preserve">00:00:04.000</x:t>
        </x:is>
      </x:c>
      <x:c r="F208" s="5" t="inlineStr">
        <x:is>
          <x:t xml:space="preserve">00:00:06.000</x:t>
        </x:is>
      </x:c>
      <x:c r="G208" s="5" t="inlineStr">
        <x:is>
          <x:t xml:space="preserve">Reduce decisions.</x:t>
        </x:is>
      </x:c>
      <x:c r="H208" s="5" t="inlineStr">
        <x:is>
          <x:t xml:space="preserve">Reduce decisions.</x:t>
        </x:is>
      </x:c>
      <x:c r="I208" s="5" t="inlineStr">
        <x:is>
          <x:t xml:space="preserve">action</x:t>
        </x:is>
      </x:c>
      <x:c r="J208" s="5" t="inlineStr">
        <x:is>
          <x:t xml:space="preserve">decisions</x:t>
        </x:is>
      </x:c>
      <x:c r="K208" s="5" t="inlineStr">
        <x:is>
          <x:t xml:space="preserve">center_upper</x:t>
        </x:is>
      </x:c>
      <x:c r="L208" s="5" t="inlineStr">
        <x:is>
          <x:t xml:space="preserve">medium</x:t>
        </x:is>
      </x:c>
    </x:row>
    <x:row r="209" ht="22" customHeight="1">
      <x:c r="A209" s="5" t="inlineStr">
        <x:is>
          <x:t xml:space="preserve">V12_creativity_constraints</x:t>
        </x:is>
      </x:c>
      <x:c r="B209" s="5" t="inlineStr">
        <x:is>
          <x:t xml:space="preserve">creativity</x:t>
        </x:is>
      </x:c>
      <x:c r="C209" s="5" t="inlineStr">
        <x:is>
          <x:t xml:space="preserve">1</x:t>
        </x:is>
      </x:c>
      <x:c r="D209" s="5" t="inlineStr">
        <x:is>
          <x:t xml:space="preserve">bcc</x:t>
        </x:is>
      </x:c>
      <x:c r="E209" s="5" t="inlineStr">
        <x:is>
          <x:t xml:space="preserve">00:00:00.000</x:t>
        </x:is>
      </x:c>
      <x:c r="F209" s="5" t="inlineStr">
        <x:is>
          <x:t xml:space="preserve">00:00:02.000</x:t>
        </x:is>
      </x:c>
      <x:c r="G209" s="5" t="inlineStr">
        <x:is>
          <x:t xml:space="preserve">&lt;b&gt;Not&lt;/b&gt; &lt;b&gt;fre&lt;/b&gt;edom.</x:t>
        </x:is>
      </x:c>
      <x:c r="H209" s="5" t="inlineStr">
        <x:is>
          <x:t xml:space="preserve">Not freedom.</x:t>
        </x:is>
      </x:c>
      <x:c r="I209" s="5" t="inlineStr">
        <x:is>
          <x:t xml:space="preserve">false_belief</x:t>
        </x:is>
      </x:c>
      <x:c r="J209" s="5" t="inlineStr">
        <x:is>
          <x:t xml:space="preserve">freedom</x:t>
        </x:is>
      </x:c>
      <x:c r="K209" s="5" t="inlineStr">
        <x:is>
          <x:t xml:space="preserve">center_upper</x:t>
        </x:is>
      </x:c>
      <x:c r="L209" s="5" t="inlineStr">
        <x:is>
          <x:t xml:space="preserve">low</x:t>
        </x:is>
      </x:c>
    </x:row>
    <x:row r="210" ht="22" customHeight="1">
      <x:c r="A210" s="5" t="inlineStr">
        <x:is>
          <x:t xml:space="preserve">V12_creativity_constraints</x:t>
        </x:is>
      </x:c>
      <x:c r="B210" s="5" t="inlineStr">
        <x:is>
          <x:t xml:space="preserve">creativity</x:t>
        </x:is>
      </x:c>
      <x:c r="C210" s="5" t="inlineStr">
        <x:is>
          <x:t xml:space="preserve">2</x:t>
        </x:is>
      </x:c>
      <x:c r="D210" s="5" t="inlineStr">
        <x:is>
          <x:t xml:space="preserve">bcc</x:t>
        </x:is>
      </x:c>
      <x:c r="E210" s="5" t="inlineStr">
        <x:is>
          <x:t xml:space="preserve">00:00:02.000</x:t>
        </x:is>
      </x:c>
      <x:c r="F210" s="5" t="inlineStr">
        <x:is>
          <x:t xml:space="preserve">00:00:04.000</x:t>
        </x:is>
      </x:c>
      <x:c r="G210" s="5" t="inlineStr">
        <x:is>
          <x:t xml:space="preserve">Useful &lt;b&gt;const&lt;/b&gt;raints.</x:t>
        </x:is>
      </x:c>
      <x:c r="H210" s="5" t="inlineStr">
        <x:is>
          <x:t xml:space="preserve">Useful constraints.</x:t>
        </x:is>
      </x:c>
      <x:c r="I210" s="5" t="inlineStr">
        <x:is>
          <x:t xml:space="preserve">correction</x:t>
        </x:is>
      </x:c>
      <x:c r="J210" s="5" t="inlineStr">
        <x:is>
          <x:t xml:space="preserve">constraints</x:t>
        </x:is>
      </x:c>
      <x:c r="K210" s="5" t="inlineStr">
        <x:is>
          <x:t xml:space="preserve">center_upper</x:t>
        </x:is>
      </x:c>
      <x:c r="L210" s="5" t="inlineStr">
        <x:is>
          <x:t xml:space="preserve">low</x:t>
        </x:is>
      </x:c>
    </x:row>
    <x:row r="211" ht="22" customHeight="1">
      <x:c r="A211" s="5" t="inlineStr">
        <x:is>
          <x:t xml:space="preserve">V12_creativity_constraints</x:t>
        </x:is>
      </x:c>
      <x:c r="B211" s="5" t="inlineStr">
        <x:is>
          <x:t xml:space="preserve">creativity</x:t>
        </x:is>
      </x:c>
      <x:c r="C211" s="5" t="inlineStr">
        <x:is>
          <x:t xml:space="preserve">3</x:t>
        </x:is>
      </x:c>
      <x:c r="D211" s="5" t="inlineStr">
        <x:is>
          <x:t xml:space="preserve">bcc</x:t>
        </x:is>
      </x:c>
      <x:c r="E211" s="5" t="inlineStr">
        <x:is>
          <x:t xml:space="preserve">00:00:04.000</x:t>
        </x:is>
      </x:c>
      <x:c r="F211" s="5" t="inlineStr">
        <x:is>
          <x:t xml:space="preserve">00:00:06.000</x:t>
        </x:is>
      </x:c>
      <x:c r="G211" s="5" t="inlineStr">
        <x:is>
          <x:t xml:space="preserve">&lt;b&gt;For&lt;/b&gt;mat. &lt;b&gt;Dead&lt;/b&gt;line. &lt;b&gt;Ver&lt;/b&gt;sion.</x:t>
        </x:is>
      </x:c>
      <x:c r="H211" s="5" t="inlineStr">
        <x:is>
          <x:t xml:space="preserve">Format. Deadline. Version.</x:t>
        </x:is>
      </x:c>
      <x:c r="I211" s="5" t="inlineStr">
        <x:is>
          <x:t xml:space="preserve">action</x:t>
        </x:is>
      </x:c>
      <x:c r="J211" s="5" t="inlineStr">
        <x:is>
          <x:t xml:space="preserve">format;deadline;version</x:t>
        </x:is>
      </x:c>
      <x:c r="K211" s="5" t="inlineStr">
        <x:is>
          <x:t xml:space="preserve">center_upper</x:t>
        </x:is>
      </x:c>
      <x:c r="L211" s="5" t="inlineStr">
        <x:is>
          <x:t xml:space="preserve">medium</x:t>
        </x:is>
      </x:c>
    </x:row>
    <x:row r="212" ht="22" customHeight="1">
      <x:c r="A212" s="5" t="inlineStr">
        <x:is>
          <x:t xml:space="preserve">V12_creativity_constraints</x:t>
        </x:is>
      </x:c>
      <x:c r="B212" s="5" t="inlineStr">
        <x:is>
          <x:t xml:space="preserve">creativity</x:t>
        </x:is>
      </x:c>
      <x:c r="C212" s="5" t="inlineStr">
        <x:is>
          <x:t xml:space="preserve">1</x:t>
        </x:is>
      </x:c>
      <x:c r="D212" s="5" t="inlineStr">
        <x:is>
          <x:t xml:space="preserve">bcc_plus</x:t>
        </x:is>
      </x:c>
      <x:c r="E212" s="5" t="inlineStr">
        <x:is>
          <x:t xml:space="preserve">00:00:00.000</x:t>
        </x:is>
      </x:c>
      <x:c r="F212" s="5" t="inlineStr">
        <x:is>
          <x:t xml:space="preserve">00:00:02.000</x:t>
        </x:is>
      </x:c>
      <x:c r="G212" s="5" t="inlineStr">
        <x:is>
          <x:t xml:space="preserve">&lt;b&gt;Not&lt;/b&gt; &lt;b&gt;fre&lt;/b&gt;edom.</x:t>
        </x:is>
      </x:c>
      <x:c r="H212" s="5" t="inlineStr">
        <x:is>
          <x:t xml:space="preserve">Not freedom.</x:t>
        </x:is>
      </x:c>
      <x:c r="I212" s="5" t="inlineStr">
        <x:is>
          <x:t xml:space="preserve">false_belief</x:t>
        </x:is>
      </x:c>
      <x:c r="J212" s="5" t="inlineStr">
        <x:is>
          <x:t xml:space="preserve">freedom</x:t>
        </x:is>
      </x:c>
      <x:c r="K212" s="5" t="inlineStr">
        <x:is>
          <x:t xml:space="preserve">center_upper</x:t>
        </x:is>
      </x:c>
      <x:c r="L212" s="5" t="inlineStr">
        <x:is>
          <x:t xml:space="preserve">low</x:t>
        </x:is>
      </x:c>
    </x:row>
    <x:row r="213" ht="22" customHeight="1">
      <x:c r="A213" s="5" t="inlineStr">
        <x:is>
          <x:t xml:space="preserve">V12_creativity_constraints</x:t>
        </x:is>
      </x:c>
      <x:c r="B213" s="5" t="inlineStr">
        <x:is>
          <x:t xml:space="preserve">creativity</x:t>
        </x:is>
      </x:c>
      <x:c r="C213" s="5" t="inlineStr">
        <x:is>
          <x:t xml:space="preserve">2</x:t>
        </x:is>
      </x:c>
      <x:c r="D213" s="5" t="inlineStr">
        <x:is>
          <x:t xml:space="preserve">bcc_plus</x:t>
        </x:is>
      </x:c>
      <x:c r="E213" s="5" t="inlineStr">
        <x:is>
          <x:t xml:space="preserve">00:00:02.000</x:t>
        </x:is>
      </x:c>
      <x:c r="F213" s="5" t="inlineStr">
        <x:is>
          <x:t xml:space="preserve">00:00:04.000</x:t>
        </x:is>
      </x:c>
      <x:c r="G213" s="5" t="inlineStr">
        <x:is>
          <x:t xml:space="preserve">Useful &lt;b&gt;const&lt;/b&gt;raints.</x:t>
        </x:is>
      </x:c>
      <x:c r="H213" s="5" t="inlineStr">
        <x:is>
          <x:t xml:space="preserve">Useful constraints.</x:t>
        </x:is>
      </x:c>
      <x:c r="I213" s="5" t="inlineStr">
        <x:is>
          <x:t xml:space="preserve">correction</x:t>
        </x:is>
      </x:c>
      <x:c r="J213" s="5" t="inlineStr">
        <x:is>
          <x:t xml:space="preserve">constraints</x:t>
        </x:is>
      </x:c>
      <x:c r="K213" s="5" t="inlineStr">
        <x:is>
          <x:t xml:space="preserve">center_upper</x:t>
        </x:is>
      </x:c>
      <x:c r="L213" s="5" t="inlineStr">
        <x:is>
          <x:t xml:space="preserve">low</x:t>
        </x:is>
      </x:c>
    </x:row>
    <x:row r="214" ht="22" customHeight="1">
      <x:c r="A214" s="5" t="inlineStr">
        <x:is>
          <x:t xml:space="preserve">V12_creativity_constraints</x:t>
        </x:is>
      </x:c>
      <x:c r="B214" s="5" t="inlineStr">
        <x:is>
          <x:t xml:space="preserve">creativity</x:t>
        </x:is>
      </x:c>
      <x:c r="C214" s="5" t="inlineStr">
        <x:is>
          <x:t xml:space="preserve">3</x:t>
        </x:is>
      </x:c>
      <x:c r="D214" s="5" t="inlineStr">
        <x:is>
          <x:t xml:space="preserve">bcc_plus</x:t>
        </x:is>
      </x:c>
      <x:c r="E214" s="5" t="inlineStr">
        <x:is>
          <x:t xml:space="preserve">00:00:04.000</x:t>
        </x:is>
      </x:c>
      <x:c r="F214" s="5" t="inlineStr">
        <x:is>
          <x:t xml:space="preserve">00:00:06.000</x:t>
        </x:is>
      </x:c>
      <x:c r="G214" s="5" t="inlineStr">
        <x:is>
          <x:t xml:space="preserve">&lt;b&gt;For&lt;/b&gt;mat. &lt;b&gt;Dead&lt;/b&gt;line. &lt;b&gt;Ver&lt;/b&gt;sion.</x:t>
        </x:is>
      </x:c>
      <x:c r="H214" s="5" t="inlineStr">
        <x:is>
          <x:t xml:space="preserve">Format. Deadline. Version.</x:t>
        </x:is>
      </x:c>
      <x:c r="I214" s="5" t="inlineStr">
        <x:is>
          <x:t xml:space="preserve">action</x:t>
        </x:is>
      </x:c>
      <x:c r="J214" s="5" t="inlineStr">
        <x:is>
          <x:t xml:space="preserve">format;deadline;version</x:t>
        </x:is>
      </x:c>
      <x:c r="K214" s="5" t="inlineStr">
        <x:is>
          <x:t xml:space="preserve">center_upper</x:t>
        </x:is>
      </x:c>
      <x:c r="L214" s="5" t="inlineStr">
        <x:is>
          <x:t xml:space="preserve">medium</x:t>
        </x:is>
      </x:c>
    </x:row>
    <x:row r="215" ht="22" customHeight="1">
      <x:c r="A215" s="5" t="inlineStr">
        <x:is>
          <x:t xml:space="preserve">V12_creativity_constraints</x:t>
        </x:is>
      </x:c>
      <x:c r="B215" s="5" t="inlineStr">
        <x:is>
          <x:t xml:space="preserve">creativity</x:t>
        </x:is>
      </x:c>
      <x:c r="C215" s="5" t="inlineStr">
        <x:is>
          <x:t xml:space="preserve">1</x:t>
        </x:is>
      </x:c>
      <x:c r="D215" s="5" t="inlineStr">
        <x:is>
          <x:t xml:space="preserve">full_transcript</x:t>
        </x:is>
      </x:c>
      <x:c r="E215" s="5" t="inlineStr">
        <x:is>
          <x:t xml:space="preserve">00:00:00.000</x:t>
        </x:is>
      </x:c>
      <x:c r="F215" s="5" t="inlineStr">
        <x:is>
          <x:t xml:space="preserve">00:00:02.000</x:t>
        </x:is>
      </x:c>
      <x:c r="G215" s="5" t="inlineStr">
        <x:is>
          <x:t xml:space="preserve">Creativity does not need infinite freedom.</x:t>
        </x:is>
      </x:c>
      <x:c r="H215" s="5" t="inlineStr">
        <x:is>
          <x:t xml:space="preserve">Creativity does not need infinite freedom.</x:t>
        </x:is>
      </x:c>
      <x:c r="I215" s="5" t="inlineStr">
        <x:is>
          <x:t xml:space="preserve">false_belief</x:t>
        </x:is>
      </x:c>
      <x:c r="J215" s="5" t="inlineStr">
        <x:is>
          <x:t xml:space="preserve">freedom</x:t>
        </x:is>
      </x:c>
      <x:c r="K215" s="5" t="inlineStr">
        <x:is>
          <x:t xml:space="preserve">center_upper</x:t>
        </x:is>
      </x:c>
      <x:c r="L215" s="5" t="inlineStr">
        <x:is>
          <x:t xml:space="preserve">low</x:t>
        </x:is>
      </x:c>
    </x:row>
    <x:row r="216" ht="22" customHeight="1">
      <x:c r="A216" s="5" t="inlineStr">
        <x:is>
          <x:t xml:space="preserve">V12_creativity_constraints</x:t>
        </x:is>
      </x:c>
      <x:c r="B216" s="5" t="inlineStr">
        <x:is>
          <x:t xml:space="preserve">creativity</x:t>
        </x:is>
      </x:c>
      <x:c r="C216" s="5" t="inlineStr">
        <x:is>
          <x:t xml:space="preserve">2</x:t>
        </x:is>
      </x:c>
      <x:c r="D216" s="5" t="inlineStr">
        <x:is>
          <x:t xml:space="preserve">full_transcript</x:t>
        </x:is>
      </x:c>
      <x:c r="E216" s="5" t="inlineStr">
        <x:is>
          <x:t xml:space="preserve">00:00:02.000</x:t>
        </x:is>
      </x:c>
      <x:c r="F216" s="5" t="inlineStr">
        <x:is>
          <x:t xml:space="preserve">00:00:04.000</x:t>
        </x:is>
      </x:c>
      <x:c r="G216" s="5" t="inlineStr">
        <x:is>
          <x:t xml:space="preserve">It needs useful constraints.</x:t>
        </x:is>
      </x:c>
      <x:c r="H216" s="5" t="inlineStr">
        <x:is>
          <x:t xml:space="preserve">It needs useful constraints.</x:t>
        </x:is>
      </x:c>
      <x:c r="I216" s="5" t="inlineStr">
        <x:is>
          <x:t xml:space="preserve">correction</x:t>
        </x:is>
      </x:c>
      <x:c r="J216" s="5" t="inlineStr">
        <x:is>
          <x:t xml:space="preserve">constraints</x:t>
        </x:is>
      </x:c>
      <x:c r="K216" s="5" t="inlineStr">
        <x:is>
          <x:t xml:space="preserve">center_upper</x:t>
        </x:is>
      </x:c>
      <x:c r="L216" s="5" t="inlineStr">
        <x:is>
          <x:t xml:space="preserve">low</x:t>
        </x:is>
      </x:c>
    </x:row>
    <x:row r="217" ht="22" customHeight="1">
      <x:c r="A217" s="5" t="inlineStr">
        <x:is>
          <x:t xml:space="preserve">V12_creativity_constraints</x:t>
        </x:is>
      </x:c>
      <x:c r="B217" s="5" t="inlineStr">
        <x:is>
          <x:t xml:space="preserve">creativity</x:t>
        </x:is>
      </x:c>
      <x:c r="C217" s="5" t="inlineStr">
        <x:is>
          <x:t xml:space="preserve">3</x:t>
        </x:is>
      </x:c>
      <x:c r="D217" s="5" t="inlineStr">
        <x:is>
          <x:t xml:space="preserve">full_transcript</x:t>
        </x:is>
      </x:c>
      <x:c r="E217" s="5" t="inlineStr">
        <x:is>
          <x:t xml:space="preserve">00:00:04.000</x:t>
        </x:is>
      </x:c>
      <x:c r="F217" s="5" t="inlineStr">
        <x:is>
          <x:t xml:space="preserve">00:00:06.000</x:t>
        </x:is>
      </x:c>
      <x:c r="G217" s="5" t="inlineStr">
        <x:is>
          <x:t xml:space="preserve">Choose a format, set a deadline, and make one version.</x:t>
        </x:is>
      </x:c>
      <x:c r="H217" s="5" t="inlineStr">
        <x:is>
          <x:t xml:space="preserve">Choose a format, set a deadline, and make one version.</x:t>
        </x:is>
      </x:c>
      <x:c r="I217" s="5" t="inlineStr">
        <x:is>
          <x:t xml:space="preserve">action</x:t>
        </x:is>
      </x:c>
      <x:c r="J217" s="5" t="inlineStr">
        <x:is>
          <x:t xml:space="preserve">format;deadline;version</x:t>
        </x:is>
      </x:c>
      <x:c r="K217" s="5" t="inlineStr">
        <x:is>
          <x:t xml:space="preserve">center_upper</x:t>
        </x:is>
      </x:c>
      <x:c r="L217" s="5" t="inlineStr">
        <x:is>
          <x:t xml:space="preserve">medium</x:t>
        </x:is>
      </x:c>
    </x:row>
    <x:row r="218" ht="22" customHeight="1">
      <x:c r="A218" s="5" t="inlineStr">
        <x:is>
          <x:t xml:space="preserve">V12_creativity_constraints</x:t>
        </x:is>
      </x:c>
      <x:c r="B218" s="5" t="inlineStr">
        <x:is>
          <x:t xml:space="preserve">creativity</x:t>
        </x:is>
      </x:c>
      <x:c r="C218" s="5" t="inlineStr">
        <x:is>
          <x:t xml:space="preserve">1</x:t>
        </x:is>
      </x:c>
      <x:c r="D218" s="5" t="inlineStr">
        <x:is>
          <x:t xml:space="preserve">heavy_bionic</x:t>
        </x:is>
      </x:c>
      <x:c r="E218" s="5" t="inlineStr">
        <x:is>
          <x:t xml:space="preserve">00:00:00.000</x:t>
        </x:is>
      </x:c>
      <x:c r="F218" s="5" t="inlineStr">
        <x:is>
          <x:t xml:space="preserve">00:00:02.000</x:t>
        </x:is>
      </x:c>
      <x:c r="G218" s="5" t="inlineStr">
        <x:is>
          <x:t xml:space="preserve">&lt;b&gt;Crea&lt;/b&gt;tivity does &lt;b&gt;not&lt;/b&gt; &lt;b&gt;need&lt;/b&gt; &lt;b&gt;infi&lt;/b&gt;nite &lt;b&gt;fre&lt;/b&gt;edom.</x:t>
        </x:is>
      </x:c>
      <x:c r="H218" s="5" t="inlineStr">
        <x:is>
          <x:t xml:space="preserve">Creativity does not need infinite freedom.</x:t>
        </x:is>
      </x:c>
      <x:c r="I218" s="5" t="inlineStr">
        <x:is>
          <x:t xml:space="preserve">false_belief</x:t>
        </x:is>
      </x:c>
      <x:c r="J218" s="5" t="inlineStr">
        <x:is>
          <x:t xml:space="preserve">freedom</x:t>
        </x:is>
      </x:c>
      <x:c r="K218" s="5" t="inlineStr">
        <x:is>
          <x:t xml:space="preserve">center_upper</x:t>
        </x:is>
      </x:c>
      <x:c r="L218" s="5" t="inlineStr">
        <x:is>
          <x:t xml:space="preserve">low</x:t>
        </x:is>
      </x:c>
    </x:row>
    <x:row r="219" ht="22" customHeight="1">
      <x:c r="A219" s="5" t="inlineStr">
        <x:is>
          <x:t xml:space="preserve">V12_creativity_constraints</x:t>
        </x:is>
      </x:c>
      <x:c r="B219" s="5" t="inlineStr">
        <x:is>
          <x:t xml:space="preserve">creativity</x:t>
        </x:is>
      </x:c>
      <x:c r="C219" s="5" t="inlineStr">
        <x:is>
          <x:t xml:space="preserve">2</x:t>
        </x:is>
      </x:c>
      <x:c r="D219" s="5" t="inlineStr">
        <x:is>
          <x:t xml:space="preserve">heavy_bionic</x:t>
        </x:is>
      </x:c>
      <x:c r="E219" s="5" t="inlineStr">
        <x:is>
          <x:t xml:space="preserve">00:00:02.000</x:t>
        </x:is>
      </x:c>
      <x:c r="F219" s="5" t="inlineStr">
        <x:is>
          <x:t xml:space="preserve">00:00:04.000</x:t>
        </x:is>
      </x:c>
      <x:c r="G219" s="5" t="inlineStr">
        <x:is>
          <x:t xml:space="preserve">It &lt;b&gt;nee&lt;/b&gt;ds &lt;b&gt;use&lt;/b&gt;ful &lt;b&gt;const&lt;/b&gt;raints.</x:t>
        </x:is>
      </x:c>
      <x:c r="H219" s="5" t="inlineStr">
        <x:is>
          <x:t xml:space="preserve">It needs useful constraints.</x:t>
        </x:is>
      </x:c>
      <x:c r="I219" s="5" t="inlineStr">
        <x:is>
          <x:t xml:space="preserve">correction</x:t>
        </x:is>
      </x:c>
      <x:c r="J219" s="5" t="inlineStr">
        <x:is>
          <x:t xml:space="preserve">constraints</x:t>
        </x:is>
      </x:c>
      <x:c r="K219" s="5" t="inlineStr">
        <x:is>
          <x:t xml:space="preserve">center_upper</x:t>
        </x:is>
      </x:c>
      <x:c r="L219" s="5" t="inlineStr">
        <x:is>
          <x:t xml:space="preserve">low</x:t>
        </x:is>
      </x:c>
    </x:row>
    <x:row r="220" ht="36" customHeight="1">
      <x:c r="A220" s="5" t="inlineStr">
        <x:is>
          <x:t xml:space="preserve">V12_creativity_constraints</x:t>
        </x:is>
      </x:c>
      <x:c r="B220" s="5" t="inlineStr">
        <x:is>
          <x:t xml:space="preserve">creativity</x:t>
        </x:is>
      </x:c>
      <x:c r="C220" s="5" t="inlineStr">
        <x:is>
          <x:t xml:space="preserve">3</x:t>
        </x:is>
      </x:c>
      <x:c r="D220" s="5" t="inlineStr">
        <x:is>
          <x:t xml:space="preserve">heavy_bionic</x:t>
        </x:is>
      </x:c>
      <x:c r="E220" s="5" t="inlineStr">
        <x:is>
          <x:t xml:space="preserve">00:00:04.000</x:t>
        </x:is>
      </x:c>
      <x:c r="F220" s="5" t="inlineStr">
        <x:is>
          <x:t xml:space="preserve">00:00:06.000</x:t>
        </x:is>
      </x:c>
      <x:c r="G220" s="5" t="inlineStr">
        <x:is>
          <x:t xml:space="preserve">&lt;b&gt;Cho&lt;/b&gt;ose a &lt;b&gt;for&lt;/b&gt;mat, set a &lt;b&gt;dead&lt;/b&gt;line, and &lt;b&gt;make&lt;/b&gt; one &lt;b&gt;ver&lt;/b&gt;sion.</x:t>
        </x:is>
      </x:c>
      <x:c r="H220" s="5" t="inlineStr">
        <x:is>
          <x:t xml:space="preserve">Choose a format, set a deadline, and make one version.</x:t>
        </x:is>
      </x:c>
      <x:c r="I220" s="5" t="inlineStr">
        <x:is>
          <x:t xml:space="preserve">action</x:t>
        </x:is>
      </x:c>
      <x:c r="J220" s="5" t="inlineStr">
        <x:is>
          <x:t xml:space="preserve">format;deadline;version</x:t>
        </x:is>
      </x:c>
      <x:c r="K220" s="5" t="inlineStr">
        <x:is>
          <x:t xml:space="preserve">center_upper</x:t>
        </x:is>
      </x:c>
      <x:c r="L220" s="5" t="inlineStr">
        <x:is>
          <x:t xml:space="preserve">medium</x:t>
        </x:is>
      </x:c>
    </x:row>
    <x:row r="221" ht="22" customHeight="1">
      <x:c r="A221" s="5" t="inlineStr">
        <x:is>
          <x:t xml:space="preserve">V12_creativity_constraints</x:t>
        </x:is>
      </x:c>
      <x:c r="B221" s="5" t="inlineStr">
        <x:is>
          <x:t xml:space="preserve">creativity</x:t>
        </x:is>
      </x:c>
      <x:c r="C221" s="5" t="inlineStr">
        <x:is>
          <x:t xml:space="preserve">1</x:t>
        </x:is>
      </x:c>
      <x:c r="D221" s="5" t="inlineStr">
        <x:is>
          <x:t xml:space="preserve">keyword_highlight</x:t>
        </x:is>
      </x:c>
      <x:c r="E221" s="5" t="inlineStr">
        <x:is>
          <x:t xml:space="preserve">00:00:00.000</x:t>
        </x:is>
      </x:c>
      <x:c r="F221" s="5" t="inlineStr">
        <x:is>
          <x:t xml:space="preserve">00:00:02.000</x:t>
        </x:is>
      </x:c>
      <x:c r="G221" s="5" t="inlineStr">
        <x:is>
          <x:t xml:space="preserve">Creativity does not need infinite &lt;b&gt;freedom&lt;/b&gt;.</x:t>
        </x:is>
      </x:c>
      <x:c r="H221" s="5" t="inlineStr">
        <x:is>
          <x:t xml:space="preserve">Creativity does not need infinite freedom.</x:t>
        </x:is>
      </x:c>
      <x:c r="I221" s="5" t="inlineStr">
        <x:is>
          <x:t xml:space="preserve">false_belief</x:t>
        </x:is>
      </x:c>
      <x:c r="J221" s="5" t="inlineStr">
        <x:is>
          <x:t xml:space="preserve">freedom</x:t>
        </x:is>
      </x:c>
      <x:c r="K221" s="5" t="inlineStr">
        <x:is>
          <x:t xml:space="preserve">center_upper</x:t>
        </x:is>
      </x:c>
      <x:c r="L221" s="5" t="inlineStr">
        <x:is>
          <x:t xml:space="preserve">low</x:t>
        </x:is>
      </x:c>
    </x:row>
    <x:row r="222" ht="22" customHeight="1">
      <x:c r="A222" s="5" t="inlineStr">
        <x:is>
          <x:t xml:space="preserve">V12_creativity_constraints</x:t>
        </x:is>
      </x:c>
      <x:c r="B222" s="5" t="inlineStr">
        <x:is>
          <x:t xml:space="preserve">creativity</x:t>
        </x:is>
      </x:c>
      <x:c r="C222" s="5" t="inlineStr">
        <x:is>
          <x:t xml:space="preserve">2</x:t>
        </x:is>
      </x:c>
      <x:c r="D222" s="5" t="inlineStr">
        <x:is>
          <x:t xml:space="preserve">keyword_highlight</x:t>
        </x:is>
      </x:c>
      <x:c r="E222" s="5" t="inlineStr">
        <x:is>
          <x:t xml:space="preserve">00:00:02.000</x:t>
        </x:is>
      </x:c>
      <x:c r="F222" s="5" t="inlineStr">
        <x:is>
          <x:t xml:space="preserve">00:00:04.000</x:t>
        </x:is>
      </x:c>
      <x:c r="G222" s="5" t="inlineStr">
        <x:is>
          <x:t xml:space="preserve">It needs useful &lt;b&gt;constraints&lt;/b&gt;.</x:t>
        </x:is>
      </x:c>
      <x:c r="H222" s="5" t="inlineStr">
        <x:is>
          <x:t xml:space="preserve">It needs useful constraints.</x:t>
        </x:is>
      </x:c>
      <x:c r="I222" s="5" t="inlineStr">
        <x:is>
          <x:t xml:space="preserve">correction</x:t>
        </x:is>
      </x:c>
      <x:c r="J222" s="5" t="inlineStr">
        <x:is>
          <x:t xml:space="preserve">constraints</x:t>
        </x:is>
      </x:c>
      <x:c r="K222" s="5" t="inlineStr">
        <x:is>
          <x:t xml:space="preserve">center_upper</x:t>
        </x:is>
      </x:c>
      <x:c r="L222" s="5" t="inlineStr">
        <x:is>
          <x:t xml:space="preserve">low</x:t>
        </x:is>
      </x:c>
    </x:row>
    <x:row r="223" ht="22" customHeight="1">
      <x:c r="A223" s="5" t="inlineStr">
        <x:is>
          <x:t xml:space="preserve">V12_creativity_constraints</x:t>
        </x:is>
      </x:c>
      <x:c r="B223" s="5" t="inlineStr">
        <x:is>
          <x:t xml:space="preserve">creativity</x:t>
        </x:is>
      </x:c>
      <x:c r="C223" s="5" t="inlineStr">
        <x:is>
          <x:t xml:space="preserve">3</x:t>
        </x:is>
      </x:c>
      <x:c r="D223" s="5" t="inlineStr">
        <x:is>
          <x:t xml:space="preserve">keyword_highlight</x:t>
        </x:is>
      </x:c>
      <x:c r="E223" s="5" t="inlineStr">
        <x:is>
          <x:t xml:space="preserve">00:00:04.000</x:t>
        </x:is>
      </x:c>
      <x:c r="F223" s="5" t="inlineStr">
        <x:is>
          <x:t xml:space="preserve">00:00:06.000</x:t>
        </x:is>
      </x:c>
      <x:c r="G223" s="5" t="inlineStr">
        <x:is>
          <x:t xml:space="preserve">Choose a &lt;b&gt;format&lt;/b&gt;, set a &lt;b&gt;deadline&lt;/b&gt;, and make one &lt;b&gt;version&lt;/b&gt;.</x:t>
        </x:is>
      </x:c>
      <x:c r="H223" s="5" t="inlineStr">
        <x:is>
          <x:t xml:space="preserve">Choose a format, set a deadline, and make one version.</x:t>
        </x:is>
      </x:c>
      <x:c r="I223" s="5" t="inlineStr">
        <x:is>
          <x:t xml:space="preserve">action</x:t>
        </x:is>
      </x:c>
      <x:c r="J223" s="5" t="inlineStr">
        <x:is>
          <x:t xml:space="preserve">format;deadline;version</x:t>
        </x:is>
      </x:c>
      <x:c r="K223" s="5" t="inlineStr">
        <x:is>
          <x:t xml:space="preserve">center_upper</x:t>
        </x:is>
      </x:c>
      <x:c r="L223" s="5" t="inlineStr">
        <x:is>
          <x:t xml:space="preserve">medium</x:t>
        </x:is>
      </x:c>
    </x:row>
    <x:row r="224" ht="22" customHeight="1">
      <x:c r="A224" s="5" t="inlineStr">
        <x:is>
          <x:t xml:space="preserve">V12_creativity_constraints</x:t>
        </x:is>
      </x:c>
      <x:c r="B224" s="5" t="inlineStr">
        <x:is>
          <x:t xml:space="preserve">creativity</x:t>
        </x:is>
      </x:c>
      <x:c r="C224" s="5" t="inlineStr">
        <x:is>
          <x:t xml:space="preserve">1</x:t>
        </x:is>
      </x:c>
      <x:c r="D224" s="5" t="inlineStr">
        <x:is>
          <x:t xml:space="preserve">semantic_compression</x:t>
        </x:is>
      </x:c>
      <x:c r="E224" s="5" t="inlineStr">
        <x:is>
          <x:t xml:space="preserve">00:00:00.000</x:t>
        </x:is>
      </x:c>
      <x:c r="F224" s="5" t="inlineStr">
        <x:is>
          <x:t xml:space="preserve">00:00:02.000</x:t>
        </x:is>
      </x:c>
      <x:c r="G224" s="5" t="inlineStr">
        <x:is>
          <x:t xml:space="preserve">Not freedom.</x:t>
        </x:is>
      </x:c>
      <x:c r="H224" s="5" t="inlineStr">
        <x:is>
          <x:t xml:space="preserve">Not freedom.</x:t>
        </x:is>
      </x:c>
      <x:c r="I224" s="5" t="inlineStr">
        <x:is>
          <x:t xml:space="preserve">false_belief</x:t>
        </x:is>
      </x:c>
      <x:c r="J224" s="5" t="inlineStr">
        <x:is>
          <x:t xml:space="preserve">freedom</x:t>
        </x:is>
      </x:c>
      <x:c r="K224" s="5" t="inlineStr">
        <x:is>
          <x:t xml:space="preserve">center_upper</x:t>
        </x:is>
      </x:c>
      <x:c r="L224" s="5" t="inlineStr">
        <x:is>
          <x:t xml:space="preserve">low</x:t>
        </x:is>
      </x:c>
    </x:row>
    <x:row r="225" ht="22" customHeight="1">
      <x:c r="A225" s="5" t="inlineStr">
        <x:is>
          <x:t xml:space="preserve">V12_creativity_constraints</x:t>
        </x:is>
      </x:c>
      <x:c r="B225" s="5" t="inlineStr">
        <x:is>
          <x:t xml:space="preserve">creativity</x:t>
        </x:is>
      </x:c>
      <x:c r="C225" s="5" t="inlineStr">
        <x:is>
          <x:t xml:space="preserve">2</x:t>
        </x:is>
      </x:c>
      <x:c r="D225" s="5" t="inlineStr">
        <x:is>
          <x:t xml:space="preserve">semantic_compression</x:t>
        </x:is>
      </x:c>
      <x:c r="E225" s="5" t="inlineStr">
        <x:is>
          <x:t xml:space="preserve">00:00:02.000</x:t>
        </x:is>
      </x:c>
      <x:c r="F225" s="5" t="inlineStr">
        <x:is>
          <x:t xml:space="preserve">00:00:04.000</x:t>
        </x:is>
      </x:c>
      <x:c r="G225" s="5" t="inlineStr">
        <x:is>
          <x:t xml:space="preserve">Useful constraints.</x:t>
        </x:is>
      </x:c>
      <x:c r="H225" s="5" t="inlineStr">
        <x:is>
          <x:t xml:space="preserve">Useful constraints.</x:t>
        </x:is>
      </x:c>
      <x:c r="I225" s="5" t="inlineStr">
        <x:is>
          <x:t xml:space="preserve">correction</x:t>
        </x:is>
      </x:c>
      <x:c r="J225" s="5" t="inlineStr">
        <x:is>
          <x:t xml:space="preserve">constraints</x:t>
        </x:is>
      </x:c>
      <x:c r="K225" s="5" t="inlineStr">
        <x:is>
          <x:t xml:space="preserve">center_upper</x:t>
        </x:is>
      </x:c>
      <x:c r="L225" s="5" t="inlineStr">
        <x:is>
          <x:t xml:space="preserve">low</x:t>
        </x:is>
      </x:c>
    </x:row>
    <x:row r="226" ht="22" customHeight="1">
      <x:c r="A226" s="5" t="inlineStr">
        <x:is>
          <x:t xml:space="preserve">V12_creativity_constraints</x:t>
        </x:is>
      </x:c>
      <x:c r="B226" s="5" t="inlineStr">
        <x:is>
          <x:t xml:space="preserve">creativity</x:t>
        </x:is>
      </x:c>
      <x:c r="C226" s="5" t="inlineStr">
        <x:is>
          <x:t xml:space="preserve">3</x:t>
        </x:is>
      </x:c>
      <x:c r="D226" s="5" t="inlineStr">
        <x:is>
          <x:t xml:space="preserve">semantic_compression</x:t>
        </x:is>
      </x:c>
      <x:c r="E226" s="5" t="inlineStr">
        <x:is>
          <x:t xml:space="preserve">00:00:04.000</x:t>
        </x:is>
      </x:c>
      <x:c r="F226" s="5" t="inlineStr">
        <x:is>
          <x:t xml:space="preserve">00:00:06.000</x:t>
        </x:is>
      </x:c>
      <x:c r="G226" s="5" t="inlineStr">
        <x:is>
          <x:t xml:space="preserve">Format. Deadline. Version.</x:t>
        </x:is>
      </x:c>
      <x:c r="H226" s="5" t="inlineStr">
        <x:is>
          <x:t xml:space="preserve">Format. Deadline. Version.</x:t>
        </x:is>
      </x:c>
      <x:c r="I226" s="5" t="inlineStr">
        <x:is>
          <x:t xml:space="preserve">action</x:t>
        </x:is>
      </x:c>
      <x:c r="J226" s="5" t="inlineStr">
        <x:is>
          <x:t xml:space="preserve">format;deadline;version</x:t>
        </x:is>
      </x:c>
      <x:c r="K226" s="5" t="inlineStr">
        <x:is>
          <x:t xml:space="preserve">center_upper</x:t>
        </x:is>
      </x:c>
      <x:c r="L226" s="5" t="inlineStr">
        <x:is>
          <x:t xml:space="preserve">medium</x:t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fd454221745c4d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80" customWidth="1"/>
    <x:col min="4" max="4" width="18" customWidth="1"/>
    <x:col min="5" max="5" width="10" customWidth="1"/>
    <x:col min="6" max="6" width="10" customWidth="1"/>
    <x:col min="7" max="7" width="10" customWidth="1"/>
    <x:col min="8" max="8" width="10" customWidth="1"/>
  </x:cols>
  <x:sheetData>
    <x:row r="1" ht="30" customHeight="1">
      <x:c r="A1" s="1" t="inlineStr">
        <x:is>
          <x:t xml:space="preserve">Production Checklist</x:t>
        </x:is>
      </x:c>
    </x:row>
    <x:row r="2" ht="24" customHeight="1">
      <x:c r="A2" s="3" t="inlineStr">
        <x:is>
          <x:t xml:space="preserve">Manual production gate before publishing any BCC+ overlay.</x:t>
        </x:is>
      </x:c>
    </x:row>
    <x:row r="3" ht="24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 ht="42" customHeight="1">
      <x:c r="A4" s="4" t="inlineStr">
        <x:is>
          <x:t xml:space="preserve">Step</x:t>
        </x:is>
      </x:c>
      <x:c r="B4" s="4" t="inlineStr">
        <x:is>
          <x:t xml:space="preserve">Check</x:t>
        </x:is>
      </x:c>
      <x:c r="C4" s="4" t="inlineStr">
        <x:is>
          <x:t xml:space="preserve">Pass Condition</x:t>
        </x:is>
      </x:c>
      <x:c r="D4" s="4" t="inlineStr">
        <x:is>
          <x:t xml:space="preserve">Priority</x:t>
        </x:is>
      </x:c>
      <x:c r="E4" s="5" t="n"/>
      <x:c r="F4" s="5" t="n"/>
      <x:c r="G4" s="5" t="n"/>
      <x:c r="H4" s="5" t="n"/>
    </x:row>
    <x:row r="5" ht="38" customHeight="1">
      <x:c r="A5" s="5" t="inlineStr">
        <x:is>
          <x:t xml:space="preserve">1</x:t>
        </x:is>
      </x:c>
      <x:c r="B5" s="5" t="inlineStr">
        <x:is>
          <x:t xml:space="preserve">Full caption layer exists</x:t>
        </x:is>
      </x:c>
      <x:c r="C5" s="5" t="inlineStr">
        <x:is>
          <x:t xml:space="preserve">Closed captions preserve full speech and meaningful non-speech audio.</x:t>
        </x:is>
      </x:c>
      <x:c r="D5" s="5" t="inlineStr">
        <x:is>
          <x:t xml:space="preserve">Required</x:t>
        </x:is>
      </x:c>
      <x:c r="E5" s="5" t="n"/>
      <x:c r="F5" s="5" t="n"/>
      <x:c r="G5" s="5" t="n"/>
      <x:c r="H5" s="5" t="n"/>
    </x:row>
    <x:row r="6" ht="24" customHeight="1">
      <x:c r="A6" s="5" t="inlineStr">
        <x:is>
          <x:t xml:space="preserve">2</x:t>
        </x:is>
      </x:c>
      <x:c r="B6" s="5" t="inlineStr">
        <x:is>
          <x:t xml:space="preserve">Proposition extracted</x:t>
        </x:is>
      </x:c>
      <x:c r="C6" s="5" t="inlineStr">
        <x:is>
          <x:t xml:space="preserve">The actual claim/action is identified before styling.</x:t>
        </x:is>
      </x:c>
      <x:c r="D6" s="5" t="inlineStr">
        <x:is>
          <x:t xml:space="preserve">Required</x:t>
        </x:is>
      </x:c>
      <x:c r="E6" s="5" t="n"/>
      <x:c r="F6" s="5" t="n"/>
      <x:c r="G6" s="5" t="n"/>
      <x:c r="H6" s="5" t="n"/>
    </x:row>
    <x:row r="7" ht="24" customHeight="1">
      <x:c r="A7" s="5" t="inlineStr">
        <x:is>
          <x:t xml:space="preserve">3</x:t>
        </x:is>
      </x:c>
      <x:c r="B7" s="5" t="inlineStr">
        <x:is>
          <x:t xml:space="preserve">Semantic beats created</x:t>
        </x:is>
      </x:c>
      <x:c r="C7" s="5" t="inlineStr">
        <x:is>
          <x:t xml:space="preserve">One idea per beat; no sentence dumping.</x:t>
        </x:is>
      </x:c>
      <x:c r="D7" s="5" t="inlineStr">
        <x:is>
          <x:t xml:space="preserve">Required</x:t>
        </x:is>
      </x:c>
      <x:c r="E7" s="5" t="n"/>
      <x:c r="F7" s="5" t="n"/>
      <x:c r="G7" s="5" t="n"/>
      <x:c r="H7" s="5" t="n"/>
    </x:row>
    <x:row r="8" ht="24" customHeight="1">
      <x:c r="A8" s="5" t="inlineStr">
        <x:is>
          <x:t xml:space="preserve">4</x:t>
        </x:is>
      </x:c>
      <x:c r="B8" s="5" t="inlineStr">
        <x:is>
          <x:t xml:space="preserve">Operator anchors selected</x:t>
        </x:is>
      </x:c>
      <x:c r="C8" s="5" t="inlineStr">
        <x:is>
          <x:t xml:space="preserve">Logic words are fully emphasized only where needed.</x:t>
        </x:is>
      </x:c>
      <x:c r="D8" s="5" t="inlineStr">
        <x:is>
          <x:t xml:space="preserve">Required</x:t>
        </x:is>
      </x:c>
      <x:c r="E8" s="5" t="n"/>
      <x:c r="F8" s="5" t="n"/>
      <x:c r="G8" s="5" t="n"/>
      <x:c r="H8" s="5" t="n"/>
    </x:row>
    <x:row r="9" ht="24" customHeight="1">
      <x:c r="A9" s="5" t="inlineStr">
        <x:is>
          <x:t xml:space="preserve">5</x:t>
        </x:is>
      </x:c>
      <x:c r="B9" s="5" t="inlineStr">
        <x:is>
          <x:t xml:space="preserve">Concept anchors selected</x:t>
        </x:is>
      </x:c>
      <x:c r="C9" s="5" t="inlineStr">
        <x:is>
          <x:t xml:space="preserve">1–3 concept anchors maximum per screen.</x:t>
        </x:is>
      </x:c>
      <x:c r="D9" s="5" t="inlineStr">
        <x:is>
          <x:t xml:space="preserve">Required</x:t>
        </x:is>
      </x:c>
      <x:c r="E9" s="5" t="n"/>
      <x:c r="F9" s="5" t="n"/>
      <x:c r="G9" s="5" t="n"/>
      <x:c r="H9" s="5" t="n"/>
    </x:row>
    <x:row r="10" ht="38" customHeight="1">
      <x:c r="A10" s="5" t="inlineStr">
        <x:is>
          <x:t xml:space="preserve">6</x:t>
        </x:is>
      </x:c>
      <x:c r="B10" s="5" t="inlineStr">
        <x:is>
          <x:t xml:space="preserve">Placement checked</x:t>
        </x:is>
      </x:c>
      <x:c r="C10" s="5" t="inlineStr">
        <x:is>
          <x:t xml:space="preserve">No obstruction of mouth, eyes, hands, object, demo target, or UI.</x:t>
        </x:is>
      </x:c>
      <x:c r="D10" s="5" t="inlineStr">
        <x:is>
          <x:t xml:space="preserve">Required</x:t>
        </x:is>
      </x:c>
      <x:c r="E10" s="5" t="n"/>
      <x:c r="F10" s="5" t="n"/>
      <x:c r="G10" s="5" t="n"/>
      <x:c r="H10" s="5" t="n"/>
    </x:row>
    <x:row r="11" ht="24" customHeight="1">
      <x:c r="A11" s="5" t="inlineStr">
        <x:is>
          <x:t xml:space="preserve">7</x:t>
        </x:is>
      </x:c>
      <x:c r="B11" s="5" t="inlineStr">
        <x:is>
          <x:t xml:space="preserve">Visual load adapted</x:t>
        </x:is>
      </x:c>
      <x:c r="C11" s="5" t="inlineStr">
        <x:is>
          <x:t xml:space="preserve">Busy scenes use fewer words or labels only.</x:t>
        </x:is>
      </x:c>
      <x:c r="D11" s="5" t="inlineStr">
        <x:is>
          <x:t xml:space="preserve">Required</x:t>
        </x:is>
      </x:c>
      <x:c r="E11" s="5" t="n"/>
      <x:c r="F11" s="5" t="n"/>
      <x:c r="G11" s="5" t="n"/>
      <x:c r="H11" s="5" t="n"/>
    </x:row>
    <x:row r="12" ht="24" customHeight="1">
      <x:c r="A12" s="5" t="inlineStr">
        <x:is>
          <x:t xml:space="preserve">8</x:t>
        </x:is>
      </x:c>
      <x:c r="B12" s="5" t="inlineStr">
        <x:is>
          <x:t xml:space="preserve">Muted test passed</x:t>
        </x:is>
      </x:c>
      <x:c r="C12" s="5" t="inlineStr">
        <x:is>
          <x:t xml:space="preserve">Viewer can understand gist/action without audio.</x:t>
        </x:is>
      </x:c>
      <x:c r="D12" s="5" t="inlineStr">
        <x:is>
          <x:t xml:space="preserve">Required</x:t>
        </x:is>
      </x:c>
      <x:c r="E12" s="5" t="n"/>
      <x:c r="F12" s="5" t="n"/>
      <x:c r="G12" s="5" t="n"/>
      <x:c r="H12" s="5" t="n"/>
    </x:row>
    <x:row r="13" ht="24" customHeight="1">
      <x:c r="A13" s="5" t="inlineStr">
        <x:is>
          <x:t xml:space="preserve">9</x:t>
        </x:is>
      </x:c>
      <x:c r="B13" s="5" t="inlineStr">
        <x:is>
          <x:t xml:space="preserve">Motion restrained</x:t>
        </x:is>
      </x:c>
      <x:c r="C13" s="5" t="inlineStr">
        <x:is>
          <x:t xml:space="preserve">Motion reveals logic, not decoration.</x:t>
        </x:is>
      </x:c>
      <x:c r="D13" s="5" t="inlineStr">
        <x:is>
          <x:t xml:space="preserve">Recommended</x:t>
        </x:is>
      </x:c>
      <x:c r="E13" s="5" t="n"/>
      <x:c r="F13" s="5" t="n"/>
      <x:c r="G13" s="5" t="n"/>
      <x:c r="H13" s="5" t="n"/>
    </x:row>
    <x:row r="14" ht="24" customHeight="1">
      <x:c r="A14" s="5" t="inlineStr">
        <x:is>
          <x:t xml:space="preserve">10</x:t>
        </x:is>
      </x:c>
      <x:c r="B14" s="5" t="inlineStr">
        <x:is>
          <x:t xml:space="preserve">Rubric score completed</x:t>
        </x:is>
      </x:c>
      <x:c r="C14" s="5" t="inlineStr">
        <x:is>
          <x:t xml:space="preserve">Average score ≥ 4.0 and no dimension below 3.</x:t>
        </x:is>
      </x:c>
      <x:c r="D14" s="5" t="inlineStr">
        <x:is>
          <x:t xml:space="preserve">Required</x:t>
        </x:is>
      </x:c>
      <x:c r="E14" s="5" t="n"/>
      <x:c r="F14" s="5" t="n"/>
      <x:c r="G14" s="5" t="n"/>
      <x:c r="H14" s="5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35451c6a9f734e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0" customWidth="1"/>
    <x:col min="3" max="3" width="30" customWidth="1"/>
    <x:col min="4" max="4" width="24" customWidth="1"/>
    <x:col min="5" max="5" width="12" customWidth="1"/>
    <x:col min="6" max="6" width="16" customWidth="1"/>
    <x:col min="7" max="7" width="16" customWidth="1"/>
    <x:col min="8" max="8" width="12" customWidth="1"/>
    <x:col min="9" max="9" width="20" customWidth="1"/>
    <x:col min="10" max="10" width="20" customWidth="1"/>
    <x:col min="11" max="11" width="22" customWidth="1"/>
    <x:col min="12" max="12" width="18" customWidth="1"/>
    <x:col min="13" max="13" width="18" customWidth="1"/>
    <x:col min="14" max="14" width="12" customWidth="1"/>
    <x:col min="15" max="15" width="14" customWidth="1"/>
    <x:col min="16" max="16" width="18" customWidth="1"/>
    <x:col min="17" max="17" width="26" customWidth="1"/>
    <x:col min="18" max="18" width="18" customWidth="1"/>
    <x:col min="19" max="19" width="18" customWidth="1"/>
    <x:col min="20" max="20" width="24" customWidth="1"/>
  </x:cols>
  <x:sheetData>
    <x:row r="1" ht="30" customHeight="1">
      <x:c r="A1" s="1" t="inlineStr">
        <x:is>
          <x:t xml:space="preserve">Pilot Data Template</x:t>
        </x:is>
      </x:c>
      <x:c r="I1" s="2" t="n"/>
      <x:c r="J1" s="2" t="n"/>
      <x:c r="K1" s="2" t="n"/>
      <x:c r="L1" s="2" t="n"/>
      <x:c r="M1" s="2" t="n"/>
      <x:c r="N1" s="2" t="n"/>
      <x:c r="O1" s="2" t="n"/>
      <x:c r="P1" s="2" t="n"/>
      <x:c r="Q1" s="2" t="n"/>
      <x:c r="R1" s="2" t="n"/>
      <x:c r="S1" s="2" t="n"/>
      <x:c r="T1" s="2" t="n"/>
    </x:row>
    <x:row r="2" ht="22" customHeight="1">
      <x:c r="A2" s="3" t="inlineStr">
        <x:is>
          <x:t xml:space="preserve">Enter pilot responses here. Derived columns use formulas.</x:t>
        </x:is>
      </x:c>
      <x:c r="I2" s="2" t="n"/>
      <x:c r="J2" s="2" t="n"/>
      <x:c r="K2" s="2" t="n"/>
      <x:c r="L2" s="2" t="n"/>
      <x:c r="M2" s="2" t="n"/>
      <x:c r="N2" s="2" t="n"/>
      <x:c r="O2" s="2" t="n"/>
      <x:c r="P2" s="2" t="n"/>
      <x:c r="Q2" s="2" t="n"/>
      <x:c r="R2" s="2" t="n"/>
      <x:c r="S2" s="2" t="n"/>
      <x:c r="T2" s="2" t="n"/>
    </x:row>
    <x:row r="3" ht="22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  <x:c r="O3" s="2" t="n"/>
      <x:c r="P3" s="2" t="n"/>
      <x:c r="Q3" s="2" t="n"/>
      <x:c r="R3" s="2" t="n"/>
      <x:c r="S3" s="2" t="n"/>
      <x:c r="T3" s="2" t="n"/>
    </x:row>
    <x:row r="4" ht="42" customHeight="1">
      <x:c r="A4" s="4" t="inlineStr">
        <x:is>
          <x:t xml:space="preserve">participant_id</x:t>
        </x:is>
      </x:c>
      <x:c r="B4" s="4" t="inlineStr">
        <x:is>
          <x:t xml:space="preserve">trial</x:t>
        </x:is>
      </x:c>
      <x:c r="C4" s="4" t="inlineStr">
        <x:is>
          <x:t xml:space="preserve">video_id</x:t>
        </x:is>
      </x:c>
      <x:c r="D4" s="4" t="inlineStr">
        <x:is>
          <x:t xml:space="preserve">variant</x:t>
        </x:is>
      </x:c>
      <x:c r="E4" s="4" t="inlineStr">
        <x:is>
          <x:t xml:space="preserve">audio_mode</x:t>
        </x:is>
      </x:c>
      <x:c r="F4" s="4" t="inlineStr">
        <x:is>
          <x:t xml:space="preserve">watch_time_sec</x:t>
        </x:is>
      </x:c>
      <x:c r="G4" s="4" t="inlineStr">
        <x:is>
          <x:t xml:space="preserve">video_length_sec</x:t>
        </x:is>
      </x:c>
      <x:c r="H4" s="4" t="inlineStr">
        <x:is>
          <x:t xml:space="preserve">completed</x:t>
        </x:is>
      </x:c>
      <x:c r="I4" s="4" t="inlineStr">
        <x:is>
          <x:t xml:space="preserve">gist_recall_score_0_2</x:t>
        </x:is>
      </x:c>
      <x:c r="J4" s="4" t="inlineStr">
        <x:is>
          <x:t xml:space="preserve">action_recall_score_0_2</x:t>
        </x:is>
      </x:c>
      <x:c r="K4" s="4" t="inlineStr">
        <x:is>
          <x:t xml:space="preserve">contrast_recall_score_0_2</x:t>
        </x:is>
      </x:c>
      <x:c r="L4" s="4" t="inlineStr">
        <x:is>
          <x:t xml:space="preserve">exact_recall_score_0_2</x:t>
        </x:is>
      </x:c>
      <x:c r="M4" s="4" t="inlineStr">
        <x:is>
          <x:t xml:space="preserve">visual_recall_score_0_2</x:t>
        </x:is>
      </x:c>
      <x:c r="N4" s="4" t="inlineStr">
        <x:is>
          <x:t xml:space="preserve">effort_1_5</x:t>
        </x:is>
      </x:c>
      <x:c r="O4" s="4" t="inlineStr">
        <x:is>
          <x:t xml:space="preserve">text_helped</x:t>
        </x:is>
      </x:c>
      <x:c r="P4" s="4" t="inlineStr">
        <x:is>
          <x:t xml:space="preserve">would_keep_watching</x:t>
        </x:is>
      </x:c>
      <x:c r="Q4" s="4" t="inlineStr">
        <x:is>
          <x:t xml:space="preserve">notes</x:t>
        </x:is>
      </x:c>
      <x:c r="R4" s="4" t="inlineStr">
        <x:is>
          <x:t xml:space="preserve">completion_formula</x:t>
        </x:is>
      </x:c>
      <x:c r="S4" s="4" t="inlineStr">
        <x:is>
          <x:t xml:space="preserve">meaning_per_sec</x:t>
        </x:is>
      </x:c>
      <x:c r="T4" s="4" t="inlineStr">
        <x:is>
          <x:t xml:space="preserve">gist_action_contrast_total</x:t>
        </x:is>
      </x:c>
    </x:row>
    <x:row r="5" ht="22" customHeight="1">
      <x:c r="A5" s="5" t="inlineStr">
        <x:is>
          <x:t xml:space="preserve">P001</x:t>
        </x:is>
      </x:c>
      <x:c r="B5" s="5" t="inlineStr">
        <x:is>
          <x:t xml:space="preserve">1</x:t>
        </x:is>
      </x:c>
      <x:c r="C5" s="5" t="inlineStr">
        <x:is>
          <x:t xml:space="preserve">V02_study_recall</x:t>
        </x:is>
      </x:c>
      <x:c r="D5" s="5" t="inlineStr">
        <x:is>
          <x:t xml:space="preserve">full_transcript</x:t>
        </x:is>
      </x:c>
      <x:c r="E5" s="5" t="inlineStr">
        <x:is>
          <x:t xml:space="preserve">muted</x:t>
        </x:is>
      </x:c>
      <x:c r="F5" s="6" t="inlineStr">
        <x:is>
          <x:t xml:space="preserve"/>
        </x:is>
      </x:c>
      <x:c r="G5" s="6" t="inlineStr">
        <x:is>
          <x:t xml:space="preserve">6</x:t>
        </x:is>
      </x:c>
      <x:c r="H5" s="5" t="inlineStr">
        <x:is>
          <x:t xml:space="preserve"/>
        </x:is>
      </x:c>
      <x:c r="I5" s="5" t="inlineStr">
        <x:is>
          <x:t xml:space="preserve"/>
        </x:is>
      </x:c>
      <x:c r="J5" s="5" t="inlineStr">
        <x:is>
          <x:t xml:space="preserve"/>
        </x:is>
      </x:c>
      <x:c r="K5" s="5" t="inlineStr">
        <x:is>
          <x:t xml:space="preserve"/>
        </x:is>
      </x:c>
      <x:c r="L5" s="5" t="inlineStr">
        <x:is>
          <x:t xml:space="preserve"/>
        </x:is>
      </x:c>
      <x:c r="M5" s="5" t="inlineStr">
        <x:is>
          <x:t xml:space="preserve"/>
        </x:is>
      </x:c>
      <x:c r="N5" s="5" t="inlineStr">
        <x:is>
          <x:t xml:space="preserve"/>
        </x:is>
      </x:c>
      <x:c r="O5" s="5" t="inlineStr">
        <x:is>
          <x:t xml:space="preserve"/>
        </x:is>
      </x:c>
      <x:c r="P5" s="5" t="inlineStr">
        <x:is>
          <x:t xml:space="preserve"/>
        </x:is>
      </x:c>
      <x:c r="Q5" s="5" t="inlineStr">
        <x:is>
          <x:t xml:space="preserve"/>
        </x:is>
      </x:c>
      <x:c r="R5" s="5">
        <x:f>IF(OR(F5="",G5=""),"",IF(F5&gt;=0.95*G5,1,0))</x:f>
      </x:c>
      <x:c r="S5" s="7">
        <x:f>IFERROR((I5+J5+K5)/F5,"")</x:f>
      </x:c>
      <x:c r="T5" s="5">
        <x:f>IFERROR(I5+J5+K5,"")</x:f>
        <x:v>0</x:v>
      </x:c>
    </x:row>
    <x:row r="6" ht="22" customHeight="1">
      <x:c r="A6" s="5" t="inlineStr">
        <x:is>
          <x:t xml:space="preserve">P001</x:t>
        </x:is>
      </x:c>
      <x:c r="B6" s="5" t="inlineStr">
        <x:is>
          <x:t xml:space="preserve">2</x:t>
        </x:is>
      </x:c>
      <x:c r="C6" s="5" t="inlineStr">
        <x:is>
          <x:t xml:space="preserve">V05_coding_assumptions</x:t>
        </x:is>
      </x:c>
      <x:c r="D6" s="5" t="inlineStr">
        <x:is>
          <x:t xml:space="preserve">keyword_highlight</x:t>
        </x:is>
      </x:c>
      <x:c r="E6" s="5" t="inlineStr">
        <x:is>
          <x:t xml:space="preserve">audio_on</x:t>
        </x:is>
      </x:c>
      <x:c r="F6" s="6" t="inlineStr">
        <x:is>
          <x:t xml:space="preserve"/>
        </x:is>
      </x:c>
      <x:c r="G6" s="6" t="inlineStr">
        <x:is>
          <x:t xml:space="preserve">6</x:t>
        </x:is>
      </x:c>
      <x:c r="H6" s="5" t="inlineStr">
        <x:is>
          <x:t xml:space="preserve"/>
        </x:is>
      </x:c>
      <x:c r="I6" s="5" t="inlineStr">
        <x:is>
          <x:t xml:space="preserve"/>
        </x:is>
      </x:c>
      <x:c r="J6" s="5" t="inlineStr">
        <x:is>
          <x:t xml:space="preserve"/>
        </x:is>
      </x:c>
      <x:c r="K6" s="5" t="inlineStr">
        <x:is>
          <x:t xml:space="preserve"/>
        </x:is>
      </x:c>
      <x:c r="L6" s="5" t="inlineStr">
        <x:is>
          <x:t xml:space="preserve"/>
        </x:is>
      </x:c>
      <x:c r="M6" s="5" t="inlineStr">
        <x:is>
          <x:t xml:space="preserve"/>
        </x:is>
      </x:c>
      <x:c r="N6" s="5" t="inlineStr">
        <x:is>
          <x:t xml:space="preserve"/>
        </x:is>
      </x:c>
      <x:c r="O6" s="5" t="inlineStr">
        <x:is>
          <x:t xml:space="preserve"/>
        </x:is>
      </x:c>
      <x:c r="P6" s="5" t="inlineStr">
        <x:is>
          <x:t xml:space="preserve"/>
        </x:is>
      </x:c>
      <x:c r="Q6" s="5" t="inlineStr">
        <x:is>
          <x:t xml:space="preserve"/>
        </x:is>
      </x:c>
      <x:c r="R6" s="5">
        <x:f>IF(OR(F6="",G6=""),"",IF(F6&gt;=0.95*G6,1,0))</x:f>
      </x:c>
      <x:c r="S6" s="7">
        <x:f>IFERROR((I6+J6+K6)/F6,"")</x:f>
      </x:c>
      <x:c r="T6" s="5">
        <x:f>IFERROR(I6+J6+K6,"")</x:f>
        <x:v>0</x:v>
      </x:c>
    </x:row>
    <x:row r="7" ht="22" customHeight="1">
      <x:c r="A7" s="5" t="inlineStr">
        <x:is>
          <x:t xml:space="preserve">P001</x:t>
        </x:is>
      </x:c>
      <x:c r="B7" s="5" t="inlineStr">
        <x:is>
          <x:t xml:space="preserve">3</x:t>
        </x:is>
      </x:c>
      <x:c r="C7" s="5" t="inlineStr">
        <x:is>
          <x:t xml:space="preserve">V10_tutorial_ui</x:t>
        </x:is>
      </x:c>
      <x:c r="D7" s="5" t="inlineStr">
        <x:is>
          <x:t xml:space="preserve">semantic_compression</x:t>
        </x:is>
      </x:c>
      <x:c r="E7" s="5" t="inlineStr">
        <x:is>
          <x:t xml:space="preserve">muted</x:t>
        </x:is>
      </x:c>
      <x:c r="F7" s="6" t="inlineStr">
        <x:is>
          <x:t xml:space="preserve"/>
        </x:is>
      </x:c>
      <x:c r="G7" s="6" t="inlineStr">
        <x:is>
          <x:t xml:space="preserve">6</x:t>
        </x:is>
      </x:c>
      <x:c r="H7" s="5" t="inlineStr">
        <x:is>
          <x:t xml:space="preserve"/>
        </x:is>
      </x:c>
      <x:c r="I7" s="5" t="inlineStr">
        <x:is>
          <x:t xml:space="preserve"/>
        </x:is>
      </x:c>
      <x:c r="J7" s="5" t="inlineStr">
        <x:is>
          <x:t xml:space="preserve"/>
        </x:is>
      </x:c>
      <x:c r="K7" s="5" t="inlineStr">
        <x:is>
          <x:t xml:space="preserve"/>
        </x:is>
      </x:c>
      <x:c r="L7" s="5" t="inlineStr">
        <x:is>
          <x:t xml:space="preserve"/>
        </x:is>
      </x:c>
      <x:c r="M7" s="5" t="inlineStr">
        <x:is>
          <x:t xml:space="preserve"/>
        </x:is>
      </x:c>
      <x:c r="N7" s="5" t="inlineStr">
        <x:is>
          <x:t xml:space="preserve"/>
        </x:is>
      </x:c>
      <x:c r="O7" s="5" t="inlineStr">
        <x:is>
          <x:t xml:space="preserve"/>
        </x:is>
      </x:c>
      <x:c r="P7" s="5" t="inlineStr">
        <x:is>
          <x:t xml:space="preserve"/>
        </x:is>
      </x:c>
      <x:c r="Q7" s="5" t="inlineStr">
        <x:is>
          <x:t xml:space="preserve"/>
        </x:is>
      </x:c>
      <x:c r="R7" s="5">
        <x:f>IF(OR(F7="",G7=""),"",IF(F7&gt;=0.95*G7,1,0))</x:f>
      </x:c>
      <x:c r="S7" s="7">
        <x:f>IFERROR((I7+J7+K7)/F7,"")</x:f>
      </x:c>
      <x:c r="T7" s="5">
        <x:f>IFERROR(I7+J7+K7,"")</x:f>
        <x:v>0</x:v>
      </x:c>
    </x:row>
    <x:row r="8" ht="22" customHeight="1">
      <x:c r="A8" s="5" t="inlineStr">
        <x:is>
          <x:t xml:space="preserve">P001</x:t>
        </x:is>
      </x:c>
      <x:c r="B8" s="5" t="inlineStr">
        <x:is>
          <x:t xml:space="preserve">4</x:t>
        </x:is>
      </x:c>
      <x:c r="C8" s="5" t="inlineStr">
        <x:is>
          <x:t xml:space="preserve">V01_productivity_friction</x:t>
        </x:is>
      </x:c>
      <x:c r="D8" s="5" t="inlineStr">
        <x:is>
          <x:t xml:space="preserve">bcc</x:t>
        </x:is>
      </x:c>
      <x:c r="E8" s="5" t="inlineStr">
        <x:is>
          <x:t xml:space="preserve">audio_on</x:t>
        </x:is>
      </x:c>
      <x:c r="F8" s="6" t="inlineStr">
        <x:is>
          <x:t xml:space="preserve"/>
        </x:is>
      </x:c>
      <x:c r="G8" s="6" t="inlineStr">
        <x:is>
          <x:t xml:space="preserve">6</x:t>
        </x:is>
      </x:c>
      <x:c r="H8" s="5" t="inlineStr">
        <x:is>
          <x:t xml:space="preserve"/>
        </x:is>
      </x:c>
      <x:c r="I8" s="5" t="inlineStr">
        <x:is>
          <x:t xml:space="preserve"/>
        </x:is>
      </x:c>
      <x:c r="J8" s="5" t="inlineStr">
        <x:is>
          <x:t xml:space="preserve"/>
        </x:is>
      </x:c>
      <x:c r="K8" s="5" t="inlineStr">
        <x:is>
          <x:t xml:space="preserve"/>
        </x:is>
      </x:c>
      <x:c r="L8" s="5" t="inlineStr">
        <x:is>
          <x:t xml:space="preserve"/>
        </x:is>
      </x:c>
      <x:c r="M8" s="5" t="inlineStr">
        <x:is>
          <x:t xml:space="preserve"/>
        </x:is>
      </x:c>
      <x:c r="N8" s="5" t="inlineStr">
        <x:is>
          <x:t xml:space="preserve"/>
        </x:is>
      </x:c>
      <x:c r="O8" s="5" t="inlineStr">
        <x:is>
          <x:t xml:space="preserve"/>
        </x:is>
      </x:c>
      <x:c r="P8" s="5" t="inlineStr">
        <x:is>
          <x:t xml:space="preserve"/>
        </x:is>
      </x:c>
      <x:c r="Q8" s="5" t="inlineStr">
        <x:is>
          <x:t xml:space="preserve"/>
        </x:is>
      </x:c>
      <x:c r="R8" s="5">
        <x:f>IF(OR(F8="",G8=""),"",IF(F8&gt;=0.95*G8,1,0))</x:f>
      </x:c>
      <x:c r="S8" s="7">
        <x:f>IFERROR((I8+J8+K8)/F8,"")</x:f>
      </x:c>
      <x:c r="T8" s="5">
        <x:f>IFERROR(I8+J8+K8,"")</x:f>
        <x:v>0</x:v>
      </x:c>
    </x:row>
    <x:row r="9" ht="22" customHeight="1">
      <x:c r="A9" s="5" t="inlineStr">
        <x:is>
          <x:t xml:space="preserve">P001</x:t>
        </x:is>
      </x:c>
      <x:c r="B9" s="5" t="inlineStr">
        <x:is>
          <x:t xml:space="preserve">5</x:t>
        </x:is>
      </x:c>
      <x:c r="C9" s="5" t="inlineStr">
        <x:is>
          <x:t xml:space="preserve">V04_money_visibility</x:t>
        </x:is>
      </x:c>
      <x:c r="D9" s="5" t="inlineStr">
        <x:is>
          <x:t xml:space="preserve">bcc_plus</x:t>
        </x:is>
      </x:c>
      <x:c r="E9" s="5" t="inlineStr">
        <x:is>
          <x:t xml:space="preserve">muted</x:t>
        </x:is>
      </x:c>
      <x:c r="F9" s="6" t="inlineStr">
        <x:is>
          <x:t xml:space="preserve"/>
        </x:is>
      </x:c>
      <x:c r="G9" s="6" t="inlineStr">
        <x:is>
          <x:t xml:space="preserve">6</x:t>
        </x:is>
      </x:c>
      <x:c r="H9" s="5" t="inlineStr">
        <x:is>
          <x:t xml:space="preserve"/>
        </x:is>
      </x:c>
      <x:c r="I9" s="5" t="inlineStr">
        <x:is>
          <x:t xml:space="preserve"/>
        </x:is>
      </x:c>
      <x:c r="J9" s="5" t="inlineStr">
        <x:is>
          <x:t xml:space="preserve"/>
        </x:is>
      </x:c>
      <x:c r="K9" s="5" t="inlineStr">
        <x:is>
          <x:t xml:space="preserve"/>
        </x:is>
      </x:c>
      <x:c r="L9" s="5" t="inlineStr">
        <x:is>
          <x:t xml:space="preserve"/>
        </x:is>
      </x:c>
      <x:c r="M9" s="5" t="inlineStr">
        <x:is>
          <x:t xml:space="preserve"/>
        </x:is>
      </x:c>
      <x:c r="N9" s="5" t="inlineStr">
        <x:is>
          <x:t xml:space="preserve"/>
        </x:is>
      </x:c>
      <x:c r="O9" s="5" t="inlineStr">
        <x:is>
          <x:t xml:space="preserve"/>
        </x:is>
      </x:c>
      <x:c r="P9" s="5" t="inlineStr">
        <x:is>
          <x:t xml:space="preserve"/>
        </x:is>
      </x:c>
      <x:c r="Q9" s="5" t="inlineStr">
        <x:is>
          <x:t xml:space="preserve"/>
        </x:is>
      </x:c>
      <x:c r="R9" s="5">
        <x:f>IF(OR(F9="",G9=""),"",IF(F9&gt;=0.95*G9,1,0))</x:f>
      </x:c>
      <x:c r="S9" s="7">
        <x:f>IFERROR((I9+J9+K9)/F9,"")</x:f>
      </x:c>
      <x:c r="T9" s="5">
        <x:f>IFERROR(I9+J9+K9,"")</x:f>
        <x:v>0</x:v>
      </x:c>
    </x:row>
    <x:row r="10" ht="22" customHeight="1">
      <x:c r="A10" s="5" t="inlineStr">
        <x:is>
          <x:t xml:space="preserve">P001</x:t>
        </x:is>
      </x:c>
      <x:c r="B10" s="5" t="inlineStr">
        <x:is>
          <x:t xml:space="preserve">6</x:t>
        </x:is>
      </x:c>
      <x:c r="C10" s="5" t="inlineStr">
        <x:is>
          <x:t xml:space="preserve">V09_nutrition_satiety</x:t>
        </x:is>
      </x:c>
      <x:c r="D10" s="5" t="inlineStr">
        <x:is>
          <x:t xml:space="preserve">heavy_bionic</x:t>
        </x:is>
      </x:c>
      <x:c r="E10" s="5" t="inlineStr">
        <x:is>
          <x:t xml:space="preserve">audio_on</x:t>
        </x:is>
      </x:c>
      <x:c r="F10" s="6" t="inlineStr">
        <x:is>
          <x:t xml:space="preserve"/>
        </x:is>
      </x:c>
      <x:c r="G10" s="6" t="inlineStr">
        <x:is>
          <x:t xml:space="preserve">6</x:t>
        </x:is>
      </x:c>
      <x:c r="H10" s="5" t="inlineStr">
        <x:is>
          <x:t xml:space="preserve"/>
        </x:is>
      </x:c>
      <x:c r="I10" s="5" t="inlineStr">
        <x:is>
          <x:t xml:space="preserve"/>
        </x:is>
      </x:c>
      <x:c r="J10" s="5" t="inlineStr">
        <x:is>
          <x:t xml:space="preserve"/>
        </x:is>
      </x:c>
      <x:c r="K10" s="5" t="inlineStr">
        <x:is>
          <x:t xml:space="preserve"/>
        </x:is>
      </x:c>
      <x:c r="L10" s="5" t="inlineStr">
        <x:is>
          <x:t xml:space="preserve"/>
        </x:is>
      </x:c>
      <x:c r="M10" s="5" t="inlineStr">
        <x:is>
          <x:t xml:space="preserve"/>
        </x:is>
      </x:c>
      <x:c r="N10" s="5" t="inlineStr">
        <x:is>
          <x:t xml:space="preserve"/>
        </x:is>
      </x:c>
      <x:c r="O10" s="5" t="inlineStr">
        <x:is>
          <x:t xml:space="preserve"/>
        </x:is>
      </x:c>
      <x:c r="P10" s="5" t="inlineStr">
        <x:is>
          <x:t xml:space="preserve"/>
        </x:is>
      </x:c>
      <x:c r="Q10" s="5" t="inlineStr">
        <x:is>
          <x:t xml:space="preserve"/>
        </x:is>
      </x:c>
      <x:c r="R10" s="5">
        <x:f>IF(OR(F10="",G10=""),"",IF(F10&gt;=0.95*G10,1,0))</x:f>
      </x:c>
      <x:c r="S10" s="7">
        <x:f>IFERROR((I10+J10+K10)/F10,"")</x:f>
      </x:c>
      <x:c r="T10" s="5">
        <x:f>IFERROR(I10+J10+K10,"")</x:f>
        <x:v>0</x:v>
      </x:c>
    </x:row>
    <x:row r="11" ht="22" customHeight="1">
      <x:c r="A11" s="5" t="inlineStr">
        <x:is>
          <x:t xml:space="preserve">P001</x:t>
        </x:is>
      </x:c>
      <x:c r="B11" s="5" t="inlineStr">
        <x:is>
          <x:t xml:space="preserve">7</x:t>
        </x:is>
      </x:c>
      <x:c r="C11" s="5" t="inlineStr">
        <x:is>
          <x:t xml:space="preserve">V06_overload_open_loops</x:t>
        </x:is>
      </x:c>
      <x:c r="D11" s="5" t="inlineStr">
        <x:is>
          <x:t xml:space="preserve">full_transcript</x:t>
        </x:is>
      </x:c>
      <x:c r="E11" s="5" t="inlineStr">
        <x:is>
          <x:t xml:space="preserve">muted</x:t>
        </x:is>
      </x:c>
      <x:c r="F11" s="6" t="inlineStr">
        <x:is>
          <x:t xml:space="preserve"/>
        </x:is>
      </x:c>
      <x:c r="G11" s="6" t="inlineStr">
        <x:is>
          <x:t xml:space="preserve">6</x:t>
        </x:is>
      </x:c>
      <x:c r="H11" s="5" t="inlineStr">
        <x:is>
          <x:t xml:space="preserve"/>
        </x:is>
      </x:c>
      <x:c r="I11" s="5" t="inlineStr">
        <x:is>
          <x:t xml:space="preserve"/>
        </x:is>
      </x:c>
      <x:c r="J11" s="5" t="inlineStr">
        <x:is>
          <x:t xml:space="preserve"/>
        </x:is>
      </x:c>
      <x:c r="K11" s="5" t="inlineStr">
        <x:is>
          <x:t xml:space="preserve"/>
        </x:is>
      </x:c>
      <x:c r="L11" s="5" t="inlineStr">
        <x:is>
          <x:t xml:space="preserve"/>
        </x:is>
      </x:c>
      <x:c r="M11" s="5" t="inlineStr">
        <x:is>
          <x:t xml:space="preserve"/>
        </x:is>
      </x:c>
      <x:c r="N11" s="5" t="inlineStr">
        <x:is>
          <x:t xml:space="preserve"/>
        </x:is>
      </x:c>
      <x:c r="O11" s="5" t="inlineStr">
        <x:is>
          <x:t xml:space="preserve"/>
        </x:is>
      </x:c>
      <x:c r="P11" s="5" t="inlineStr">
        <x:is>
          <x:t xml:space="preserve"/>
        </x:is>
      </x:c>
      <x:c r="Q11" s="5" t="inlineStr">
        <x:is>
          <x:t xml:space="preserve"/>
        </x:is>
      </x:c>
      <x:c r="R11" s="5">
        <x:f>IF(OR(F11="",G11=""),"",IF(F11&gt;=0.95*G11,1,0))</x:f>
      </x:c>
      <x:c r="S11" s="7">
        <x:f>IFERROR((I11+J11+K11)/F11,"")</x:f>
      </x:c>
      <x:c r="T11" s="5">
        <x:f>IFERROR(I11+J11+K11,"")</x:f>
        <x:v>0</x:v>
      </x:c>
    </x:row>
    <x:row r="12" ht="22" customHeight="1">
      <x:c r="A12" s="5" t="inlineStr">
        <x:is>
          <x:t xml:space="preserve">P001</x:t>
        </x:is>
      </x:c>
      <x:c r="B12" s="5" t="inlineStr">
        <x:is>
          <x:t xml:space="preserve">8</x:t>
        </x:is>
      </x:c>
      <x:c r="C12" s="5" t="inlineStr">
        <x:is>
          <x:t xml:space="preserve">V07_business_clarity</x:t>
        </x:is>
      </x:c>
      <x:c r="D12" s="5" t="inlineStr">
        <x:is>
          <x:t xml:space="preserve">keyword_highlight</x:t>
        </x:is>
      </x:c>
      <x:c r="E12" s="5" t="inlineStr">
        <x:is>
          <x:t xml:space="preserve">audio_on</x:t>
        </x:is>
      </x:c>
      <x:c r="F12" s="6" t="inlineStr">
        <x:is>
          <x:t xml:space="preserve"/>
        </x:is>
      </x:c>
      <x:c r="G12" s="6" t="inlineStr">
        <x:is>
          <x:t xml:space="preserve">6</x:t>
        </x:is>
      </x:c>
      <x:c r="H12" s="5" t="inlineStr">
        <x:is>
          <x:t xml:space="preserve"/>
        </x:is>
      </x:c>
      <x:c r="I12" s="5" t="inlineStr">
        <x:is>
          <x:t xml:space="preserve"/>
        </x:is>
      </x:c>
      <x:c r="J12" s="5" t="inlineStr">
        <x:is>
          <x:t xml:space="preserve"/>
        </x:is>
      </x:c>
      <x:c r="K12" s="5" t="inlineStr">
        <x:is>
          <x:t xml:space="preserve"/>
        </x:is>
      </x:c>
      <x:c r="L12" s="5" t="inlineStr">
        <x:is>
          <x:t xml:space="preserve"/>
        </x:is>
      </x:c>
      <x:c r="M12" s="5" t="inlineStr">
        <x:is>
          <x:t xml:space="preserve"/>
        </x:is>
      </x:c>
      <x:c r="N12" s="5" t="inlineStr">
        <x:is>
          <x:t xml:space="preserve"/>
        </x:is>
      </x:c>
      <x:c r="O12" s="5" t="inlineStr">
        <x:is>
          <x:t xml:space="preserve"/>
        </x:is>
      </x:c>
      <x:c r="P12" s="5" t="inlineStr">
        <x:is>
          <x:t xml:space="preserve"/>
        </x:is>
      </x:c>
      <x:c r="Q12" s="5" t="inlineStr">
        <x:is>
          <x:t xml:space="preserve"/>
        </x:is>
      </x:c>
      <x:c r="R12" s="5">
        <x:f>IF(OR(F12="",G12=""),"",IF(F12&gt;=0.95*G12,1,0))</x:f>
      </x:c>
      <x:c r="S12" s="7">
        <x:f>IFERROR((I12+J12+K12)/F12,"")</x:f>
      </x:c>
      <x:c r="T12" s="5">
        <x:f>IFERROR(I12+J12+K12,"")</x:f>
        <x:v>0</x:v>
      </x:c>
    </x:row>
    <x:row r="13" ht="22" customHeight="1">
      <x:c r="A13" s="5" t="inlineStr">
        <x:is>
          <x:t xml:space="preserve">P001</x:t>
        </x:is>
      </x:c>
      <x:c r="B13" s="5" t="inlineStr">
        <x:is>
          <x:t xml:space="preserve">9</x:t>
        </x:is>
      </x:c>
      <x:c r="C13" s="5" t="inlineStr">
        <x:is>
          <x:t xml:space="preserve">V12_creativity_constraints</x:t>
        </x:is>
      </x:c>
      <x:c r="D13" s="5" t="inlineStr">
        <x:is>
          <x:t xml:space="preserve">semantic_compression</x:t>
        </x:is>
      </x:c>
      <x:c r="E13" s="5" t="inlineStr">
        <x:is>
          <x:t xml:space="preserve">muted</x:t>
        </x:is>
      </x:c>
      <x:c r="F13" s="6" t="inlineStr">
        <x:is>
          <x:t xml:space="preserve"/>
        </x:is>
      </x:c>
      <x:c r="G13" s="6" t="inlineStr">
        <x:is>
          <x:t xml:space="preserve">6</x:t>
        </x:is>
      </x:c>
      <x:c r="H13" s="5" t="inlineStr">
        <x:is>
          <x:t xml:space="preserve"/>
        </x:is>
      </x:c>
      <x:c r="I13" s="5" t="inlineStr">
        <x:is>
          <x:t xml:space="preserve"/>
        </x:is>
      </x:c>
      <x:c r="J13" s="5" t="inlineStr">
        <x:is>
          <x:t xml:space="preserve"/>
        </x:is>
      </x:c>
      <x:c r="K13" s="5" t="inlineStr">
        <x:is>
          <x:t xml:space="preserve"/>
        </x:is>
      </x:c>
      <x:c r="L13" s="5" t="inlineStr">
        <x:is>
          <x:t xml:space="preserve"/>
        </x:is>
      </x:c>
      <x:c r="M13" s="5" t="inlineStr">
        <x:is>
          <x:t xml:space="preserve"/>
        </x:is>
      </x:c>
      <x:c r="N13" s="5" t="inlineStr">
        <x:is>
          <x:t xml:space="preserve"/>
        </x:is>
      </x:c>
      <x:c r="O13" s="5" t="inlineStr">
        <x:is>
          <x:t xml:space="preserve"/>
        </x:is>
      </x:c>
      <x:c r="P13" s="5" t="inlineStr">
        <x:is>
          <x:t xml:space="preserve"/>
        </x:is>
      </x:c>
      <x:c r="Q13" s="5" t="inlineStr">
        <x:is>
          <x:t xml:space="preserve"/>
        </x:is>
      </x:c>
      <x:c r="R13" s="5">
        <x:f>IF(OR(F13="",G13=""),"",IF(F13&gt;=0.95*G13,1,0))</x:f>
      </x:c>
      <x:c r="S13" s="7">
        <x:f>IFERROR((I13+J13+K13)/F13,"")</x:f>
      </x:c>
      <x:c r="T13" s="5">
        <x:f>IFERROR(I13+J13+K13,"")</x:f>
        <x:v>0</x:v>
      </x:c>
    </x:row>
    <x:row r="14" ht="22" customHeight="1">
      <x:c r="A14" s="5" t="inlineStr">
        <x:is>
          <x:t xml:space="preserve">P001</x:t>
        </x:is>
      </x:c>
      <x:c r="B14" s="5" t="inlineStr">
        <x:is>
          <x:t xml:space="preserve">10</x:t>
        </x:is>
      </x:c>
      <x:c r="C14" s="5" t="inlineStr">
        <x:is>
          <x:t xml:space="preserve">V11_story_burnout</x:t>
        </x:is>
      </x:c>
      <x:c r="D14" s="5" t="inlineStr">
        <x:is>
          <x:t xml:space="preserve">bcc</x:t>
        </x:is>
      </x:c>
      <x:c r="E14" s="5" t="inlineStr">
        <x:is>
          <x:t xml:space="preserve">audio_on</x:t>
        </x:is>
      </x:c>
      <x:c r="F14" s="6" t="inlineStr">
        <x:is>
          <x:t xml:space="preserve"/>
        </x:is>
      </x:c>
      <x:c r="G14" s="6" t="inlineStr">
        <x:is>
          <x:t xml:space="preserve">6</x:t>
        </x:is>
      </x:c>
      <x:c r="H14" s="5" t="inlineStr">
        <x:is>
          <x:t xml:space="preserve"/>
        </x:is>
      </x:c>
      <x:c r="I14" s="5" t="inlineStr">
        <x:is>
          <x:t xml:space="preserve"/>
        </x:is>
      </x:c>
      <x:c r="J14" s="5" t="inlineStr">
        <x:is>
          <x:t xml:space="preserve"/>
        </x:is>
      </x:c>
      <x:c r="K14" s="5" t="inlineStr">
        <x:is>
          <x:t xml:space="preserve"/>
        </x:is>
      </x:c>
      <x:c r="L14" s="5" t="inlineStr">
        <x:is>
          <x:t xml:space="preserve"/>
        </x:is>
      </x:c>
      <x:c r="M14" s="5" t="inlineStr">
        <x:is>
          <x:t xml:space="preserve"/>
        </x:is>
      </x:c>
      <x:c r="N14" s="5" t="inlineStr">
        <x:is>
          <x:t xml:space="preserve"/>
        </x:is>
      </x:c>
      <x:c r="O14" s="5" t="inlineStr">
        <x:is>
          <x:t xml:space="preserve"/>
        </x:is>
      </x:c>
      <x:c r="P14" s="5" t="inlineStr">
        <x:is>
          <x:t xml:space="preserve"/>
        </x:is>
      </x:c>
      <x:c r="Q14" s="5" t="inlineStr">
        <x:is>
          <x:t xml:space="preserve"/>
        </x:is>
      </x:c>
      <x:c r="R14" s="5">
        <x:f>IF(OR(F14="",G14=""),"",IF(F14&gt;=0.95*G14,1,0))</x:f>
      </x:c>
      <x:c r="S14" s="7">
        <x:f>IFERROR((I14+J14+K14)/F14,"")</x:f>
      </x:c>
      <x:c r="T14" s="5">
        <x:f>IFERROR(I14+J14+K14,"")</x:f>
        <x:v>0</x:v>
      </x:c>
    </x:row>
    <x:row r="15" ht="22" customHeight="1">
      <x:c r="A15" s="5" t="inlineStr">
        <x:is>
          <x:t xml:space="preserve">P001</x:t>
        </x:is>
      </x:c>
      <x:c r="B15" s="5" t="inlineStr">
        <x:is>
          <x:t xml:space="preserve">11</x:t>
        </x:is>
      </x:c>
      <x:c r="C15" s="5" t="inlineStr">
        <x:is>
          <x:t xml:space="preserve">V08_calendar_system</x:t>
        </x:is>
      </x:c>
      <x:c r="D15" s="5" t="inlineStr">
        <x:is>
          <x:t xml:space="preserve">bcc_plus</x:t>
        </x:is>
      </x:c>
      <x:c r="E15" s="5" t="inlineStr">
        <x:is>
          <x:t xml:space="preserve">muted</x:t>
        </x:is>
      </x:c>
      <x:c r="F15" s="6" t="inlineStr">
        <x:is>
          <x:t xml:space="preserve"/>
        </x:is>
      </x:c>
      <x:c r="G15" s="6" t="inlineStr">
        <x:is>
          <x:t xml:space="preserve">6</x:t>
        </x:is>
      </x:c>
      <x:c r="H15" s="5" t="inlineStr">
        <x:is>
          <x:t xml:space="preserve"/>
        </x:is>
      </x:c>
      <x:c r="I15" s="5" t="inlineStr">
        <x:is>
          <x:t xml:space="preserve"/>
        </x:is>
      </x:c>
      <x:c r="J15" s="5" t="inlineStr">
        <x:is>
          <x:t xml:space="preserve"/>
        </x:is>
      </x:c>
      <x:c r="K15" s="5" t="inlineStr">
        <x:is>
          <x:t xml:space="preserve"/>
        </x:is>
      </x:c>
      <x:c r="L15" s="5" t="inlineStr">
        <x:is>
          <x:t xml:space="preserve"/>
        </x:is>
      </x:c>
      <x:c r="M15" s="5" t="inlineStr">
        <x:is>
          <x:t xml:space="preserve"/>
        </x:is>
      </x:c>
      <x:c r="N15" s="5" t="inlineStr">
        <x:is>
          <x:t xml:space="preserve"/>
        </x:is>
      </x:c>
      <x:c r="O15" s="5" t="inlineStr">
        <x:is>
          <x:t xml:space="preserve"/>
        </x:is>
      </x:c>
      <x:c r="P15" s="5" t="inlineStr">
        <x:is>
          <x:t xml:space="preserve"/>
        </x:is>
      </x:c>
      <x:c r="Q15" s="5" t="inlineStr">
        <x:is>
          <x:t xml:space="preserve"/>
        </x:is>
      </x:c>
      <x:c r="R15" s="5">
        <x:f>IF(OR(F15="",G15=""),"",IF(F15&gt;=0.95*G15,1,0))</x:f>
      </x:c>
      <x:c r="S15" s="7">
        <x:f>IFERROR((I15+J15+K15)/F15,"")</x:f>
      </x:c>
      <x:c r="T15" s="5">
        <x:f>IFERROR(I15+J15+K15,"")</x:f>
        <x:v>0</x:v>
      </x:c>
    </x:row>
    <x:row r="16" ht="22" customHeight="1">
      <x:c r="A16" s="5" t="inlineStr">
        <x:is>
          <x:t xml:space="preserve">P001</x:t>
        </x:is>
      </x:c>
      <x:c r="B16" s="5" t="inlineStr">
        <x:is>
          <x:t xml:space="preserve">12</x:t>
        </x:is>
      </x:c>
      <x:c r="C16" s="5" t="inlineStr">
        <x:is>
          <x:t xml:space="preserve">V03_fitness_setup</x:t>
        </x:is>
      </x:c>
      <x:c r="D16" s="5" t="inlineStr">
        <x:is>
          <x:t xml:space="preserve">heavy_bionic</x:t>
        </x:is>
      </x:c>
      <x:c r="E16" s="5" t="inlineStr">
        <x:is>
          <x:t xml:space="preserve">audio_on</x:t>
        </x:is>
      </x:c>
      <x:c r="F16" s="6" t="inlineStr">
        <x:is>
          <x:t xml:space="preserve"/>
        </x:is>
      </x:c>
      <x:c r="G16" s="6" t="inlineStr">
        <x:is>
          <x:t xml:space="preserve">6</x:t>
        </x:is>
      </x:c>
      <x:c r="H16" s="5" t="inlineStr">
        <x:is>
          <x:t xml:space="preserve"/>
        </x:is>
      </x:c>
      <x:c r="I16" s="5" t="inlineStr">
        <x:is>
          <x:t xml:space="preserve"/>
        </x:is>
      </x:c>
      <x:c r="J16" s="5" t="inlineStr">
        <x:is>
          <x:t xml:space="preserve"/>
        </x:is>
      </x:c>
      <x:c r="K16" s="5" t="inlineStr">
        <x:is>
          <x:t xml:space="preserve"/>
        </x:is>
      </x:c>
      <x:c r="L16" s="5" t="inlineStr">
        <x:is>
          <x:t xml:space="preserve"/>
        </x:is>
      </x:c>
      <x:c r="M16" s="5" t="inlineStr">
        <x:is>
          <x:t xml:space="preserve"/>
        </x:is>
      </x:c>
      <x:c r="N16" s="5" t="inlineStr">
        <x:is>
          <x:t xml:space="preserve"/>
        </x:is>
      </x:c>
      <x:c r="O16" s="5" t="inlineStr">
        <x:is>
          <x:t xml:space="preserve"/>
        </x:is>
      </x:c>
      <x:c r="P16" s="5" t="inlineStr">
        <x:is>
          <x:t xml:space="preserve"/>
        </x:is>
      </x:c>
      <x:c r="Q16" s="5" t="inlineStr">
        <x:is>
          <x:t xml:space="preserve"/>
        </x:is>
      </x:c>
      <x:c r="R16" s="5">
        <x:f>IF(OR(F16="",G16=""),"",IF(F16&gt;=0.95*G16,1,0))</x:f>
      </x:c>
      <x:c r="S16" s="7">
        <x:f>IFERROR((I16+J16+K16)/F16,"")</x:f>
      </x:c>
      <x:c r="T16" s="5">
        <x:f>IFERROR(I16+J16+K16,"")</x:f>
        <x:v>0</x:v>
      </x:c>
    </x:row>
    <x:row r="17" ht="22" customHeight="1">
      <x:c r="A17" s="5" t="inlineStr">
        <x:is>
          <x:t xml:space="preserve">P002</x:t>
        </x:is>
      </x:c>
      <x:c r="B17" s="5" t="inlineStr">
        <x:is>
          <x:t xml:space="preserve">1</x:t>
        </x:is>
      </x:c>
      <x:c r="C17" s="5" t="inlineStr">
        <x:is>
          <x:t xml:space="preserve">V11_story_burnout</x:t>
        </x:is>
      </x:c>
      <x:c r="D17" s="5" t="inlineStr">
        <x:is>
          <x:t xml:space="preserve">keyword_highlight</x:t>
        </x:is>
      </x:c>
      <x:c r="E17" s="5" t="inlineStr">
        <x:is>
          <x:t xml:space="preserve">audio_on</x:t>
        </x:is>
      </x:c>
      <x:c r="F17" s="6" t="inlineStr">
        <x:is>
          <x:t xml:space="preserve"/>
        </x:is>
      </x:c>
      <x:c r="G17" s="6" t="inlineStr">
        <x:is>
          <x:t xml:space="preserve">6</x:t>
        </x:is>
      </x:c>
      <x:c r="H17" s="5" t="inlineStr">
        <x:is>
          <x:t xml:space="preserve"/>
        </x:is>
      </x:c>
      <x:c r="I17" s="5" t="inlineStr">
        <x:is>
          <x:t xml:space="preserve"/>
        </x:is>
      </x:c>
      <x:c r="J17" s="5" t="inlineStr">
        <x:is>
          <x:t xml:space="preserve"/>
        </x:is>
      </x:c>
      <x:c r="K17" s="5" t="inlineStr">
        <x:is>
          <x:t xml:space="preserve"/>
        </x:is>
      </x:c>
      <x:c r="L17" s="5" t="inlineStr">
        <x:is>
          <x:t xml:space="preserve"/>
        </x:is>
      </x:c>
      <x:c r="M17" s="5" t="inlineStr">
        <x:is>
          <x:t xml:space="preserve"/>
        </x:is>
      </x:c>
      <x:c r="N17" s="5" t="inlineStr">
        <x:is>
          <x:t xml:space="preserve"/>
        </x:is>
      </x:c>
      <x:c r="O17" s="5" t="inlineStr">
        <x:is>
          <x:t xml:space="preserve"/>
        </x:is>
      </x:c>
      <x:c r="P17" s="5" t="inlineStr">
        <x:is>
          <x:t xml:space="preserve"/>
        </x:is>
      </x:c>
      <x:c r="Q17" s="5" t="inlineStr">
        <x:is>
          <x:t xml:space="preserve"/>
        </x:is>
      </x:c>
      <x:c r="R17" s="5">
        <x:f>IF(OR(F17="",G17=""),"",IF(F17&gt;=0.95*G17,1,0))</x:f>
      </x:c>
      <x:c r="S17" s="7">
        <x:f>IFERROR((I17+J17+K17)/F17,"")</x:f>
      </x:c>
      <x:c r="T17" s="5">
        <x:f>IFERROR(I17+J17+K17,"")</x:f>
        <x:v>0</x:v>
      </x:c>
    </x:row>
    <x:row r="18" ht="22" customHeight="1">
      <x:c r="A18" s="5" t="inlineStr">
        <x:is>
          <x:t xml:space="preserve">P002</x:t>
        </x:is>
      </x:c>
      <x:c r="B18" s="5" t="inlineStr">
        <x:is>
          <x:t xml:space="preserve">2</x:t>
        </x:is>
      </x:c>
      <x:c r="C18" s="5" t="inlineStr">
        <x:is>
          <x:t xml:space="preserve">V07_business_clarity</x:t>
        </x:is>
      </x:c>
      <x:c r="D18" s="5" t="inlineStr">
        <x:is>
          <x:t xml:space="preserve">semantic_compression</x:t>
        </x:is>
      </x:c>
      <x:c r="E18" s="5" t="inlineStr">
        <x:is>
          <x:t xml:space="preserve">muted</x:t>
        </x:is>
      </x:c>
      <x:c r="F18" s="6" t="inlineStr">
        <x:is>
          <x:t xml:space="preserve"/>
        </x:is>
      </x:c>
      <x:c r="G18" s="6" t="inlineStr">
        <x:is>
          <x:t xml:space="preserve">6</x:t>
        </x:is>
      </x:c>
      <x:c r="H18" s="5" t="inlineStr">
        <x:is>
          <x:t xml:space="preserve"/>
        </x:is>
      </x:c>
      <x:c r="I18" s="5" t="inlineStr">
        <x:is>
          <x:t xml:space="preserve"/>
        </x:is>
      </x:c>
      <x:c r="J18" s="5" t="inlineStr">
        <x:is>
          <x:t xml:space="preserve"/>
        </x:is>
      </x:c>
      <x:c r="K18" s="5" t="inlineStr">
        <x:is>
          <x:t xml:space="preserve"/>
        </x:is>
      </x:c>
      <x:c r="L18" s="5" t="inlineStr">
        <x:is>
          <x:t xml:space="preserve"/>
        </x:is>
      </x:c>
      <x:c r="M18" s="5" t="inlineStr">
        <x:is>
          <x:t xml:space="preserve"/>
        </x:is>
      </x:c>
      <x:c r="N18" s="5" t="inlineStr">
        <x:is>
          <x:t xml:space="preserve"/>
        </x:is>
      </x:c>
      <x:c r="O18" s="5" t="inlineStr">
        <x:is>
          <x:t xml:space="preserve"/>
        </x:is>
      </x:c>
      <x:c r="P18" s="5" t="inlineStr">
        <x:is>
          <x:t xml:space="preserve"/>
        </x:is>
      </x:c>
      <x:c r="Q18" s="5" t="inlineStr">
        <x:is>
          <x:t xml:space="preserve"/>
        </x:is>
      </x:c>
      <x:c r="R18" s="5">
        <x:f>IF(OR(F18="",G18=""),"",IF(F18&gt;=0.95*G18,1,0))</x:f>
      </x:c>
      <x:c r="S18" s="7">
        <x:f>IFERROR((I18+J18+K18)/F18,"")</x:f>
      </x:c>
      <x:c r="T18" s="5">
        <x:f>IFERROR(I18+J18+K18,"")</x:f>
        <x:v>0</x:v>
      </x:c>
    </x:row>
    <x:row r="19" ht="22" customHeight="1">
      <x:c r="A19" s="5" t="inlineStr">
        <x:is>
          <x:t xml:space="preserve">P002</x:t>
        </x:is>
      </x:c>
      <x:c r="B19" s="5" t="inlineStr">
        <x:is>
          <x:t xml:space="preserve">3</x:t>
        </x:is>
      </x:c>
      <x:c r="C19" s="5" t="inlineStr">
        <x:is>
          <x:t xml:space="preserve">V03_fitness_setup</x:t>
        </x:is>
      </x:c>
      <x:c r="D19" s="5" t="inlineStr">
        <x:is>
          <x:t xml:space="preserve">bcc</x:t>
        </x:is>
      </x:c>
      <x:c r="E19" s="5" t="inlineStr">
        <x:is>
          <x:t xml:space="preserve">audio_on</x:t>
        </x:is>
      </x:c>
      <x:c r="F19" s="6" t="inlineStr">
        <x:is>
          <x:t xml:space="preserve"/>
        </x:is>
      </x:c>
      <x:c r="G19" s="6" t="inlineStr">
        <x:is>
          <x:t xml:space="preserve">6</x:t>
        </x:is>
      </x:c>
      <x:c r="H19" s="5" t="inlineStr">
        <x:is>
          <x:t xml:space="preserve"/>
        </x:is>
      </x:c>
      <x:c r="I19" s="5" t="inlineStr">
        <x:is>
          <x:t xml:space="preserve"/>
        </x:is>
      </x:c>
      <x:c r="J19" s="5" t="inlineStr">
        <x:is>
          <x:t xml:space="preserve"/>
        </x:is>
      </x:c>
      <x:c r="K19" s="5" t="inlineStr">
        <x:is>
          <x:t xml:space="preserve"/>
        </x:is>
      </x:c>
      <x:c r="L19" s="5" t="inlineStr">
        <x:is>
          <x:t xml:space="preserve"/>
        </x:is>
      </x:c>
      <x:c r="M19" s="5" t="inlineStr">
        <x:is>
          <x:t xml:space="preserve"/>
        </x:is>
      </x:c>
      <x:c r="N19" s="5" t="inlineStr">
        <x:is>
          <x:t xml:space="preserve"/>
        </x:is>
      </x:c>
      <x:c r="O19" s="5" t="inlineStr">
        <x:is>
          <x:t xml:space="preserve"/>
        </x:is>
      </x:c>
      <x:c r="P19" s="5" t="inlineStr">
        <x:is>
          <x:t xml:space="preserve"/>
        </x:is>
      </x:c>
      <x:c r="Q19" s="5" t="inlineStr">
        <x:is>
          <x:t xml:space="preserve"/>
        </x:is>
      </x:c>
      <x:c r="R19" s="5">
        <x:f>IF(OR(F19="",G19=""),"",IF(F19&gt;=0.95*G19,1,0))</x:f>
      </x:c>
      <x:c r="S19" s="7">
        <x:f>IFERROR((I19+J19+K19)/F19,"")</x:f>
      </x:c>
      <x:c r="T19" s="5">
        <x:f>IFERROR(I19+J19+K19,"")</x:f>
        <x:v>0</x:v>
      </x:c>
    </x:row>
    <x:row r="20" ht="22" customHeight="1">
      <x:c r="A20" s="5" t="inlineStr">
        <x:is>
          <x:t xml:space="preserve">P002</x:t>
        </x:is>
      </x:c>
      <x:c r="B20" s="5" t="inlineStr">
        <x:is>
          <x:t xml:space="preserve">4</x:t>
        </x:is>
      </x:c>
      <x:c r="C20" s="5" t="inlineStr">
        <x:is>
          <x:t xml:space="preserve">V02_study_recall</x:t>
        </x:is>
      </x:c>
      <x:c r="D20" s="5" t="inlineStr">
        <x:is>
          <x:t xml:space="preserve">bcc_plus</x:t>
        </x:is>
      </x:c>
      <x:c r="E20" s="5" t="inlineStr">
        <x:is>
          <x:t xml:space="preserve">muted</x:t>
        </x:is>
      </x:c>
      <x:c r="F20" s="6" t="inlineStr">
        <x:is>
          <x:t xml:space="preserve"/>
        </x:is>
      </x:c>
      <x:c r="G20" s="6" t="inlineStr">
        <x:is>
          <x:t xml:space="preserve">6</x:t>
        </x:is>
      </x:c>
      <x:c r="H20" s="5" t="inlineStr">
        <x:is>
          <x:t xml:space="preserve"/>
        </x:is>
      </x:c>
      <x:c r="I20" s="5" t="inlineStr">
        <x:is>
          <x:t xml:space="preserve"/>
        </x:is>
      </x:c>
      <x:c r="J20" s="5" t="inlineStr">
        <x:is>
          <x:t xml:space="preserve"/>
        </x:is>
      </x:c>
      <x:c r="K20" s="5" t="inlineStr">
        <x:is>
          <x:t xml:space="preserve"/>
        </x:is>
      </x:c>
      <x:c r="L20" s="5" t="inlineStr">
        <x:is>
          <x:t xml:space="preserve"/>
        </x:is>
      </x:c>
      <x:c r="M20" s="5" t="inlineStr">
        <x:is>
          <x:t xml:space="preserve"/>
        </x:is>
      </x:c>
      <x:c r="N20" s="5" t="inlineStr">
        <x:is>
          <x:t xml:space="preserve"/>
        </x:is>
      </x:c>
      <x:c r="O20" s="5" t="inlineStr">
        <x:is>
          <x:t xml:space="preserve"/>
        </x:is>
      </x:c>
      <x:c r="P20" s="5" t="inlineStr">
        <x:is>
          <x:t xml:space="preserve"/>
        </x:is>
      </x:c>
      <x:c r="Q20" s="5" t="inlineStr">
        <x:is>
          <x:t xml:space="preserve"/>
        </x:is>
      </x:c>
      <x:c r="R20" s="5">
        <x:f>IF(OR(F20="",G20=""),"",IF(F20&gt;=0.95*G20,1,0))</x:f>
      </x:c>
      <x:c r="S20" s="7">
        <x:f>IFERROR((I20+J20+K20)/F20,"")</x:f>
      </x:c>
      <x:c r="T20" s="5">
        <x:f>IFERROR(I20+J20+K20,"")</x:f>
        <x:v>0</x:v>
      </x:c>
    </x:row>
    <x:row r="21" ht="22" customHeight="1">
      <x:c r="A21" s="5" t="inlineStr">
        <x:is>
          <x:t xml:space="preserve">P002</x:t>
        </x:is>
      </x:c>
      <x:c r="B21" s="5" t="inlineStr">
        <x:is>
          <x:t xml:space="preserve">5</x:t>
        </x:is>
      </x:c>
      <x:c r="C21" s="5" t="inlineStr">
        <x:is>
          <x:t xml:space="preserve">V05_coding_assumptions</x:t>
        </x:is>
      </x:c>
      <x:c r="D21" s="5" t="inlineStr">
        <x:is>
          <x:t xml:space="preserve">heavy_bionic</x:t>
        </x:is>
      </x:c>
      <x:c r="E21" s="5" t="inlineStr">
        <x:is>
          <x:t xml:space="preserve">audio_on</x:t>
        </x:is>
      </x:c>
      <x:c r="F21" s="6" t="inlineStr">
        <x:is>
          <x:t xml:space="preserve"/>
        </x:is>
      </x:c>
      <x:c r="G21" s="6" t="inlineStr">
        <x:is>
          <x:t xml:space="preserve">6</x:t>
        </x:is>
      </x:c>
      <x:c r="H21" s="5" t="inlineStr">
        <x:is>
          <x:t xml:space="preserve"/>
        </x:is>
      </x:c>
      <x:c r="I21" s="5" t="inlineStr">
        <x:is>
          <x:t xml:space="preserve"/>
        </x:is>
      </x:c>
      <x:c r="J21" s="5" t="inlineStr">
        <x:is>
          <x:t xml:space="preserve"/>
        </x:is>
      </x:c>
      <x:c r="K21" s="5" t="inlineStr">
        <x:is>
          <x:t xml:space="preserve"/>
        </x:is>
      </x:c>
      <x:c r="L21" s="5" t="inlineStr">
        <x:is>
          <x:t xml:space="preserve"/>
        </x:is>
      </x:c>
      <x:c r="M21" s="5" t="inlineStr">
        <x:is>
          <x:t xml:space="preserve"/>
        </x:is>
      </x:c>
      <x:c r="N21" s="5" t="inlineStr">
        <x:is>
          <x:t xml:space="preserve"/>
        </x:is>
      </x:c>
      <x:c r="O21" s="5" t="inlineStr">
        <x:is>
          <x:t xml:space="preserve"/>
        </x:is>
      </x:c>
      <x:c r="P21" s="5" t="inlineStr">
        <x:is>
          <x:t xml:space="preserve"/>
        </x:is>
      </x:c>
      <x:c r="Q21" s="5" t="inlineStr">
        <x:is>
          <x:t xml:space="preserve"/>
        </x:is>
      </x:c>
      <x:c r="R21" s="5">
        <x:f>IF(OR(F21="",G21=""),"",IF(F21&gt;=0.95*G21,1,0))</x:f>
      </x:c>
      <x:c r="S21" s="7">
        <x:f>IFERROR((I21+J21+K21)/F21,"")</x:f>
      </x:c>
      <x:c r="T21" s="5">
        <x:f>IFERROR(I21+J21+K21,"")</x:f>
        <x:v>0</x:v>
      </x:c>
    </x:row>
    <x:row r="22" ht="22" customHeight="1">
      <x:c r="A22" s="5" t="inlineStr">
        <x:is>
          <x:t xml:space="preserve">P002</x:t>
        </x:is>
      </x:c>
      <x:c r="B22" s="5" t="inlineStr">
        <x:is>
          <x:t xml:space="preserve">6</x:t>
        </x:is>
      </x:c>
      <x:c r="C22" s="5" t="inlineStr">
        <x:is>
          <x:t xml:space="preserve">V12_creativity_constraints</x:t>
        </x:is>
      </x:c>
      <x:c r="D22" s="5" t="inlineStr">
        <x:is>
          <x:t xml:space="preserve">full_transcript</x:t>
        </x:is>
      </x:c>
      <x:c r="E22" s="5" t="inlineStr">
        <x:is>
          <x:t xml:space="preserve">muted</x:t>
        </x:is>
      </x:c>
      <x:c r="F22" s="6" t="inlineStr">
        <x:is>
          <x:t xml:space="preserve"/>
        </x:is>
      </x:c>
      <x:c r="G22" s="6" t="inlineStr">
        <x:is>
          <x:t xml:space="preserve">6</x:t>
        </x:is>
      </x:c>
      <x:c r="H22" s="5" t="inlineStr">
        <x:is>
          <x:t xml:space="preserve"/>
        </x:is>
      </x:c>
      <x:c r="I22" s="5" t="inlineStr">
        <x:is>
          <x:t xml:space="preserve"/>
        </x:is>
      </x:c>
      <x:c r="J22" s="5" t="inlineStr">
        <x:is>
          <x:t xml:space="preserve"/>
        </x:is>
      </x:c>
      <x:c r="K22" s="5" t="inlineStr">
        <x:is>
          <x:t xml:space="preserve"/>
        </x:is>
      </x:c>
      <x:c r="L22" s="5" t="inlineStr">
        <x:is>
          <x:t xml:space="preserve"/>
        </x:is>
      </x:c>
      <x:c r="M22" s="5" t="inlineStr">
        <x:is>
          <x:t xml:space="preserve"/>
        </x:is>
      </x:c>
      <x:c r="N22" s="5" t="inlineStr">
        <x:is>
          <x:t xml:space="preserve"/>
        </x:is>
      </x:c>
      <x:c r="O22" s="5" t="inlineStr">
        <x:is>
          <x:t xml:space="preserve"/>
        </x:is>
      </x:c>
      <x:c r="P22" s="5" t="inlineStr">
        <x:is>
          <x:t xml:space="preserve"/>
        </x:is>
      </x:c>
      <x:c r="Q22" s="5" t="inlineStr">
        <x:is>
          <x:t xml:space="preserve"/>
        </x:is>
      </x:c>
      <x:c r="R22" s="5">
        <x:f>IF(OR(F22="",G22=""),"",IF(F22&gt;=0.95*G22,1,0))</x:f>
      </x:c>
      <x:c r="S22" s="7">
        <x:f>IFERROR((I22+J22+K22)/F22,"")</x:f>
      </x:c>
      <x:c r="T22" s="5">
        <x:f>IFERROR(I22+J22+K22,"")</x:f>
        <x:v>0</x:v>
      </x:c>
    </x:row>
    <x:row r="23" ht="22" customHeight="1">
      <x:c r="A23" s="5" t="inlineStr">
        <x:is>
          <x:t xml:space="preserve">P002</x:t>
        </x:is>
      </x:c>
      <x:c r="B23" s="5" t="inlineStr">
        <x:is>
          <x:t xml:space="preserve">7</x:t>
        </x:is>
      </x:c>
      <x:c r="C23" s="5" t="inlineStr">
        <x:is>
          <x:t xml:space="preserve">V01_productivity_friction</x:t>
        </x:is>
      </x:c>
      <x:c r="D23" s="5" t="inlineStr">
        <x:is>
          <x:t xml:space="preserve">keyword_highlight</x:t>
        </x:is>
      </x:c>
      <x:c r="E23" s="5" t="inlineStr">
        <x:is>
          <x:t xml:space="preserve">audio_on</x:t>
        </x:is>
      </x:c>
      <x:c r="F23" s="6" t="inlineStr">
        <x:is>
          <x:t xml:space="preserve"/>
        </x:is>
      </x:c>
      <x:c r="G23" s="6" t="inlineStr">
        <x:is>
          <x:t xml:space="preserve">6</x:t>
        </x:is>
      </x:c>
      <x:c r="H23" s="5" t="inlineStr">
        <x:is>
          <x:t xml:space="preserve"/>
        </x:is>
      </x:c>
      <x:c r="I23" s="5" t="inlineStr">
        <x:is>
          <x:t xml:space="preserve"/>
        </x:is>
      </x:c>
      <x:c r="J23" s="5" t="inlineStr">
        <x:is>
          <x:t xml:space="preserve"/>
        </x:is>
      </x:c>
      <x:c r="K23" s="5" t="inlineStr">
        <x:is>
          <x:t xml:space="preserve"/>
        </x:is>
      </x:c>
      <x:c r="L23" s="5" t="inlineStr">
        <x:is>
          <x:t xml:space="preserve"/>
        </x:is>
      </x:c>
      <x:c r="M23" s="5" t="inlineStr">
        <x:is>
          <x:t xml:space="preserve"/>
        </x:is>
      </x:c>
      <x:c r="N23" s="5" t="inlineStr">
        <x:is>
          <x:t xml:space="preserve"/>
        </x:is>
      </x:c>
      <x:c r="O23" s="5" t="inlineStr">
        <x:is>
          <x:t xml:space="preserve"/>
        </x:is>
      </x:c>
      <x:c r="P23" s="5" t="inlineStr">
        <x:is>
          <x:t xml:space="preserve"/>
        </x:is>
      </x:c>
      <x:c r="Q23" s="5" t="inlineStr">
        <x:is>
          <x:t xml:space="preserve"/>
        </x:is>
      </x:c>
      <x:c r="R23" s="5">
        <x:f>IF(OR(F23="",G23=""),"",IF(F23&gt;=0.95*G23,1,0))</x:f>
      </x:c>
      <x:c r="S23" s="7">
        <x:f>IFERROR((I23+J23+K23)/F23,"")</x:f>
      </x:c>
      <x:c r="T23" s="5">
        <x:f>IFERROR(I23+J23+K23,"")</x:f>
        <x:v>0</x:v>
      </x:c>
    </x:row>
    <x:row r="24" ht="22" customHeight="1">
      <x:c r="A24" s="5" t="inlineStr">
        <x:is>
          <x:t xml:space="preserve">P002</x:t>
        </x:is>
      </x:c>
      <x:c r="B24" s="5" t="inlineStr">
        <x:is>
          <x:t xml:space="preserve">8</x:t>
        </x:is>
      </x:c>
      <x:c r="C24" s="5" t="inlineStr">
        <x:is>
          <x:t xml:space="preserve">V08_calendar_system</x:t>
        </x:is>
      </x:c>
      <x:c r="D24" s="5" t="inlineStr">
        <x:is>
          <x:t xml:space="preserve">semantic_compression</x:t>
        </x:is>
      </x:c>
      <x:c r="E24" s="5" t="inlineStr">
        <x:is>
          <x:t xml:space="preserve">muted</x:t>
        </x:is>
      </x:c>
      <x:c r="F24" s="6" t="inlineStr">
        <x:is>
          <x:t xml:space="preserve"/>
        </x:is>
      </x:c>
      <x:c r="G24" s="6" t="inlineStr">
        <x:is>
          <x:t xml:space="preserve">6</x:t>
        </x:is>
      </x:c>
      <x:c r="H24" s="5" t="inlineStr">
        <x:is>
          <x:t xml:space="preserve"/>
        </x:is>
      </x:c>
      <x:c r="I24" s="5" t="inlineStr">
        <x:is>
          <x:t xml:space="preserve"/>
        </x:is>
      </x:c>
      <x:c r="J24" s="5" t="inlineStr">
        <x:is>
          <x:t xml:space="preserve"/>
        </x:is>
      </x:c>
      <x:c r="K24" s="5" t="inlineStr">
        <x:is>
          <x:t xml:space="preserve"/>
        </x:is>
      </x:c>
      <x:c r="L24" s="5" t="inlineStr">
        <x:is>
          <x:t xml:space="preserve"/>
        </x:is>
      </x:c>
      <x:c r="M24" s="5" t="inlineStr">
        <x:is>
          <x:t xml:space="preserve"/>
        </x:is>
      </x:c>
      <x:c r="N24" s="5" t="inlineStr">
        <x:is>
          <x:t xml:space="preserve"/>
        </x:is>
      </x:c>
      <x:c r="O24" s="5" t="inlineStr">
        <x:is>
          <x:t xml:space="preserve"/>
        </x:is>
      </x:c>
      <x:c r="P24" s="5" t="inlineStr">
        <x:is>
          <x:t xml:space="preserve"/>
        </x:is>
      </x:c>
      <x:c r="Q24" s="5" t="inlineStr">
        <x:is>
          <x:t xml:space="preserve"/>
        </x:is>
      </x:c>
      <x:c r="R24" s="5">
        <x:f>IF(OR(F24="",G24=""),"",IF(F24&gt;=0.95*G24,1,0))</x:f>
      </x:c>
      <x:c r="S24" s="7">
        <x:f>IFERROR((I24+J24+K24)/F24,"")</x:f>
      </x:c>
      <x:c r="T24" s="5">
        <x:f>IFERROR(I24+J24+K24,"")</x:f>
        <x:v>0</x:v>
      </x:c>
    </x:row>
    <x:row r="25" ht="22" customHeight="1">
      <x:c r="A25" s="5" t="inlineStr">
        <x:is>
          <x:t xml:space="preserve">P002</x:t>
        </x:is>
      </x:c>
      <x:c r="B25" s="5" t="inlineStr">
        <x:is>
          <x:t xml:space="preserve">9</x:t>
        </x:is>
      </x:c>
      <x:c r="C25" s="5" t="inlineStr">
        <x:is>
          <x:t xml:space="preserve">V06_overload_open_loops</x:t>
        </x:is>
      </x:c>
      <x:c r="D25" s="5" t="inlineStr">
        <x:is>
          <x:t xml:space="preserve">bcc</x:t>
        </x:is>
      </x:c>
      <x:c r="E25" s="5" t="inlineStr">
        <x:is>
          <x:t xml:space="preserve">audio_on</x:t>
        </x:is>
      </x:c>
      <x:c r="F25" s="6" t="inlineStr">
        <x:is>
          <x:t xml:space="preserve"/>
        </x:is>
      </x:c>
      <x:c r="G25" s="6" t="inlineStr">
        <x:is>
          <x:t xml:space="preserve">6</x:t>
        </x:is>
      </x:c>
      <x:c r="H25" s="5" t="inlineStr">
        <x:is>
          <x:t xml:space="preserve"/>
        </x:is>
      </x:c>
      <x:c r="I25" s="5" t="inlineStr">
        <x:is>
          <x:t xml:space="preserve"/>
        </x:is>
      </x:c>
      <x:c r="J25" s="5" t="inlineStr">
        <x:is>
          <x:t xml:space="preserve"/>
        </x:is>
      </x:c>
      <x:c r="K25" s="5" t="inlineStr">
        <x:is>
          <x:t xml:space="preserve"/>
        </x:is>
      </x:c>
      <x:c r="L25" s="5" t="inlineStr">
        <x:is>
          <x:t xml:space="preserve"/>
        </x:is>
      </x:c>
      <x:c r="M25" s="5" t="inlineStr">
        <x:is>
          <x:t xml:space="preserve"/>
        </x:is>
      </x:c>
      <x:c r="N25" s="5" t="inlineStr">
        <x:is>
          <x:t xml:space="preserve"/>
        </x:is>
      </x:c>
      <x:c r="O25" s="5" t="inlineStr">
        <x:is>
          <x:t xml:space="preserve"/>
        </x:is>
      </x:c>
      <x:c r="P25" s="5" t="inlineStr">
        <x:is>
          <x:t xml:space="preserve"/>
        </x:is>
      </x:c>
      <x:c r="Q25" s="5" t="inlineStr">
        <x:is>
          <x:t xml:space="preserve"/>
        </x:is>
      </x:c>
      <x:c r="R25" s="5">
        <x:f>IF(OR(F25="",G25=""),"",IF(F25&gt;=0.95*G25,1,0))</x:f>
      </x:c>
      <x:c r="S25" s="7">
        <x:f>IFERROR((I25+J25+K25)/F25,"")</x:f>
      </x:c>
      <x:c r="T25" s="5">
        <x:f>IFERROR(I25+J25+K25,"")</x:f>
        <x:v>0</x:v>
      </x:c>
    </x:row>
    <x:row r="26" ht="22" customHeight="1">
      <x:c r="A26" s="5" t="inlineStr">
        <x:is>
          <x:t xml:space="preserve">P002</x:t>
        </x:is>
      </x:c>
      <x:c r="B26" s="5" t="inlineStr">
        <x:is>
          <x:t xml:space="preserve">10</x:t>
        </x:is>
      </x:c>
      <x:c r="C26" s="5" t="inlineStr">
        <x:is>
          <x:t xml:space="preserve">V09_nutrition_satiety</x:t>
        </x:is>
      </x:c>
      <x:c r="D26" s="5" t="inlineStr">
        <x:is>
          <x:t xml:space="preserve">bcc_plus</x:t>
        </x:is>
      </x:c>
      <x:c r="E26" s="5" t="inlineStr">
        <x:is>
          <x:t xml:space="preserve">muted</x:t>
        </x:is>
      </x:c>
      <x:c r="F26" s="6" t="inlineStr">
        <x:is>
          <x:t xml:space="preserve"/>
        </x:is>
      </x:c>
      <x:c r="G26" s="6" t="inlineStr">
        <x:is>
          <x:t xml:space="preserve">6</x:t>
        </x:is>
      </x:c>
      <x:c r="H26" s="5" t="inlineStr">
        <x:is>
          <x:t xml:space="preserve"/>
        </x:is>
      </x:c>
      <x:c r="I26" s="5" t="inlineStr">
        <x:is>
          <x:t xml:space="preserve"/>
        </x:is>
      </x:c>
      <x:c r="J26" s="5" t="inlineStr">
        <x:is>
          <x:t xml:space="preserve"/>
        </x:is>
      </x:c>
      <x:c r="K26" s="5" t="inlineStr">
        <x:is>
          <x:t xml:space="preserve"/>
        </x:is>
      </x:c>
      <x:c r="L26" s="5" t="inlineStr">
        <x:is>
          <x:t xml:space="preserve"/>
        </x:is>
      </x:c>
      <x:c r="M26" s="5" t="inlineStr">
        <x:is>
          <x:t xml:space="preserve"/>
        </x:is>
      </x:c>
      <x:c r="N26" s="5" t="inlineStr">
        <x:is>
          <x:t xml:space="preserve"/>
        </x:is>
      </x:c>
      <x:c r="O26" s="5" t="inlineStr">
        <x:is>
          <x:t xml:space="preserve"/>
        </x:is>
      </x:c>
      <x:c r="P26" s="5" t="inlineStr">
        <x:is>
          <x:t xml:space="preserve"/>
        </x:is>
      </x:c>
      <x:c r="Q26" s="5" t="inlineStr">
        <x:is>
          <x:t xml:space="preserve"/>
        </x:is>
      </x:c>
      <x:c r="R26" s="5">
        <x:f>IF(OR(F26="",G26=""),"",IF(F26&gt;=0.95*G26,1,0))</x:f>
      </x:c>
      <x:c r="S26" s="7">
        <x:f>IFERROR((I26+J26+K26)/F26,"")</x:f>
      </x:c>
      <x:c r="T26" s="5">
        <x:f>IFERROR(I26+J26+K26,"")</x:f>
        <x:v>0</x:v>
      </x:c>
    </x:row>
    <x:row r="27" ht="22" customHeight="1">
      <x:c r="A27" s="5" t="inlineStr">
        <x:is>
          <x:t xml:space="preserve">P002</x:t>
        </x:is>
      </x:c>
      <x:c r="B27" s="5" t="inlineStr">
        <x:is>
          <x:t xml:space="preserve">11</x:t>
        </x:is>
      </x:c>
      <x:c r="C27" s="5" t="inlineStr">
        <x:is>
          <x:t xml:space="preserve">V04_money_visibility</x:t>
        </x:is>
      </x:c>
      <x:c r="D27" s="5" t="inlineStr">
        <x:is>
          <x:t xml:space="preserve">heavy_bionic</x:t>
        </x:is>
      </x:c>
      <x:c r="E27" s="5" t="inlineStr">
        <x:is>
          <x:t xml:space="preserve">audio_on</x:t>
        </x:is>
      </x:c>
      <x:c r="F27" s="6" t="inlineStr">
        <x:is>
          <x:t xml:space="preserve"/>
        </x:is>
      </x:c>
      <x:c r="G27" s="6" t="inlineStr">
        <x:is>
          <x:t xml:space="preserve">6</x:t>
        </x:is>
      </x:c>
      <x:c r="H27" s="5" t="inlineStr">
        <x:is>
          <x:t xml:space="preserve"/>
        </x:is>
      </x:c>
      <x:c r="I27" s="5" t="inlineStr">
        <x:is>
          <x:t xml:space="preserve"/>
        </x:is>
      </x:c>
      <x:c r="J27" s="5" t="inlineStr">
        <x:is>
          <x:t xml:space="preserve"/>
        </x:is>
      </x:c>
      <x:c r="K27" s="5" t="inlineStr">
        <x:is>
          <x:t xml:space="preserve"/>
        </x:is>
      </x:c>
      <x:c r="L27" s="5" t="inlineStr">
        <x:is>
          <x:t xml:space="preserve"/>
        </x:is>
      </x:c>
      <x:c r="M27" s="5" t="inlineStr">
        <x:is>
          <x:t xml:space="preserve"/>
        </x:is>
      </x:c>
      <x:c r="N27" s="5" t="inlineStr">
        <x:is>
          <x:t xml:space="preserve"/>
        </x:is>
      </x:c>
      <x:c r="O27" s="5" t="inlineStr">
        <x:is>
          <x:t xml:space="preserve"/>
        </x:is>
      </x:c>
      <x:c r="P27" s="5" t="inlineStr">
        <x:is>
          <x:t xml:space="preserve"/>
        </x:is>
      </x:c>
      <x:c r="Q27" s="5" t="inlineStr">
        <x:is>
          <x:t xml:space="preserve"/>
        </x:is>
      </x:c>
      <x:c r="R27" s="5">
        <x:f>IF(OR(F27="",G27=""),"",IF(F27&gt;=0.95*G27,1,0))</x:f>
      </x:c>
      <x:c r="S27" s="7">
        <x:f>IFERROR((I27+J27+K27)/F27,"")</x:f>
      </x:c>
      <x:c r="T27" s="5">
        <x:f>IFERROR(I27+J27+K27,"")</x:f>
        <x:v>0</x:v>
      </x:c>
    </x:row>
    <x:row r="28" ht="22" customHeight="1">
      <x:c r="A28" s="5" t="inlineStr">
        <x:is>
          <x:t xml:space="preserve">P002</x:t>
        </x:is>
      </x:c>
      <x:c r="B28" s="5" t="inlineStr">
        <x:is>
          <x:t xml:space="preserve">12</x:t>
        </x:is>
      </x:c>
      <x:c r="C28" s="5" t="inlineStr">
        <x:is>
          <x:t xml:space="preserve">V10_tutorial_ui</x:t>
        </x:is>
      </x:c>
      <x:c r="D28" s="5" t="inlineStr">
        <x:is>
          <x:t xml:space="preserve">full_transcript</x:t>
        </x:is>
      </x:c>
      <x:c r="E28" s="5" t="inlineStr">
        <x:is>
          <x:t xml:space="preserve">muted</x:t>
        </x:is>
      </x:c>
      <x:c r="F28" s="6" t="inlineStr">
        <x:is>
          <x:t xml:space="preserve"/>
        </x:is>
      </x:c>
      <x:c r="G28" s="6" t="inlineStr">
        <x:is>
          <x:t xml:space="preserve">6</x:t>
        </x:is>
      </x:c>
      <x:c r="H28" s="5" t="inlineStr">
        <x:is>
          <x:t xml:space="preserve"/>
        </x:is>
      </x:c>
      <x:c r="I28" s="5" t="inlineStr">
        <x:is>
          <x:t xml:space="preserve"/>
        </x:is>
      </x:c>
      <x:c r="J28" s="5" t="inlineStr">
        <x:is>
          <x:t xml:space="preserve"/>
        </x:is>
      </x:c>
      <x:c r="K28" s="5" t="inlineStr">
        <x:is>
          <x:t xml:space="preserve"/>
        </x:is>
      </x:c>
      <x:c r="L28" s="5" t="inlineStr">
        <x:is>
          <x:t xml:space="preserve"/>
        </x:is>
      </x:c>
      <x:c r="M28" s="5" t="inlineStr">
        <x:is>
          <x:t xml:space="preserve"/>
        </x:is>
      </x:c>
      <x:c r="N28" s="5" t="inlineStr">
        <x:is>
          <x:t xml:space="preserve"/>
        </x:is>
      </x:c>
      <x:c r="O28" s="5" t="inlineStr">
        <x:is>
          <x:t xml:space="preserve"/>
        </x:is>
      </x:c>
      <x:c r="P28" s="5" t="inlineStr">
        <x:is>
          <x:t xml:space="preserve"/>
        </x:is>
      </x:c>
      <x:c r="Q28" s="5" t="inlineStr">
        <x:is>
          <x:t xml:space="preserve"/>
        </x:is>
      </x:c>
      <x:c r="R28" s="5">
        <x:f>IF(OR(F28="",G28=""),"",IF(F28&gt;=0.95*G28,1,0))</x:f>
      </x:c>
      <x:c r="S28" s="7">
        <x:f>IFERROR((I28+J28+K28)/F28,"")</x:f>
      </x:c>
      <x:c r="T28" s="5">
        <x:f>IFERROR(I28+J28+K28,"")</x:f>
        <x:v>0</x:v>
      </x:c>
    </x:row>
    <x:row r="29" ht="22" customHeight="1">
      <x:c r="A29" s="5" t="inlineStr">
        <x:is>
          <x:t xml:space="preserve">P003</x:t>
        </x:is>
      </x:c>
      <x:c r="B29" s="5" t="inlineStr">
        <x:is>
          <x:t xml:space="preserve">1</x:t>
        </x:is>
      </x:c>
      <x:c r="C29" s="5" t="inlineStr">
        <x:is>
          <x:t xml:space="preserve">V01_productivity_friction</x:t>
        </x:is>
      </x:c>
      <x:c r="D29" s="5" t="inlineStr">
        <x:is>
          <x:t xml:space="preserve">semantic_compression</x:t>
        </x:is>
      </x:c>
      <x:c r="E29" s="5" t="inlineStr">
        <x:is>
          <x:t xml:space="preserve">muted</x:t>
        </x:is>
      </x:c>
      <x:c r="F29" s="6" t="inlineStr">
        <x:is>
          <x:t xml:space="preserve"/>
        </x:is>
      </x:c>
      <x:c r="G29" s="6" t="inlineStr">
        <x:is>
          <x:t xml:space="preserve">6</x:t>
        </x:is>
      </x:c>
      <x:c r="H29" s="5" t="inlineStr">
        <x:is>
          <x:t xml:space="preserve"/>
        </x:is>
      </x:c>
      <x:c r="I29" s="5" t="inlineStr">
        <x:is>
          <x:t xml:space="preserve"/>
        </x:is>
      </x:c>
      <x:c r="J29" s="5" t="inlineStr">
        <x:is>
          <x:t xml:space="preserve"/>
        </x:is>
      </x:c>
      <x:c r="K29" s="5" t="inlineStr">
        <x:is>
          <x:t xml:space="preserve"/>
        </x:is>
      </x:c>
      <x:c r="L29" s="5" t="inlineStr">
        <x:is>
          <x:t xml:space="preserve"/>
        </x:is>
      </x:c>
      <x:c r="M29" s="5" t="inlineStr">
        <x:is>
          <x:t xml:space="preserve"/>
        </x:is>
      </x:c>
      <x:c r="N29" s="5" t="inlineStr">
        <x:is>
          <x:t xml:space="preserve"/>
        </x:is>
      </x:c>
      <x:c r="O29" s="5" t="inlineStr">
        <x:is>
          <x:t xml:space="preserve"/>
        </x:is>
      </x:c>
      <x:c r="P29" s="5" t="inlineStr">
        <x:is>
          <x:t xml:space="preserve"/>
        </x:is>
      </x:c>
      <x:c r="Q29" s="5" t="inlineStr">
        <x:is>
          <x:t xml:space="preserve"/>
        </x:is>
      </x:c>
      <x:c r="R29" s="5">
        <x:f>IF(OR(F29="",G29=""),"",IF(F29&gt;=0.95*G29,1,0))</x:f>
      </x:c>
      <x:c r="S29" s="7">
        <x:f>IFERROR((I29+J29+K29)/F29,"")</x:f>
      </x:c>
      <x:c r="T29" s="5">
        <x:f>IFERROR(I29+J29+K29,"")</x:f>
        <x:v>0</x:v>
      </x:c>
    </x:row>
    <x:row r="30" ht="22" customHeight="1">
      <x:c r="A30" s="5" t="inlineStr">
        <x:is>
          <x:t xml:space="preserve">P003</x:t>
        </x:is>
      </x:c>
      <x:c r="B30" s="5" t="inlineStr">
        <x:is>
          <x:t xml:space="preserve">2</x:t>
        </x:is>
      </x:c>
      <x:c r="C30" s="5" t="inlineStr">
        <x:is>
          <x:t xml:space="preserve">V08_calendar_system</x:t>
        </x:is>
      </x:c>
      <x:c r="D30" s="5" t="inlineStr">
        <x:is>
          <x:t xml:space="preserve">bcc</x:t>
        </x:is>
      </x:c>
      <x:c r="E30" s="5" t="inlineStr">
        <x:is>
          <x:t xml:space="preserve">audio_on</x:t>
        </x:is>
      </x:c>
      <x:c r="F30" s="6" t="inlineStr">
        <x:is>
          <x:t xml:space="preserve"/>
        </x:is>
      </x:c>
      <x:c r="G30" s="6" t="inlineStr">
        <x:is>
          <x:t xml:space="preserve">6</x:t>
        </x:is>
      </x:c>
      <x:c r="H30" s="5" t="inlineStr">
        <x:is>
          <x:t xml:space="preserve"/>
        </x:is>
      </x:c>
      <x:c r="I30" s="5" t="inlineStr">
        <x:is>
          <x:t xml:space="preserve"/>
        </x:is>
      </x:c>
      <x:c r="J30" s="5" t="inlineStr">
        <x:is>
          <x:t xml:space="preserve"/>
        </x:is>
      </x:c>
      <x:c r="K30" s="5" t="inlineStr">
        <x:is>
          <x:t xml:space="preserve"/>
        </x:is>
      </x:c>
      <x:c r="L30" s="5" t="inlineStr">
        <x:is>
          <x:t xml:space="preserve"/>
        </x:is>
      </x:c>
      <x:c r="M30" s="5" t="inlineStr">
        <x:is>
          <x:t xml:space="preserve"/>
        </x:is>
      </x:c>
      <x:c r="N30" s="5" t="inlineStr">
        <x:is>
          <x:t xml:space="preserve"/>
        </x:is>
      </x:c>
      <x:c r="O30" s="5" t="inlineStr">
        <x:is>
          <x:t xml:space="preserve"/>
        </x:is>
      </x:c>
      <x:c r="P30" s="5" t="inlineStr">
        <x:is>
          <x:t xml:space="preserve"/>
        </x:is>
      </x:c>
      <x:c r="Q30" s="5" t="inlineStr">
        <x:is>
          <x:t xml:space="preserve"/>
        </x:is>
      </x:c>
      <x:c r="R30" s="5">
        <x:f>IF(OR(F30="",G30=""),"",IF(F30&gt;=0.95*G30,1,0))</x:f>
      </x:c>
      <x:c r="S30" s="7">
        <x:f>IFERROR((I30+J30+K30)/F30,"")</x:f>
      </x:c>
      <x:c r="T30" s="5">
        <x:f>IFERROR(I30+J30+K30,"")</x:f>
        <x:v>0</x:v>
      </x:c>
    </x:row>
    <x:row r="31" ht="22" customHeight="1">
      <x:c r="A31" s="5" t="inlineStr">
        <x:is>
          <x:t xml:space="preserve">P003</x:t>
        </x:is>
      </x:c>
      <x:c r="B31" s="5" t="inlineStr">
        <x:is>
          <x:t xml:space="preserve">3</x:t>
        </x:is>
      </x:c>
      <x:c r="C31" s="5" t="inlineStr">
        <x:is>
          <x:t xml:space="preserve">V04_money_visibility</x:t>
        </x:is>
      </x:c>
      <x:c r="D31" s="5" t="inlineStr">
        <x:is>
          <x:t xml:space="preserve">bcc_plus</x:t>
        </x:is>
      </x:c>
      <x:c r="E31" s="5" t="inlineStr">
        <x:is>
          <x:t xml:space="preserve">muted</x:t>
        </x:is>
      </x:c>
      <x:c r="F31" s="6" t="inlineStr">
        <x:is>
          <x:t xml:space="preserve"/>
        </x:is>
      </x:c>
      <x:c r="G31" s="6" t="inlineStr">
        <x:is>
          <x:t xml:space="preserve">6</x:t>
        </x:is>
      </x:c>
      <x:c r="H31" s="5" t="inlineStr">
        <x:is>
          <x:t xml:space="preserve"/>
        </x:is>
      </x:c>
      <x:c r="I31" s="5" t="inlineStr">
        <x:is>
          <x:t xml:space="preserve"/>
        </x:is>
      </x:c>
      <x:c r="J31" s="5" t="inlineStr">
        <x:is>
          <x:t xml:space="preserve"/>
        </x:is>
      </x:c>
      <x:c r="K31" s="5" t="inlineStr">
        <x:is>
          <x:t xml:space="preserve"/>
        </x:is>
      </x:c>
      <x:c r="L31" s="5" t="inlineStr">
        <x:is>
          <x:t xml:space="preserve"/>
        </x:is>
      </x:c>
      <x:c r="M31" s="5" t="inlineStr">
        <x:is>
          <x:t xml:space="preserve"/>
        </x:is>
      </x:c>
      <x:c r="N31" s="5" t="inlineStr">
        <x:is>
          <x:t xml:space="preserve"/>
        </x:is>
      </x:c>
      <x:c r="O31" s="5" t="inlineStr">
        <x:is>
          <x:t xml:space="preserve"/>
        </x:is>
      </x:c>
      <x:c r="P31" s="5" t="inlineStr">
        <x:is>
          <x:t xml:space="preserve"/>
        </x:is>
      </x:c>
      <x:c r="Q31" s="5" t="inlineStr">
        <x:is>
          <x:t xml:space="preserve"/>
        </x:is>
      </x:c>
      <x:c r="R31" s="5">
        <x:f>IF(OR(F31="",G31=""),"",IF(F31&gt;=0.95*G31,1,0))</x:f>
      </x:c>
      <x:c r="S31" s="7">
        <x:f>IFERROR((I31+J31+K31)/F31,"")</x:f>
      </x:c>
      <x:c r="T31" s="5">
        <x:f>IFERROR(I31+J31+K31,"")</x:f>
        <x:v>0</x:v>
      </x:c>
    </x:row>
    <x:row r="32" ht="22" customHeight="1">
      <x:c r="A32" s="5" t="inlineStr">
        <x:is>
          <x:t xml:space="preserve">P003</x:t>
        </x:is>
      </x:c>
      <x:c r="B32" s="5" t="inlineStr">
        <x:is>
          <x:t xml:space="preserve">4</x:t>
        </x:is>
      </x:c>
      <x:c r="C32" s="5" t="inlineStr">
        <x:is>
          <x:t xml:space="preserve">V02_study_recall</x:t>
        </x:is>
      </x:c>
      <x:c r="D32" s="5" t="inlineStr">
        <x:is>
          <x:t xml:space="preserve">heavy_bionic</x:t>
        </x:is>
      </x:c>
      <x:c r="E32" s="5" t="inlineStr">
        <x:is>
          <x:t xml:space="preserve">audio_on</x:t>
        </x:is>
      </x:c>
      <x:c r="F32" s="6" t="inlineStr">
        <x:is>
          <x:t xml:space="preserve"/>
        </x:is>
      </x:c>
      <x:c r="G32" s="6" t="inlineStr">
        <x:is>
          <x:t xml:space="preserve">6</x:t>
        </x:is>
      </x:c>
      <x:c r="H32" s="5" t="inlineStr">
        <x:is>
          <x:t xml:space="preserve"/>
        </x:is>
      </x:c>
      <x:c r="I32" s="5" t="inlineStr">
        <x:is>
          <x:t xml:space="preserve"/>
        </x:is>
      </x:c>
      <x:c r="J32" s="5" t="inlineStr">
        <x:is>
          <x:t xml:space="preserve"/>
        </x:is>
      </x:c>
      <x:c r="K32" s="5" t="inlineStr">
        <x:is>
          <x:t xml:space="preserve"/>
        </x:is>
      </x:c>
      <x:c r="L32" s="5" t="inlineStr">
        <x:is>
          <x:t xml:space="preserve"/>
        </x:is>
      </x:c>
      <x:c r="M32" s="5" t="inlineStr">
        <x:is>
          <x:t xml:space="preserve"/>
        </x:is>
      </x:c>
      <x:c r="N32" s="5" t="inlineStr">
        <x:is>
          <x:t xml:space="preserve"/>
        </x:is>
      </x:c>
      <x:c r="O32" s="5" t="inlineStr">
        <x:is>
          <x:t xml:space="preserve"/>
        </x:is>
      </x:c>
      <x:c r="P32" s="5" t="inlineStr">
        <x:is>
          <x:t xml:space="preserve"/>
        </x:is>
      </x:c>
      <x:c r="Q32" s="5" t="inlineStr">
        <x:is>
          <x:t xml:space="preserve"/>
        </x:is>
      </x:c>
      <x:c r="R32" s="5">
        <x:f>IF(OR(F32="",G32=""),"",IF(F32&gt;=0.95*G32,1,0))</x:f>
      </x:c>
      <x:c r="S32" s="7">
        <x:f>IFERROR((I32+J32+K32)/F32,"")</x:f>
      </x:c>
      <x:c r="T32" s="5">
        <x:f>IFERROR(I32+J32+K32,"")</x:f>
        <x:v>0</x:v>
      </x:c>
    </x:row>
    <x:row r="33" ht="22" customHeight="1">
      <x:c r="A33" s="5" t="inlineStr">
        <x:is>
          <x:t xml:space="preserve">P003</x:t>
        </x:is>
      </x:c>
      <x:c r="B33" s="5" t="inlineStr">
        <x:is>
          <x:t xml:space="preserve">5</x:t>
        </x:is>
      </x:c>
      <x:c r="C33" s="5" t="inlineStr">
        <x:is>
          <x:t xml:space="preserve">V07_business_clarity</x:t>
        </x:is>
      </x:c>
      <x:c r="D33" s="5" t="inlineStr">
        <x:is>
          <x:t xml:space="preserve">full_transcript</x:t>
        </x:is>
      </x:c>
      <x:c r="E33" s="5" t="inlineStr">
        <x:is>
          <x:t xml:space="preserve">muted</x:t>
        </x:is>
      </x:c>
      <x:c r="F33" s="6" t="inlineStr">
        <x:is>
          <x:t xml:space="preserve"/>
        </x:is>
      </x:c>
      <x:c r="G33" s="6" t="inlineStr">
        <x:is>
          <x:t xml:space="preserve">6</x:t>
        </x:is>
      </x:c>
      <x:c r="H33" s="5" t="inlineStr">
        <x:is>
          <x:t xml:space="preserve"/>
        </x:is>
      </x:c>
      <x:c r="I33" s="5" t="inlineStr">
        <x:is>
          <x:t xml:space="preserve"/>
        </x:is>
      </x:c>
      <x:c r="J33" s="5" t="inlineStr">
        <x:is>
          <x:t xml:space="preserve"/>
        </x:is>
      </x:c>
      <x:c r="K33" s="5" t="inlineStr">
        <x:is>
          <x:t xml:space="preserve"/>
        </x:is>
      </x:c>
      <x:c r="L33" s="5" t="inlineStr">
        <x:is>
          <x:t xml:space="preserve"/>
        </x:is>
      </x:c>
      <x:c r="M33" s="5" t="inlineStr">
        <x:is>
          <x:t xml:space="preserve"/>
        </x:is>
      </x:c>
      <x:c r="N33" s="5" t="inlineStr">
        <x:is>
          <x:t xml:space="preserve"/>
        </x:is>
      </x:c>
      <x:c r="O33" s="5" t="inlineStr">
        <x:is>
          <x:t xml:space="preserve"/>
        </x:is>
      </x:c>
      <x:c r="P33" s="5" t="inlineStr">
        <x:is>
          <x:t xml:space="preserve"/>
        </x:is>
      </x:c>
      <x:c r="Q33" s="5" t="inlineStr">
        <x:is>
          <x:t xml:space="preserve"/>
        </x:is>
      </x:c>
      <x:c r="R33" s="5">
        <x:f>IF(OR(F33="",G33=""),"",IF(F33&gt;=0.95*G33,1,0))</x:f>
      </x:c>
      <x:c r="S33" s="7">
        <x:f>IFERROR((I33+J33+K33)/F33,"")</x:f>
      </x:c>
      <x:c r="T33" s="5">
        <x:f>IFERROR(I33+J33+K33,"")</x:f>
        <x:v>0</x:v>
      </x:c>
    </x:row>
    <x:row r="34" ht="22" customHeight="1">
      <x:c r="A34" s="5" t="inlineStr">
        <x:is>
          <x:t xml:space="preserve">P003</x:t>
        </x:is>
      </x:c>
      <x:c r="B34" s="5" t="inlineStr">
        <x:is>
          <x:t xml:space="preserve">6</x:t>
        </x:is>
      </x:c>
      <x:c r="C34" s="5" t="inlineStr">
        <x:is>
          <x:t xml:space="preserve">V09_nutrition_satiety</x:t>
        </x:is>
      </x:c>
      <x:c r="D34" s="5" t="inlineStr">
        <x:is>
          <x:t xml:space="preserve">keyword_highlight</x:t>
        </x:is>
      </x:c>
      <x:c r="E34" s="5" t="inlineStr">
        <x:is>
          <x:t xml:space="preserve">audio_on</x:t>
        </x:is>
      </x:c>
      <x:c r="F34" s="6" t="inlineStr">
        <x:is>
          <x:t xml:space="preserve"/>
        </x:is>
      </x:c>
      <x:c r="G34" s="6" t="inlineStr">
        <x:is>
          <x:t xml:space="preserve">6</x:t>
        </x:is>
      </x:c>
      <x:c r="H34" s="5" t="inlineStr">
        <x:is>
          <x:t xml:space="preserve"/>
        </x:is>
      </x:c>
      <x:c r="I34" s="5" t="inlineStr">
        <x:is>
          <x:t xml:space="preserve"/>
        </x:is>
      </x:c>
      <x:c r="J34" s="5" t="inlineStr">
        <x:is>
          <x:t xml:space="preserve"/>
        </x:is>
      </x:c>
      <x:c r="K34" s="5" t="inlineStr">
        <x:is>
          <x:t xml:space="preserve"/>
        </x:is>
      </x:c>
      <x:c r="L34" s="5" t="inlineStr">
        <x:is>
          <x:t xml:space="preserve"/>
        </x:is>
      </x:c>
      <x:c r="M34" s="5" t="inlineStr">
        <x:is>
          <x:t xml:space="preserve"/>
        </x:is>
      </x:c>
      <x:c r="N34" s="5" t="inlineStr">
        <x:is>
          <x:t xml:space="preserve"/>
        </x:is>
      </x:c>
      <x:c r="O34" s="5" t="inlineStr">
        <x:is>
          <x:t xml:space="preserve"/>
        </x:is>
      </x:c>
      <x:c r="P34" s="5" t="inlineStr">
        <x:is>
          <x:t xml:space="preserve"/>
        </x:is>
      </x:c>
      <x:c r="Q34" s="5" t="inlineStr">
        <x:is>
          <x:t xml:space="preserve"/>
        </x:is>
      </x:c>
      <x:c r="R34" s="5">
        <x:f>IF(OR(F34="",G34=""),"",IF(F34&gt;=0.95*G34,1,0))</x:f>
      </x:c>
      <x:c r="S34" s="7">
        <x:f>IFERROR((I34+J34+K34)/F34,"")</x:f>
      </x:c>
      <x:c r="T34" s="5">
        <x:f>IFERROR(I34+J34+K34,"")</x:f>
        <x:v>0</x:v>
      </x:c>
    </x:row>
    <x:row r="35" ht="22" customHeight="1">
      <x:c r="A35" s="5" t="inlineStr">
        <x:is>
          <x:t xml:space="preserve">P003</x:t>
        </x:is>
      </x:c>
      <x:c r="B35" s="5" t="inlineStr">
        <x:is>
          <x:t xml:space="preserve">7</x:t>
        </x:is>
      </x:c>
      <x:c r="C35" s="5" t="inlineStr">
        <x:is>
          <x:t xml:space="preserve">V05_coding_assumptions</x:t>
        </x:is>
      </x:c>
      <x:c r="D35" s="5" t="inlineStr">
        <x:is>
          <x:t xml:space="preserve">semantic_compression</x:t>
        </x:is>
      </x:c>
      <x:c r="E35" s="5" t="inlineStr">
        <x:is>
          <x:t xml:space="preserve">muted</x:t>
        </x:is>
      </x:c>
      <x:c r="F35" s="6" t="inlineStr">
        <x:is>
          <x:t xml:space="preserve"/>
        </x:is>
      </x:c>
      <x:c r="G35" s="6" t="inlineStr">
        <x:is>
          <x:t xml:space="preserve">6</x:t>
        </x:is>
      </x:c>
      <x:c r="H35" s="5" t="inlineStr">
        <x:is>
          <x:t xml:space="preserve"/>
        </x:is>
      </x:c>
      <x:c r="I35" s="5" t="inlineStr">
        <x:is>
          <x:t xml:space="preserve"/>
        </x:is>
      </x:c>
      <x:c r="J35" s="5" t="inlineStr">
        <x:is>
          <x:t xml:space="preserve"/>
        </x:is>
      </x:c>
      <x:c r="K35" s="5" t="inlineStr">
        <x:is>
          <x:t xml:space="preserve"/>
        </x:is>
      </x:c>
      <x:c r="L35" s="5" t="inlineStr">
        <x:is>
          <x:t xml:space="preserve"/>
        </x:is>
      </x:c>
      <x:c r="M35" s="5" t="inlineStr">
        <x:is>
          <x:t xml:space="preserve"/>
        </x:is>
      </x:c>
      <x:c r="N35" s="5" t="inlineStr">
        <x:is>
          <x:t xml:space="preserve"/>
        </x:is>
      </x:c>
      <x:c r="O35" s="5" t="inlineStr">
        <x:is>
          <x:t xml:space="preserve"/>
        </x:is>
      </x:c>
      <x:c r="P35" s="5" t="inlineStr">
        <x:is>
          <x:t xml:space="preserve"/>
        </x:is>
      </x:c>
      <x:c r="Q35" s="5" t="inlineStr">
        <x:is>
          <x:t xml:space="preserve"/>
        </x:is>
      </x:c>
      <x:c r="R35" s="5">
        <x:f>IF(OR(F35="",G35=""),"",IF(F35&gt;=0.95*G35,1,0))</x:f>
      </x:c>
      <x:c r="S35" s="7">
        <x:f>IFERROR((I35+J35+K35)/F35,"")</x:f>
      </x:c>
      <x:c r="T35" s="5">
        <x:f>IFERROR(I35+J35+K35,"")</x:f>
        <x:v>0</x:v>
      </x:c>
    </x:row>
    <x:row r="36" ht="22" customHeight="1">
      <x:c r="A36" s="5" t="inlineStr">
        <x:is>
          <x:t xml:space="preserve">P003</x:t>
        </x:is>
      </x:c>
      <x:c r="B36" s="5" t="inlineStr">
        <x:is>
          <x:t xml:space="preserve">8</x:t>
        </x:is>
      </x:c>
      <x:c r="C36" s="5" t="inlineStr">
        <x:is>
          <x:t xml:space="preserve">V12_creativity_constraints</x:t>
        </x:is>
      </x:c>
      <x:c r="D36" s="5" t="inlineStr">
        <x:is>
          <x:t xml:space="preserve">bcc</x:t>
        </x:is>
      </x:c>
      <x:c r="E36" s="5" t="inlineStr">
        <x:is>
          <x:t xml:space="preserve">audio_on</x:t>
        </x:is>
      </x:c>
      <x:c r="F36" s="6" t="inlineStr">
        <x:is>
          <x:t xml:space="preserve"/>
        </x:is>
      </x:c>
      <x:c r="G36" s="6" t="inlineStr">
        <x:is>
          <x:t xml:space="preserve">6</x:t>
        </x:is>
      </x:c>
      <x:c r="H36" s="5" t="inlineStr">
        <x:is>
          <x:t xml:space="preserve"/>
        </x:is>
      </x:c>
      <x:c r="I36" s="5" t="inlineStr">
        <x:is>
          <x:t xml:space="preserve"/>
        </x:is>
      </x:c>
      <x:c r="J36" s="5" t="inlineStr">
        <x:is>
          <x:t xml:space="preserve"/>
        </x:is>
      </x:c>
      <x:c r="K36" s="5" t="inlineStr">
        <x:is>
          <x:t xml:space="preserve"/>
        </x:is>
      </x:c>
      <x:c r="L36" s="5" t="inlineStr">
        <x:is>
          <x:t xml:space="preserve"/>
        </x:is>
      </x:c>
      <x:c r="M36" s="5" t="inlineStr">
        <x:is>
          <x:t xml:space="preserve"/>
        </x:is>
      </x:c>
      <x:c r="N36" s="5" t="inlineStr">
        <x:is>
          <x:t xml:space="preserve"/>
        </x:is>
      </x:c>
      <x:c r="O36" s="5" t="inlineStr">
        <x:is>
          <x:t xml:space="preserve"/>
        </x:is>
      </x:c>
      <x:c r="P36" s="5" t="inlineStr">
        <x:is>
          <x:t xml:space="preserve"/>
        </x:is>
      </x:c>
      <x:c r="Q36" s="5" t="inlineStr">
        <x:is>
          <x:t xml:space="preserve"/>
        </x:is>
      </x:c>
      <x:c r="R36" s="5">
        <x:f>IF(OR(F36="",G36=""),"",IF(F36&gt;=0.95*G36,1,0))</x:f>
      </x:c>
      <x:c r="S36" s="7">
        <x:f>IFERROR((I36+J36+K36)/F36,"")</x:f>
      </x:c>
      <x:c r="T36" s="5">
        <x:f>IFERROR(I36+J36+K36,"")</x:f>
        <x:v>0</x:v>
      </x:c>
    </x:row>
    <x:row r="37" ht="22" customHeight="1">
      <x:c r="A37" s="5" t="inlineStr">
        <x:is>
          <x:t xml:space="preserve">P003</x:t>
        </x:is>
      </x:c>
      <x:c r="B37" s="5" t="inlineStr">
        <x:is>
          <x:t xml:space="preserve">9</x:t>
        </x:is>
      </x:c>
      <x:c r="C37" s="5" t="inlineStr">
        <x:is>
          <x:t xml:space="preserve">V06_overload_open_loops</x:t>
        </x:is>
      </x:c>
      <x:c r="D37" s="5" t="inlineStr">
        <x:is>
          <x:t xml:space="preserve">bcc_plus</x:t>
        </x:is>
      </x:c>
      <x:c r="E37" s="5" t="inlineStr">
        <x:is>
          <x:t xml:space="preserve">muted</x:t>
        </x:is>
      </x:c>
      <x:c r="F37" s="6" t="inlineStr">
        <x:is>
          <x:t xml:space="preserve"/>
        </x:is>
      </x:c>
      <x:c r="G37" s="6" t="inlineStr">
        <x:is>
          <x:t xml:space="preserve">6</x:t>
        </x:is>
      </x:c>
      <x:c r="H37" s="5" t="inlineStr">
        <x:is>
          <x:t xml:space="preserve"/>
        </x:is>
      </x:c>
      <x:c r="I37" s="5" t="inlineStr">
        <x:is>
          <x:t xml:space="preserve"/>
        </x:is>
      </x:c>
      <x:c r="J37" s="5" t="inlineStr">
        <x:is>
          <x:t xml:space="preserve"/>
        </x:is>
      </x:c>
      <x:c r="K37" s="5" t="inlineStr">
        <x:is>
          <x:t xml:space="preserve"/>
        </x:is>
      </x:c>
      <x:c r="L37" s="5" t="inlineStr">
        <x:is>
          <x:t xml:space="preserve"/>
        </x:is>
      </x:c>
      <x:c r="M37" s="5" t="inlineStr">
        <x:is>
          <x:t xml:space="preserve"/>
        </x:is>
      </x:c>
      <x:c r="N37" s="5" t="inlineStr">
        <x:is>
          <x:t xml:space="preserve"/>
        </x:is>
      </x:c>
      <x:c r="O37" s="5" t="inlineStr">
        <x:is>
          <x:t xml:space="preserve"/>
        </x:is>
      </x:c>
      <x:c r="P37" s="5" t="inlineStr">
        <x:is>
          <x:t xml:space="preserve"/>
        </x:is>
      </x:c>
      <x:c r="Q37" s="5" t="inlineStr">
        <x:is>
          <x:t xml:space="preserve"/>
        </x:is>
      </x:c>
      <x:c r="R37" s="5">
        <x:f>IF(OR(F37="",G37=""),"",IF(F37&gt;=0.95*G37,1,0))</x:f>
      </x:c>
      <x:c r="S37" s="7">
        <x:f>IFERROR((I37+J37+K37)/F37,"")</x:f>
      </x:c>
      <x:c r="T37" s="5">
        <x:f>IFERROR(I37+J37+K37,"")</x:f>
        <x:v>0</x:v>
      </x:c>
    </x:row>
    <x:row r="38" ht="22" customHeight="1">
      <x:c r="A38" s="5" t="inlineStr">
        <x:is>
          <x:t xml:space="preserve">P003</x:t>
        </x:is>
      </x:c>
      <x:c r="B38" s="5" t="inlineStr">
        <x:is>
          <x:t xml:space="preserve">10</x:t>
        </x:is>
      </x:c>
      <x:c r="C38" s="5" t="inlineStr">
        <x:is>
          <x:t xml:space="preserve">V10_tutorial_ui</x:t>
        </x:is>
      </x:c>
      <x:c r="D38" s="5" t="inlineStr">
        <x:is>
          <x:t xml:space="preserve">heavy_bionic</x:t>
        </x:is>
      </x:c>
      <x:c r="E38" s="5" t="inlineStr">
        <x:is>
          <x:t xml:space="preserve">audio_on</x:t>
        </x:is>
      </x:c>
      <x:c r="F38" s="6" t="inlineStr">
        <x:is>
          <x:t xml:space="preserve"/>
        </x:is>
      </x:c>
      <x:c r="G38" s="6" t="inlineStr">
        <x:is>
          <x:t xml:space="preserve">6</x:t>
        </x:is>
      </x:c>
      <x:c r="H38" s="5" t="inlineStr">
        <x:is>
          <x:t xml:space="preserve"/>
        </x:is>
      </x:c>
      <x:c r="I38" s="5" t="inlineStr">
        <x:is>
          <x:t xml:space="preserve"/>
        </x:is>
      </x:c>
      <x:c r="J38" s="5" t="inlineStr">
        <x:is>
          <x:t xml:space="preserve"/>
        </x:is>
      </x:c>
      <x:c r="K38" s="5" t="inlineStr">
        <x:is>
          <x:t xml:space="preserve"/>
        </x:is>
      </x:c>
      <x:c r="L38" s="5" t="inlineStr">
        <x:is>
          <x:t xml:space="preserve"/>
        </x:is>
      </x:c>
      <x:c r="M38" s="5" t="inlineStr">
        <x:is>
          <x:t xml:space="preserve"/>
        </x:is>
      </x:c>
      <x:c r="N38" s="5" t="inlineStr">
        <x:is>
          <x:t xml:space="preserve"/>
        </x:is>
      </x:c>
      <x:c r="O38" s="5" t="inlineStr">
        <x:is>
          <x:t xml:space="preserve"/>
        </x:is>
      </x:c>
      <x:c r="P38" s="5" t="inlineStr">
        <x:is>
          <x:t xml:space="preserve"/>
        </x:is>
      </x:c>
      <x:c r="Q38" s="5" t="inlineStr">
        <x:is>
          <x:t xml:space="preserve"/>
        </x:is>
      </x:c>
      <x:c r="R38" s="5">
        <x:f>IF(OR(F38="",G38=""),"",IF(F38&gt;=0.95*G38,1,0))</x:f>
      </x:c>
      <x:c r="S38" s="7">
        <x:f>IFERROR((I38+J38+K38)/F38,"")</x:f>
      </x:c>
      <x:c r="T38" s="5">
        <x:f>IFERROR(I38+J38+K38,"")</x:f>
        <x:v>0</x:v>
      </x:c>
    </x:row>
    <x:row r="39" ht="22" customHeight="1">
      <x:c r="A39" s="5" t="inlineStr">
        <x:is>
          <x:t xml:space="preserve">P003</x:t>
        </x:is>
      </x:c>
      <x:c r="B39" s="5" t="inlineStr">
        <x:is>
          <x:t xml:space="preserve">11</x:t>
        </x:is>
      </x:c>
      <x:c r="C39" s="5" t="inlineStr">
        <x:is>
          <x:t xml:space="preserve">V11_story_burnout</x:t>
        </x:is>
      </x:c>
      <x:c r="D39" s="5" t="inlineStr">
        <x:is>
          <x:t xml:space="preserve">full_transcript</x:t>
        </x:is>
      </x:c>
      <x:c r="E39" s="5" t="inlineStr">
        <x:is>
          <x:t xml:space="preserve">muted</x:t>
        </x:is>
      </x:c>
      <x:c r="F39" s="6" t="inlineStr">
        <x:is>
          <x:t xml:space="preserve"/>
        </x:is>
      </x:c>
      <x:c r="G39" s="6" t="inlineStr">
        <x:is>
          <x:t xml:space="preserve">6</x:t>
        </x:is>
      </x:c>
      <x:c r="H39" s="5" t="inlineStr">
        <x:is>
          <x:t xml:space="preserve"/>
        </x:is>
      </x:c>
      <x:c r="I39" s="5" t="inlineStr">
        <x:is>
          <x:t xml:space="preserve"/>
        </x:is>
      </x:c>
      <x:c r="J39" s="5" t="inlineStr">
        <x:is>
          <x:t xml:space="preserve"/>
        </x:is>
      </x:c>
      <x:c r="K39" s="5" t="inlineStr">
        <x:is>
          <x:t xml:space="preserve"/>
        </x:is>
      </x:c>
      <x:c r="L39" s="5" t="inlineStr">
        <x:is>
          <x:t xml:space="preserve"/>
        </x:is>
      </x:c>
      <x:c r="M39" s="5" t="inlineStr">
        <x:is>
          <x:t xml:space="preserve"/>
        </x:is>
      </x:c>
      <x:c r="N39" s="5" t="inlineStr">
        <x:is>
          <x:t xml:space="preserve"/>
        </x:is>
      </x:c>
      <x:c r="O39" s="5" t="inlineStr">
        <x:is>
          <x:t xml:space="preserve"/>
        </x:is>
      </x:c>
      <x:c r="P39" s="5" t="inlineStr">
        <x:is>
          <x:t xml:space="preserve"/>
        </x:is>
      </x:c>
      <x:c r="Q39" s="5" t="inlineStr">
        <x:is>
          <x:t xml:space="preserve"/>
        </x:is>
      </x:c>
      <x:c r="R39" s="5">
        <x:f>IF(OR(F39="",G39=""),"",IF(F39&gt;=0.95*G39,1,0))</x:f>
      </x:c>
      <x:c r="S39" s="7">
        <x:f>IFERROR((I39+J39+K39)/F39,"")</x:f>
      </x:c>
      <x:c r="T39" s="5">
        <x:f>IFERROR(I39+J39+K39,"")</x:f>
        <x:v>0</x:v>
      </x:c>
    </x:row>
    <x:row r="40" ht="22" customHeight="1">
      <x:c r="A40" s="5" t="inlineStr">
        <x:is>
          <x:t xml:space="preserve">P003</x:t>
        </x:is>
      </x:c>
      <x:c r="B40" s="5" t="inlineStr">
        <x:is>
          <x:t xml:space="preserve">12</x:t>
        </x:is>
      </x:c>
      <x:c r="C40" s="5" t="inlineStr">
        <x:is>
          <x:t xml:space="preserve">V03_fitness_setup</x:t>
        </x:is>
      </x:c>
      <x:c r="D40" s="5" t="inlineStr">
        <x:is>
          <x:t xml:space="preserve">keyword_highlight</x:t>
        </x:is>
      </x:c>
      <x:c r="E40" s="5" t="inlineStr">
        <x:is>
          <x:t xml:space="preserve">audio_on</x:t>
        </x:is>
      </x:c>
      <x:c r="F40" s="6" t="inlineStr">
        <x:is>
          <x:t xml:space="preserve"/>
        </x:is>
      </x:c>
      <x:c r="G40" s="6" t="inlineStr">
        <x:is>
          <x:t xml:space="preserve">6</x:t>
        </x:is>
      </x:c>
      <x:c r="H40" s="5" t="inlineStr">
        <x:is>
          <x:t xml:space="preserve"/>
        </x:is>
      </x:c>
      <x:c r="I40" s="5" t="inlineStr">
        <x:is>
          <x:t xml:space="preserve"/>
        </x:is>
      </x:c>
      <x:c r="J40" s="5" t="inlineStr">
        <x:is>
          <x:t xml:space="preserve"/>
        </x:is>
      </x:c>
      <x:c r="K40" s="5" t="inlineStr">
        <x:is>
          <x:t xml:space="preserve"/>
        </x:is>
      </x:c>
      <x:c r="L40" s="5" t="inlineStr">
        <x:is>
          <x:t xml:space="preserve"/>
        </x:is>
      </x:c>
      <x:c r="M40" s="5" t="inlineStr">
        <x:is>
          <x:t xml:space="preserve"/>
        </x:is>
      </x:c>
      <x:c r="N40" s="5" t="inlineStr">
        <x:is>
          <x:t xml:space="preserve"/>
        </x:is>
      </x:c>
      <x:c r="O40" s="5" t="inlineStr">
        <x:is>
          <x:t xml:space="preserve"/>
        </x:is>
      </x:c>
      <x:c r="P40" s="5" t="inlineStr">
        <x:is>
          <x:t xml:space="preserve"/>
        </x:is>
      </x:c>
      <x:c r="Q40" s="5" t="inlineStr">
        <x:is>
          <x:t xml:space="preserve"/>
        </x:is>
      </x:c>
      <x:c r="R40" s="5">
        <x:f>IF(OR(F40="",G40=""),"",IF(F40&gt;=0.95*G40,1,0))</x:f>
      </x:c>
      <x:c r="S40" s="7">
        <x:f>IFERROR((I40+J40+K40)/F40,"")</x:f>
      </x:c>
      <x:c r="T40" s="5">
        <x:f>IFERROR(I40+J40+K40,"")</x:f>
        <x:v>0</x:v>
      </x:c>
    </x:row>
    <x:row r="41" ht="22" customHeight="1">
      <x:c r="A41" s="5" t="inlineStr">
        <x:is>
          <x:t xml:space="preserve">P004</x:t>
        </x:is>
      </x:c>
      <x:c r="B41" s="5" t="inlineStr">
        <x:is>
          <x:t xml:space="preserve">1</x:t>
        </x:is>
      </x:c>
      <x:c r="C41" s="5" t="inlineStr">
        <x:is>
          <x:t xml:space="preserve">V11_story_burnout</x:t>
        </x:is>
      </x:c>
      <x:c r="D41" s="5" t="inlineStr">
        <x:is>
          <x:t xml:space="preserve">bcc</x:t>
        </x:is>
      </x:c>
      <x:c r="E41" s="5" t="inlineStr">
        <x:is>
          <x:t xml:space="preserve">audio_on</x:t>
        </x:is>
      </x:c>
      <x:c r="F41" s="6" t="inlineStr">
        <x:is>
          <x:t xml:space="preserve"/>
        </x:is>
      </x:c>
      <x:c r="G41" s="6" t="inlineStr">
        <x:is>
          <x:t xml:space="preserve">6</x:t>
        </x:is>
      </x:c>
      <x:c r="H41" s="5" t="inlineStr">
        <x:is>
          <x:t xml:space="preserve"/>
        </x:is>
      </x:c>
      <x:c r="I41" s="5" t="inlineStr">
        <x:is>
          <x:t xml:space="preserve"/>
        </x:is>
      </x:c>
      <x:c r="J41" s="5" t="inlineStr">
        <x:is>
          <x:t xml:space="preserve"/>
        </x:is>
      </x:c>
      <x:c r="K41" s="5" t="inlineStr">
        <x:is>
          <x:t xml:space="preserve"/>
        </x:is>
      </x:c>
      <x:c r="L41" s="5" t="inlineStr">
        <x:is>
          <x:t xml:space="preserve"/>
        </x:is>
      </x:c>
      <x:c r="M41" s="5" t="inlineStr">
        <x:is>
          <x:t xml:space="preserve"/>
        </x:is>
      </x:c>
      <x:c r="N41" s="5" t="inlineStr">
        <x:is>
          <x:t xml:space="preserve"/>
        </x:is>
      </x:c>
      <x:c r="O41" s="5" t="inlineStr">
        <x:is>
          <x:t xml:space="preserve"/>
        </x:is>
      </x:c>
      <x:c r="P41" s="5" t="inlineStr">
        <x:is>
          <x:t xml:space="preserve"/>
        </x:is>
      </x:c>
      <x:c r="Q41" s="5" t="inlineStr">
        <x:is>
          <x:t xml:space="preserve"/>
        </x:is>
      </x:c>
      <x:c r="R41" s="5">
        <x:f>IF(OR(F41="",G41=""),"",IF(F41&gt;=0.95*G41,1,0))</x:f>
      </x:c>
      <x:c r="S41" s="7">
        <x:f>IFERROR((I41+J41+K41)/F41,"")</x:f>
      </x:c>
      <x:c r="T41" s="5">
        <x:f>IFERROR(I41+J41+K41,"")</x:f>
        <x:v>0</x:v>
      </x:c>
    </x:row>
    <x:row r="42" ht="22" customHeight="1">
      <x:c r="A42" s="5" t="inlineStr">
        <x:is>
          <x:t xml:space="preserve">P004</x:t>
        </x:is>
      </x:c>
      <x:c r="B42" s="5" t="inlineStr">
        <x:is>
          <x:t xml:space="preserve">2</x:t>
        </x:is>
      </x:c>
      <x:c r="C42" s="5" t="inlineStr">
        <x:is>
          <x:t xml:space="preserve">V01_productivity_friction</x:t>
        </x:is>
      </x:c>
      <x:c r="D42" s="5" t="inlineStr">
        <x:is>
          <x:t xml:space="preserve">bcc_plus</x:t>
        </x:is>
      </x:c>
      <x:c r="E42" s="5" t="inlineStr">
        <x:is>
          <x:t xml:space="preserve">muted</x:t>
        </x:is>
      </x:c>
      <x:c r="F42" s="6" t="inlineStr">
        <x:is>
          <x:t xml:space="preserve"/>
        </x:is>
      </x:c>
      <x:c r="G42" s="6" t="inlineStr">
        <x:is>
          <x:t xml:space="preserve">6</x:t>
        </x:is>
      </x:c>
      <x:c r="H42" s="5" t="inlineStr">
        <x:is>
          <x:t xml:space="preserve"/>
        </x:is>
      </x:c>
      <x:c r="I42" s="5" t="inlineStr">
        <x:is>
          <x:t xml:space="preserve"/>
        </x:is>
      </x:c>
      <x:c r="J42" s="5" t="inlineStr">
        <x:is>
          <x:t xml:space="preserve"/>
        </x:is>
      </x:c>
      <x:c r="K42" s="5" t="inlineStr">
        <x:is>
          <x:t xml:space="preserve"/>
        </x:is>
      </x:c>
      <x:c r="L42" s="5" t="inlineStr">
        <x:is>
          <x:t xml:space="preserve"/>
        </x:is>
      </x:c>
      <x:c r="M42" s="5" t="inlineStr">
        <x:is>
          <x:t xml:space="preserve"/>
        </x:is>
      </x:c>
      <x:c r="N42" s="5" t="inlineStr">
        <x:is>
          <x:t xml:space="preserve"/>
        </x:is>
      </x:c>
      <x:c r="O42" s="5" t="inlineStr">
        <x:is>
          <x:t xml:space="preserve"/>
        </x:is>
      </x:c>
      <x:c r="P42" s="5" t="inlineStr">
        <x:is>
          <x:t xml:space="preserve"/>
        </x:is>
      </x:c>
      <x:c r="Q42" s="5" t="inlineStr">
        <x:is>
          <x:t xml:space="preserve"/>
        </x:is>
      </x:c>
      <x:c r="R42" s="5">
        <x:f>IF(OR(F42="",G42=""),"",IF(F42&gt;=0.95*G42,1,0))</x:f>
      </x:c>
      <x:c r="S42" s="7">
        <x:f>IFERROR((I42+J42+K42)/F42,"")</x:f>
      </x:c>
      <x:c r="T42" s="5">
        <x:f>IFERROR(I42+J42+K42,"")</x:f>
        <x:v>0</x:v>
      </x:c>
    </x:row>
    <x:row r="43" ht="22" customHeight="1">
      <x:c r="A43" s="5" t="inlineStr">
        <x:is>
          <x:t xml:space="preserve">P004</x:t>
        </x:is>
      </x:c>
      <x:c r="B43" s="5" t="inlineStr">
        <x:is>
          <x:t xml:space="preserve">3</x:t>
        </x:is>
      </x:c>
      <x:c r="C43" s="5" t="inlineStr">
        <x:is>
          <x:t xml:space="preserve">V05_coding_assumptions</x:t>
        </x:is>
      </x:c>
      <x:c r="D43" s="5" t="inlineStr">
        <x:is>
          <x:t xml:space="preserve">heavy_bionic</x:t>
        </x:is>
      </x:c>
      <x:c r="E43" s="5" t="inlineStr">
        <x:is>
          <x:t xml:space="preserve">audio_on</x:t>
        </x:is>
      </x:c>
      <x:c r="F43" s="6" t="inlineStr">
        <x:is>
          <x:t xml:space="preserve"/>
        </x:is>
      </x:c>
      <x:c r="G43" s="6" t="inlineStr">
        <x:is>
          <x:t xml:space="preserve">6</x:t>
        </x:is>
      </x:c>
      <x:c r="H43" s="5" t="inlineStr">
        <x:is>
          <x:t xml:space="preserve"/>
        </x:is>
      </x:c>
      <x:c r="I43" s="5" t="inlineStr">
        <x:is>
          <x:t xml:space="preserve"/>
        </x:is>
      </x:c>
      <x:c r="J43" s="5" t="inlineStr">
        <x:is>
          <x:t xml:space="preserve"/>
        </x:is>
      </x:c>
      <x:c r="K43" s="5" t="inlineStr">
        <x:is>
          <x:t xml:space="preserve"/>
        </x:is>
      </x:c>
      <x:c r="L43" s="5" t="inlineStr">
        <x:is>
          <x:t xml:space="preserve"/>
        </x:is>
      </x:c>
      <x:c r="M43" s="5" t="inlineStr">
        <x:is>
          <x:t xml:space="preserve"/>
        </x:is>
      </x:c>
      <x:c r="N43" s="5" t="inlineStr">
        <x:is>
          <x:t xml:space="preserve"/>
        </x:is>
      </x:c>
      <x:c r="O43" s="5" t="inlineStr">
        <x:is>
          <x:t xml:space="preserve"/>
        </x:is>
      </x:c>
      <x:c r="P43" s="5" t="inlineStr">
        <x:is>
          <x:t xml:space="preserve"/>
        </x:is>
      </x:c>
      <x:c r="Q43" s="5" t="inlineStr">
        <x:is>
          <x:t xml:space="preserve"/>
        </x:is>
      </x:c>
      <x:c r="R43" s="5">
        <x:f>IF(OR(F43="",G43=""),"",IF(F43&gt;=0.95*G43,1,0))</x:f>
      </x:c>
      <x:c r="S43" s="7">
        <x:f>IFERROR((I43+J43+K43)/F43,"")</x:f>
      </x:c>
      <x:c r="T43" s="5">
        <x:f>IFERROR(I43+J43+K43,"")</x:f>
        <x:v>0</x:v>
      </x:c>
    </x:row>
    <x:row r="44" ht="22" customHeight="1">
      <x:c r="A44" s="5" t="inlineStr">
        <x:is>
          <x:t xml:space="preserve">P004</x:t>
        </x:is>
      </x:c>
      <x:c r="B44" s="5" t="inlineStr">
        <x:is>
          <x:t xml:space="preserve">4</x:t>
        </x:is>
      </x:c>
      <x:c r="C44" s="5" t="inlineStr">
        <x:is>
          <x:t xml:space="preserve">V03_fitness_setup</x:t>
        </x:is>
      </x:c>
      <x:c r="D44" s="5" t="inlineStr">
        <x:is>
          <x:t xml:space="preserve">full_transcript</x:t>
        </x:is>
      </x:c>
      <x:c r="E44" s="5" t="inlineStr">
        <x:is>
          <x:t xml:space="preserve">muted</x:t>
        </x:is>
      </x:c>
      <x:c r="F44" s="6" t="inlineStr">
        <x:is>
          <x:t xml:space="preserve"/>
        </x:is>
      </x:c>
      <x:c r="G44" s="6" t="inlineStr">
        <x:is>
          <x:t xml:space="preserve">6</x:t>
        </x:is>
      </x:c>
      <x:c r="H44" s="5" t="inlineStr">
        <x:is>
          <x:t xml:space="preserve"/>
        </x:is>
      </x:c>
      <x:c r="I44" s="5" t="inlineStr">
        <x:is>
          <x:t xml:space="preserve"/>
        </x:is>
      </x:c>
      <x:c r="J44" s="5" t="inlineStr">
        <x:is>
          <x:t xml:space="preserve"/>
        </x:is>
      </x:c>
      <x:c r="K44" s="5" t="inlineStr">
        <x:is>
          <x:t xml:space="preserve"/>
        </x:is>
      </x:c>
      <x:c r="L44" s="5" t="inlineStr">
        <x:is>
          <x:t xml:space="preserve"/>
        </x:is>
      </x:c>
      <x:c r="M44" s="5" t="inlineStr">
        <x:is>
          <x:t xml:space="preserve"/>
        </x:is>
      </x:c>
      <x:c r="N44" s="5" t="inlineStr">
        <x:is>
          <x:t xml:space="preserve"/>
        </x:is>
      </x:c>
      <x:c r="O44" s="5" t="inlineStr">
        <x:is>
          <x:t xml:space="preserve"/>
        </x:is>
      </x:c>
      <x:c r="P44" s="5" t="inlineStr">
        <x:is>
          <x:t xml:space="preserve"/>
        </x:is>
      </x:c>
      <x:c r="Q44" s="5" t="inlineStr">
        <x:is>
          <x:t xml:space="preserve"/>
        </x:is>
      </x:c>
      <x:c r="R44" s="5">
        <x:f>IF(OR(F44="",G44=""),"",IF(F44&gt;=0.95*G44,1,0))</x:f>
      </x:c>
      <x:c r="S44" s="7">
        <x:f>IFERROR((I44+J44+K44)/F44,"")</x:f>
      </x:c>
      <x:c r="T44" s="5">
        <x:f>IFERROR(I44+J44+K44,"")</x:f>
        <x:v>0</x:v>
      </x:c>
    </x:row>
    <x:row r="45" ht="22" customHeight="1">
      <x:c r="A45" s="5" t="inlineStr">
        <x:is>
          <x:t xml:space="preserve">P004</x:t>
        </x:is>
      </x:c>
      <x:c r="B45" s="5" t="inlineStr">
        <x:is>
          <x:t xml:space="preserve">5</x:t>
        </x:is>
      </x:c>
      <x:c r="C45" s="5" t="inlineStr">
        <x:is>
          <x:t xml:space="preserve">V07_business_clarity</x:t>
        </x:is>
      </x:c>
      <x:c r="D45" s="5" t="inlineStr">
        <x:is>
          <x:t xml:space="preserve">keyword_highlight</x:t>
        </x:is>
      </x:c>
      <x:c r="E45" s="5" t="inlineStr">
        <x:is>
          <x:t xml:space="preserve">audio_on</x:t>
        </x:is>
      </x:c>
      <x:c r="F45" s="6" t="inlineStr">
        <x:is>
          <x:t xml:space="preserve"/>
        </x:is>
      </x:c>
      <x:c r="G45" s="6" t="inlineStr">
        <x:is>
          <x:t xml:space="preserve">6</x:t>
        </x:is>
      </x:c>
      <x:c r="H45" s="5" t="inlineStr">
        <x:is>
          <x:t xml:space="preserve"/>
        </x:is>
      </x:c>
      <x:c r="I45" s="5" t="inlineStr">
        <x:is>
          <x:t xml:space="preserve"/>
        </x:is>
      </x:c>
      <x:c r="J45" s="5" t="inlineStr">
        <x:is>
          <x:t xml:space="preserve"/>
        </x:is>
      </x:c>
      <x:c r="K45" s="5" t="inlineStr">
        <x:is>
          <x:t xml:space="preserve"/>
        </x:is>
      </x:c>
      <x:c r="L45" s="5" t="inlineStr">
        <x:is>
          <x:t xml:space="preserve"/>
        </x:is>
      </x:c>
      <x:c r="M45" s="5" t="inlineStr">
        <x:is>
          <x:t xml:space="preserve"/>
        </x:is>
      </x:c>
      <x:c r="N45" s="5" t="inlineStr">
        <x:is>
          <x:t xml:space="preserve"/>
        </x:is>
      </x:c>
      <x:c r="O45" s="5" t="inlineStr">
        <x:is>
          <x:t xml:space="preserve"/>
        </x:is>
      </x:c>
      <x:c r="P45" s="5" t="inlineStr">
        <x:is>
          <x:t xml:space="preserve"/>
        </x:is>
      </x:c>
      <x:c r="Q45" s="5" t="inlineStr">
        <x:is>
          <x:t xml:space="preserve"/>
        </x:is>
      </x:c>
      <x:c r="R45" s="5">
        <x:f>IF(OR(F45="",G45=""),"",IF(F45&gt;=0.95*G45,1,0))</x:f>
      </x:c>
      <x:c r="S45" s="7">
        <x:f>IFERROR((I45+J45+K45)/F45,"")</x:f>
      </x:c>
      <x:c r="T45" s="5">
        <x:f>IFERROR(I45+J45+K45,"")</x:f>
        <x:v>0</x:v>
      </x:c>
    </x:row>
    <x:row r="46" ht="22" customHeight="1">
      <x:c r="A46" s="5" t="inlineStr">
        <x:is>
          <x:t xml:space="preserve">P004</x:t>
        </x:is>
      </x:c>
      <x:c r="B46" s="5" t="inlineStr">
        <x:is>
          <x:t xml:space="preserve">6</x:t>
        </x:is>
      </x:c>
      <x:c r="C46" s="5" t="inlineStr">
        <x:is>
          <x:t xml:space="preserve">V10_tutorial_ui</x:t>
        </x:is>
      </x:c>
      <x:c r="D46" s="5" t="inlineStr">
        <x:is>
          <x:t xml:space="preserve">semantic_compression</x:t>
        </x:is>
      </x:c>
      <x:c r="E46" s="5" t="inlineStr">
        <x:is>
          <x:t xml:space="preserve">muted</x:t>
        </x:is>
      </x:c>
      <x:c r="F46" s="6" t="inlineStr">
        <x:is>
          <x:t xml:space="preserve"/>
        </x:is>
      </x:c>
      <x:c r="G46" s="6" t="inlineStr">
        <x:is>
          <x:t xml:space="preserve">6</x:t>
        </x:is>
      </x:c>
      <x:c r="H46" s="5" t="inlineStr">
        <x:is>
          <x:t xml:space="preserve"/>
        </x:is>
      </x:c>
      <x:c r="I46" s="5" t="inlineStr">
        <x:is>
          <x:t xml:space="preserve"/>
        </x:is>
      </x:c>
      <x:c r="J46" s="5" t="inlineStr">
        <x:is>
          <x:t xml:space="preserve"/>
        </x:is>
      </x:c>
      <x:c r="K46" s="5" t="inlineStr">
        <x:is>
          <x:t xml:space="preserve"/>
        </x:is>
      </x:c>
      <x:c r="L46" s="5" t="inlineStr">
        <x:is>
          <x:t xml:space="preserve"/>
        </x:is>
      </x:c>
      <x:c r="M46" s="5" t="inlineStr">
        <x:is>
          <x:t xml:space="preserve"/>
        </x:is>
      </x:c>
      <x:c r="N46" s="5" t="inlineStr">
        <x:is>
          <x:t xml:space="preserve"/>
        </x:is>
      </x:c>
      <x:c r="O46" s="5" t="inlineStr">
        <x:is>
          <x:t xml:space="preserve"/>
        </x:is>
      </x:c>
      <x:c r="P46" s="5" t="inlineStr">
        <x:is>
          <x:t xml:space="preserve"/>
        </x:is>
      </x:c>
      <x:c r="Q46" s="5" t="inlineStr">
        <x:is>
          <x:t xml:space="preserve"/>
        </x:is>
      </x:c>
      <x:c r="R46" s="5">
        <x:f>IF(OR(F46="",G46=""),"",IF(F46&gt;=0.95*G46,1,0))</x:f>
      </x:c>
      <x:c r="S46" s="7">
        <x:f>IFERROR((I46+J46+K46)/F46,"")</x:f>
      </x:c>
      <x:c r="T46" s="5">
        <x:f>IFERROR(I46+J46+K46,"")</x:f>
        <x:v>0</x:v>
      </x:c>
    </x:row>
    <x:row r="47" ht="22" customHeight="1">
      <x:c r="A47" s="5" t="inlineStr">
        <x:is>
          <x:t xml:space="preserve">P004</x:t>
        </x:is>
      </x:c>
      <x:c r="B47" s="5" t="inlineStr">
        <x:is>
          <x:t xml:space="preserve">7</x:t>
        </x:is>
      </x:c>
      <x:c r="C47" s="5" t="inlineStr">
        <x:is>
          <x:t xml:space="preserve">V06_overload_open_loops</x:t>
        </x:is>
      </x:c>
      <x:c r="D47" s="5" t="inlineStr">
        <x:is>
          <x:t xml:space="preserve">bcc</x:t>
        </x:is>
      </x:c>
      <x:c r="E47" s="5" t="inlineStr">
        <x:is>
          <x:t xml:space="preserve">audio_on</x:t>
        </x:is>
      </x:c>
      <x:c r="F47" s="6" t="inlineStr">
        <x:is>
          <x:t xml:space="preserve"/>
        </x:is>
      </x:c>
      <x:c r="G47" s="6" t="inlineStr">
        <x:is>
          <x:t xml:space="preserve">6</x:t>
        </x:is>
      </x:c>
      <x:c r="H47" s="5" t="inlineStr">
        <x:is>
          <x:t xml:space="preserve"/>
        </x:is>
      </x:c>
      <x:c r="I47" s="5" t="inlineStr">
        <x:is>
          <x:t xml:space="preserve"/>
        </x:is>
      </x:c>
      <x:c r="J47" s="5" t="inlineStr">
        <x:is>
          <x:t xml:space="preserve"/>
        </x:is>
      </x:c>
      <x:c r="K47" s="5" t="inlineStr">
        <x:is>
          <x:t xml:space="preserve"/>
        </x:is>
      </x:c>
      <x:c r="L47" s="5" t="inlineStr">
        <x:is>
          <x:t xml:space="preserve"/>
        </x:is>
      </x:c>
      <x:c r="M47" s="5" t="inlineStr">
        <x:is>
          <x:t xml:space="preserve"/>
        </x:is>
      </x:c>
      <x:c r="N47" s="5" t="inlineStr">
        <x:is>
          <x:t xml:space="preserve"/>
        </x:is>
      </x:c>
      <x:c r="O47" s="5" t="inlineStr">
        <x:is>
          <x:t xml:space="preserve"/>
        </x:is>
      </x:c>
      <x:c r="P47" s="5" t="inlineStr">
        <x:is>
          <x:t xml:space="preserve"/>
        </x:is>
      </x:c>
      <x:c r="Q47" s="5" t="inlineStr">
        <x:is>
          <x:t xml:space="preserve"/>
        </x:is>
      </x:c>
      <x:c r="R47" s="5">
        <x:f>IF(OR(F47="",G47=""),"",IF(F47&gt;=0.95*G47,1,0))</x:f>
      </x:c>
      <x:c r="S47" s="7">
        <x:f>IFERROR((I47+J47+K47)/F47,"")</x:f>
      </x:c>
      <x:c r="T47" s="5">
        <x:f>IFERROR(I47+J47+K47,"")</x:f>
        <x:v>0</x:v>
      </x:c>
    </x:row>
    <x:row r="48" ht="22" customHeight="1">
      <x:c r="A48" s="5" t="inlineStr">
        <x:is>
          <x:t xml:space="preserve">P004</x:t>
        </x:is>
      </x:c>
      <x:c r="B48" s="5" t="inlineStr">
        <x:is>
          <x:t xml:space="preserve">8</x:t>
        </x:is>
      </x:c>
      <x:c r="C48" s="5" t="inlineStr">
        <x:is>
          <x:t xml:space="preserve">V09_nutrition_satiety</x:t>
        </x:is>
      </x:c>
      <x:c r="D48" s="5" t="inlineStr">
        <x:is>
          <x:t xml:space="preserve">bcc_plus</x:t>
        </x:is>
      </x:c>
      <x:c r="E48" s="5" t="inlineStr">
        <x:is>
          <x:t xml:space="preserve">muted</x:t>
        </x:is>
      </x:c>
      <x:c r="F48" s="6" t="inlineStr">
        <x:is>
          <x:t xml:space="preserve"/>
        </x:is>
      </x:c>
      <x:c r="G48" s="6" t="inlineStr">
        <x:is>
          <x:t xml:space="preserve">6</x:t>
        </x:is>
      </x:c>
      <x:c r="H48" s="5" t="inlineStr">
        <x:is>
          <x:t xml:space="preserve"/>
        </x:is>
      </x:c>
      <x:c r="I48" s="5" t="inlineStr">
        <x:is>
          <x:t xml:space="preserve"/>
        </x:is>
      </x:c>
      <x:c r="J48" s="5" t="inlineStr">
        <x:is>
          <x:t xml:space="preserve"/>
        </x:is>
      </x:c>
      <x:c r="K48" s="5" t="inlineStr">
        <x:is>
          <x:t xml:space="preserve"/>
        </x:is>
      </x:c>
      <x:c r="L48" s="5" t="inlineStr">
        <x:is>
          <x:t xml:space="preserve"/>
        </x:is>
      </x:c>
      <x:c r="M48" s="5" t="inlineStr">
        <x:is>
          <x:t xml:space="preserve"/>
        </x:is>
      </x:c>
      <x:c r="N48" s="5" t="inlineStr">
        <x:is>
          <x:t xml:space="preserve"/>
        </x:is>
      </x:c>
      <x:c r="O48" s="5" t="inlineStr">
        <x:is>
          <x:t xml:space="preserve"/>
        </x:is>
      </x:c>
      <x:c r="P48" s="5" t="inlineStr">
        <x:is>
          <x:t xml:space="preserve"/>
        </x:is>
      </x:c>
      <x:c r="Q48" s="5" t="inlineStr">
        <x:is>
          <x:t xml:space="preserve"/>
        </x:is>
      </x:c>
      <x:c r="R48" s="5">
        <x:f>IF(OR(F48="",G48=""),"",IF(F48&gt;=0.95*G48,1,0))</x:f>
      </x:c>
      <x:c r="S48" s="7">
        <x:f>IFERROR((I48+J48+K48)/F48,"")</x:f>
      </x:c>
      <x:c r="T48" s="5">
        <x:f>IFERROR(I48+J48+K48,"")</x:f>
        <x:v>0</x:v>
      </x:c>
    </x:row>
    <x:row r="49" ht="22" customHeight="1">
      <x:c r="A49" s="5" t="inlineStr">
        <x:is>
          <x:t xml:space="preserve">P004</x:t>
        </x:is>
      </x:c>
      <x:c r="B49" s="5" t="inlineStr">
        <x:is>
          <x:t xml:space="preserve">9</x:t>
        </x:is>
      </x:c>
      <x:c r="C49" s="5" t="inlineStr">
        <x:is>
          <x:t xml:space="preserve">V02_study_recall</x:t>
        </x:is>
      </x:c>
      <x:c r="D49" s="5" t="inlineStr">
        <x:is>
          <x:t xml:space="preserve">heavy_bionic</x:t>
        </x:is>
      </x:c>
      <x:c r="E49" s="5" t="inlineStr">
        <x:is>
          <x:t xml:space="preserve">audio_on</x:t>
        </x:is>
      </x:c>
      <x:c r="F49" s="6" t="inlineStr">
        <x:is>
          <x:t xml:space="preserve"/>
        </x:is>
      </x:c>
      <x:c r="G49" s="6" t="inlineStr">
        <x:is>
          <x:t xml:space="preserve">6</x:t>
        </x:is>
      </x:c>
      <x:c r="H49" s="5" t="inlineStr">
        <x:is>
          <x:t xml:space="preserve"/>
        </x:is>
      </x:c>
      <x:c r="I49" s="5" t="inlineStr">
        <x:is>
          <x:t xml:space="preserve"/>
        </x:is>
      </x:c>
      <x:c r="J49" s="5" t="inlineStr">
        <x:is>
          <x:t xml:space="preserve"/>
        </x:is>
      </x:c>
      <x:c r="K49" s="5" t="inlineStr">
        <x:is>
          <x:t xml:space="preserve"/>
        </x:is>
      </x:c>
      <x:c r="L49" s="5" t="inlineStr">
        <x:is>
          <x:t xml:space="preserve"/>
        </x:is>
      </x:c>
      <x:c r="M49" s="5" t="inlineStr">
        <x:is>
          <x:t xml:space="preserve"/>
        </x:is>
      </x:c>
      <x:c r="N49" s="5" t="inlineStr">
        <x:is>
          <x:t xml:space="preserve"/>
        </x:is>
      </x:c>
      <x:c r="O49" s="5" t="inlineStr">
        <x:is>
          <x:t xml:space="preserve"/>
        </x:is>
      </x:c>
      <x:c r="P49" s="5" t="inlineStr">
        <x:is>
          <x:t xml:space="preserve"/>
        </x:is>
      </x:c>
      <x:c r="Q49" s="5" t="inlineStr">
        <x:is>
          <x:t xml:space="preserve"/>
        </x:is>
      </x:c>
      <x:c r="R49" s="5">
        <x:f>IF(OR(F49="",G49=""),"",IF(F49&gt;=0.95*G49,1,0))</x:f>
      </x:c>
      <x:c r="S49" s="7">
        <x:f>IFERROR((I49+J49+K49)/F49,"")</x:f>
      </x:c>
      <x:c r="T49" s="5">
        <x:f>IFERROR(I49+J49+K49,"")</x:f>
        <x:v>0</x:v>
      </x:c>
    </x:row>
    <x:row r="50" ht="22" customHeight="1">
      <x:c r="A50" s="5" t="inlineStr">
        <x:is>
          <x:t xml:space="preserve">P004</x:t>
        </x:is>
      </x:c>
      <x:c r="B50" s="5" t="inlineStr">
        <x:is>
          <x:t xml:space="preserve">10</x:t>
        </x:is>
      </x:c>
      <x:c r="C50" s="5" t="inlineStr">
        <x:is>
          <x:t xml:space="preserve">V04_money_visibility</x:t>
        </x:is>
      </x:c>
      <x:c r="D50" s="5" t="inlineStr">
        <x:is>
          <x:t xml:space="preserve">full_transcript</x:t>
        </x:is>
      </x:c>
      <x:c r="E50" s="5" t="inlineStr">
        <x:is>
          <x:t xml:space="preserve">muted</x:t>
        </x:is>
      </x:c>
      <x:c r="F50" s="6" t="inlineStr">
        <x:is>
          <x:t xml:space="preserve"/>
        </x:is>
      </x:c>
      <x:c r="G50" s="6" t="inlineStr">
        <x:is>
          <x:t xml:space="preserve">6</x:t>
        </x:is>
      </x:c>
      <x:c r="H50" s="5" t="inlineStr">
        <x:is>
          <x:t xml:space="preserve"/>
        </x:is>
      </x:c>
      <x:c r="I50" s="5" t="inlineStr">
        <x:is>
          <x:t xml:space="preserve"/>
        </x:is>
      </x:c>
      <x:c r="J50" s="5" t="inlineStr">
        <x:is>
          <x:t xml:space="preserve"/>
        </x:is>
      </x:c>
      <x:c r="K50" s="5" t="inlineStr">
        <x:is>
          <x:t xml:space="preserve"/>
        </x:is>
      </x:c>
      <x:c r="L50" s="5" t="inlineStr">
        <x:is>
          <x:t xml:space="preserve"/>
        </x:is>
      </x:c>
      <x:c r="M50" s="5" t="inlineStr">
        <x:is>
          <x:t xml:space="preserve"/>
        </x:is>
      </x:c>
      <x:c r="N50" s="5" t="inlineStr">
        <x:is>
          <x:t xml:space="preserve"/>
        </x:is>
      </x:c>
      <x:c r="O50" s="5" t="inlineStr">
        <x:is>
          <x:t xml:space="preserve"/>
        </x:is>
      </x:c>
      <x:c r="P50" s="5" t="inlineStr">
        <x:is>
          <x:t xml:space="preserve"/>
        </x:is>
      </x:c>
      <x:c r="Q50" s="5" t="inlineStr">
        <x:is>
          <x:t xml:space="preserve"/>
        </x:is>
      </x:c>
      <x:c r="R50" s="5">
        <x:f>IF(OR(F50="",G50=""),"",IF(F50&gt;=0.95*G50,1,0))</x:f>
      </x:c>
      <x:c r="S50" s="7">
        <x:f>IFERROR((I50+J50+K50)/F50,"")</x:f>
      </x:c>
      <x:c r="T50" s="5">
        <x:f>IFERROR(I50+J50+K50,"")</x:f>
        <x:v>0</x:v>
      </x:c>
    </x:row>
    <x:row r="51" ht="22" customHeight="1">
      <x:c r="A51" s="5" t="inlineStr">
        <x:is>
          <x:t xml:space="preserve">P004</x:t>
        </x:is>
      </x:c>
      <x:c r="B51" s="5" t="inlineStr">
        <x:is>
          <x:t xml:space="preserve">11</x:t>
        </x:is>
      </x:c>
      <x:c r="C51" s="5" t="inlineStr">
        <x:is>
          <x:t xml:space="preserve">V08_calendar_system</x:t>
        </x:is>
      </x:c>
      <x:c r="D51" s="5" t="inlineStr">
        <x:is>
          <x:t xml:space="preserve">keyword_highlight</x:t>
        </x:is>
      </x:c>
      <x:c r="E51" s="5" t="inlineStr">
        <x:is>
          <x:t xml:space="preserve">audio_on</x:t>
        </x:is>
      </x:c>
      <x:c r="F51" s="6" t="inlineStr">
        <x:is>
          <x:t xml:space="preserve"/>
        </x:is>
      </x:c>
      <x:c r="G51" s="6" t="inlineStr">
        <x:is>
          <x:t xml:space="preserve">6</x:t>
        </x:is>
      </x:c>
      <x:c r="H51" s="5" t="inlineStr">
        <x:is>
          <x:t xml:space="preserve"/>
        </x:is>
      </x:c>
      <x:c r="I51" s="5" t="inlineStr">
        <x:is>
          <x:t xml:space="preserve"/>
        </x:is>
      </x:c>
      <x:c r="J51" s="5" t="inlineStr">
        <x:is>
          <x:t xml:space="preserve"/>
        </x:is>
      </x:c>
      <x:c r="K51" s="5" t="inlineStr">
        <x:is>
          <x:t xml:space="preserve"/>
        </x:is>
      </x:c>
      <x:c r="L51" s="5" t="inlineStr">
        <x:is>
          <x:t xml:space="preserve"/>
        </x:is>
      </x:c>
      <x:c r="M51" s="5" t="inlineStr">
        <x:is>
          <x:t xml:space="preserve"/>
        </x:is>
      </x:c>
      <x:c r="N51" s="5" t="inlineStr">
        <x:is>
          <x:t xml:space="preserve"/>
        </x:is>
      </x:c>
      <x:c r="O51" s="5" t="inlineStr">
        <x:is>
          <x:t xml:space="preserve"/>
        </x:is>
      </x:c>
      <x:c r="P51" s="5" t="inlineStr">
        <x:is>
          <x:t xml:space="preserve"/>
        </x:is>
      </x:c>
      <x:c r="Q51" s="5" t="inlineStr">
        <x:is>
          <x:t xml:space="preserve"/>
        </x:is>
      </x:c>
      <x:c r="R51" s="5">
        <x:f>IF(OR(F51="",G51=""),"",IF(F51&gt;=0.95*G51,1,0))</x:f>
      </x:c>
      <x:c r="S51" s="7">
        <x:f>IFERROR((I51+J51+K51)/F51,"")</x:f>
      </x:c>
      <x:c r="T51" s="5">
        <x:f>IFERROR(I51+J51+K51,"")</x:f>
        <x:v>0</x:v>
      </x:c>
    </x:row>
    <x:row r="52" ht="22" customHeight="1">
      <x:c r="A52" s="5" t="inlineStr">
        <x:is>
          <x:t xml:space="preserve">P004</x:t>
        </x:is>
      </x:c>
      <x:c r="B52" s="5" t="inlineStr">
        <x:is>
          <x:t xml:space="preserve">12</x:t>
        </x:is>
      </x:c>
      <x:c r="C52" s="5" t="inlineStr">
        <x:is>
          <x:t xml:space="preserve">V12_creativity_constraints</x:t>
        </x:is>
      </x:c>
      <x:c r="D52" s="5" t="inlineStr">
        <x:is>
          <x:t xml:space="preserve">semantic_compression</x:t>
        </x:is>
      </x:c>
      <x:c r="E52" s="5" t="inlineStr">
        <x:is>
          <x:t xml:space="preserve">muted</x:t>
        </x:is>
      </x:c>
      <x:c r="F52" s="6" t="inlineStr">
        <x:is>
          <x:t xml:space="preserve"/>
        </x:is>
      </x:c>
      <x:c r="G52" s="6" t="inlineStr">
        <x:is>
          <x:t xml:space="preserve">6</x:t>
        </x:is>
      </x:c>
      <x:c r="H52" s="5" t="inlineStr">
        <x:is>
          <x:t xml:space="preserve"/>
        </x:is>
      </x:c>
      <x:c r="I52" s="5" t="inlineStr">
        <x:is>
          <x:t xml:space="preserve"/>
        </x:is>
      </x:c>
      <x:c r="J52" s="5" t="inlineStr">
        <x:is>
          <x:t xml:space="preserve"/>
        </x:is>
      </x:c>
      <x:c r="K52" s="5" t="inlineStr">
        <x:is>
          <x:t xml:space="preserve"/>
        </x:is>
      </x:c>
      <x:c r="L52" s="5" t="inlineStr">
        <x:is>
          <x:t xml:space="preserve"/>
        </x:is>
      </x:c>
      <x:c r="M52" s="5" t="inlineStr">
        <x:is>
          <x:t xml:space="preserve"/>
        </x:is>
      </x:c>
      <x:c r="N52" s="5" t="inlineStr">
        <x:is>
          <x:t xml:space="preserve"/>
        </x:is>
      </x:c>
      <x:c r="O52" s="5" t="inlineStr">
        <x:is>
          <x:t xml:space="preserve"/>
        </x:is>
      </x:c>
      <x:c r="P52" s="5" t="inlineStr">
        <x:is>
          <x:t xml:space="preserve"/>
        </x:is>
      </x:c>
      <x:c r="Q52" s="5" t="inlineStr">
        <x:is>
          <x:t xml:space="preserve"/>
        </x:is>
      </x:c>
      <x:c r="R52" s="5">
        <x:f>IF(OR(F52="",G52=""),"",IF(F52&gt;=0.95*G52,1,0))</x:f>
      </x:c>
      <x:c r="S52" s="7">
        <x:f>IFERROR((I52+J52+K52)/F52,"")</x:f>
      </x:c>
      <x:c r="T52" s="5">
        <x:f>IFERROR(I52+J52+K52,"")</x:f>
        <x:v>0</x:v>
      </x:c>
    </x:row>
    <x:row r="53" ht="22" customHeight="1">
      <x:c r="A53" s="5" t="inlineStr">
        <x:is>
          <x:t xml:space="preserve">P005</x:t>
        </x:is>
      </x:c>
      <x:c r="B53" s="5" t="inlineStr">
        <x:is>
          <x:t xml:space="preserve">1</x:t>
        </x:is>
      </x:c>
      <x:c r="C53" s="5" t="inlineStr">
        <x:is>
          <x:t xml:space="preserve">V05_coding_assumptions</x:t>
        </x:is>
      </x:c>
      <x:c r="D53" s="5" t="inlineStr">
        <x:is>
          <x:t xml:space="preserve">bcc_plus</x:t>
        </x:is>
      </x:c>
      <x:c r="E53" s="5" t="inlineStr">
        <x:is>
          <x:t xml:space="preserve">muted</x:t>
        </x:is>
      </x:c>
      <x:c r="F53" s="6" t="inlineStr">
        <x:is>
          <x:t xml:space="preserve"/>
        </x:is>
      </x:c>
      <x:c r="G53" s="6" t="inlineStr">
        <x:is>
          <x:t xml:space="preserve">6</x:t>
        </x:is>
      </x:c>
      <x:c r="H53" s="5" t="inlineStr">
        <x:is>
          <x:t xml:space="preserve"/>
        </x:is>
      </x:c>
      <x:c r="I53" s="5" t="inlineStr">
        <x:is>
          <x:t xml:space="preserve"/>
        </x:is>
      </x:c>
      <x:c r="J53" s="5" t="inlineStr">
        <x:is>
          <x:t xml:space="preserve"/>
        </x:is>
      </x:c>
      <x:c r="K53" s="5" t="inlineStr">
        <x:is>
          <x:t xml:space="preserve"/>
        </x:is>
      </x:c>
      <x:c r="L53" s="5" t="inlineStr">
        <x:is>
          <x:t xml:space="preserve"/>
        </x:is>
      </x:c>
      <x:c r="M53" s="5" t="inlineStr">
        <x:is>
          <x:t xml:space="preserve"/>
        </x:is>
      </x:c>
      <x:c r="N53" s="5" t="inlineStr">
        <x:is>
          <x:t xml:space="preserve"/>
        </x:is>
      </x:c>
      <x:c r="O53" s="5" t="inlineStr">
        <x:is>
          <x:t xml:space="preserve"/>
        </x:is>
      </x:c>
      <x:c r="P53" s="5" t="inlineStr">
        <x:is>
          <x:t xml:space="preserve"/>
        </x:is>
      </x:c>
      <x:c r="Q53" s="5" t="inlineStr">
        <x:is>
          <x:t xml:space="preserve"/>
        </x:is>
      </x:c>
      <x:c r="R53" s="5">
        <x:f>IF(OR(F53="",G53=""),"",IF(F53&gt;=0.95*G53,1,0))</x:f>
      </x:c>
      <x:c r="S53" s="7">
        <x:f>IFERROR((I53+J53+K53)/F53,"")</x:f>
      </x:c>
      <x:c r="T53" s="5">
        <x:f>IFERROR(I53+J53+K53,"")</x:f>
        <x:v>0</x:v>
      </x:c>
    </x:row>
    <x:row r="54" ht="22" customHeight="1">
      <x:c r="A54" s="5" t="inlineStr">
        <x:is>
          <x:t xml:space="preserve">P005</x:t>
        </x:is>
      </x:c>
      <x:c r="B54" s="5" t="inlineStr">
        <x:is>
          <x:t xml:space="preserve">2</x:t>
        </x:is>
      </x:c>
      <x:c r="C54" s="5" t="inlineStr">
        <x:is>
          <x:t xml:space="preserve">V03_fitness_setup</x:t>
        </x:is>
      </x:c>
      <x:c r="D54" s="5" t="inlineStr">
        <x:is>
          <x:t xml:space="preserve">heavy_bionic</x:t>
        </x:is>
      </x:c>
      <x:c r="E54" s="5" t="inlineStr">
        <x:is>
          <x:t xml:space="preserve">audio_on</x:t>
        </x:is>
      </x:c>
      <x:c r="F54" s="6" t="inlineStr">
        <x:is>
          <x:t xml:space="preserve"/>
        </x:is>
      </x:c>
      <x:c r="G54" s="6" t="inlineStr">
        <x:is>
          <x:t xml:space="preserve">6</x:t>
        </x:is>
      </x:c>
      <x:c r="H54" s="5" t="inlineStr">
        <x:is>
          <x:t xml:space="preserve"/>
        </x:is>
      </x:c>
      <x:c r="I54" s="5" t="inlineStr">
        <x:is>
          <x:t xml:space="preserve"/>
        </x:is>
      </x:c>
      <x:c r="J54" s="5" t="inlineStr">
        <x:is>
          <x:t xml:space="preserve"/>
        </x:is>
      </x:c>
      <x:c r="K54" s="5" t="inlineStr">
        <x:is>
          <x:t xml:space="preserve"/>
        </x:is>
      </x:c>
      <x:c r="L54" s="5" t="inlineStr">
        <x:is>
          <x:t xml:space="preserve"/>
        </x:is>
      </x:c>
      <x:c r="M54" s="5" t="inlineStr">
        <x:is>
          <x:t xml:space="preserve"/>
        </x:is>
      </x:c>
      <x:c r="N54" s="5" t="inlineStr">
        <x:is>
          <x:t xml:space="preserve"/>
        </x:is>
      </x:c>
      <x:c r="O54" s="5" t="inlineStr">
        <x:is>
          <x:t xml:space="preserve"/>
        </x:is>
      </x:c>
      <x:c r="P54" s="5" t="inlineStr">
        <x:is>
          <x:t xml:space="preserve"/>
        </x:is>
      </x:c>
      <x:c r="Q54" s="5" t="inlineStr">
        <x:is>
          <x:t xml:space="preserve"/>
        </x:is>
      </x:c>
      <x:c r="R54" s="5">
        <x:f>IF(OR(F54="",G54=""),"",IF(F54&gt;=0.95*G54,1,0))</x:f>
      </x:c>
      <x:c r="S54" s="7">
        <x:f>IFERROR((I54+J54+K54)/F54,"")</x:f>
      </x:c>
      <x:c r="T54" s="5">
        <x:f>IFERROR(I54+J54+K54,"")</x:f>
        <x:v>0</x:v>
      </x:c>
    </x:row>
    <x:row r="55" ht="22" customHeight="1">
      <x:c r="A55" s="5" t="inlineStr">
        <x:is>
          <x:t xml:space="preserve">P005</x:t>
        </x:is>
      </x:c>
      <x:c r="B55" s="5" t="inlineStr">
        <x:is>
          <x:t xml:space="preserve">3</x:t>
        </x:is>
      </x:c>
      <x:c r="C55" s="5" t="inlineStr">
        <x:is>
          <x:t xml:space="preserve">V10_tutorial_ui</x:t>
        </x:is>
      </x:c>
      <x:c r="D55" s="5" t="inlineStr">
        <x:is>
          <x:t xml:space="preserve">full_transcript</x:t>
        </x:is>
      </x:c>
      <x:c r="E55" s="5" t="inlineStr">
        <x:is>
          <x:t xml:space="preserve">muted</x:t>
        </x:is>
      </x:c>
      <x:c r="F55" s="6" t="inlineStr">
        <x:is>
          <x:t xml:space="preserve"/>
        </x:is>
      </x:c>
      <x:c r="G55" s="6" t="inlineStr">
        <x:is>
          <x:t xml:space="preserve">6</x:t>
        </x:is>
      </x:c>
      <x:c r="H55" s="5" t="inlineStr">
        <x:is>
          <x:t xml:space="preserve"/>
        </x:is>
      </x:c>
      <x:c r="I55" s="5" t="inlineStr">
        <x:is>
          <x:t xml:space="preserve"/>
        </x:is>
      </x:c>
      <x:c r="J55" s="5" t="inlineStr">
        <x:is>
          <x:t xml:space="preserve"/>
        </x:is>
      </x:c>
      <x:c r="K55" s="5" t="inlineStr">
        <x:is>
          <x:t xml:space="preserve"/>
        </x:is>
      </x:c>
      <x:c r="L55" s="5" t="inlineStr">
        <x:is>
          <x:t xml:space="preserve"/>
        </x:is>
      </x:c>
      <x:c r="M55" s="5" t="inlineStr">
        <x:is>
          <x:t xml:space="preserve"/>
        </x:is>
      </x:c>
      <x:c r="N55" s="5" t="inlineStr">
        <x:is>
          <x:t xml:space="preserve"/>
        </x:is>
      </x:c>
      <x:c r="O55" s="5" t="inlineStr">
        <x:is>
          <x:t xml:space="preserve"/>
        </x:is>
      </x:c>
      <x:c r="P55" s="5" t="inlineStr">
        <x:is>
          <x:t xml:space="preserve"/>
        </x:is>
      </x:c>
      <x:c r="Q55" s="5" t="inlineStr">
        <x:is>
          <x:t xml:space="preserve"/>
        </x:is>
      </x:c>
      <x:c r="R55" s="5">
        <x:f>IF(OR(F55="",G55=""),"",IF(F55&gt;=0.95*G55,1,0))</x:f>
      </x:c>
      <x:c r="S55" s="7">
        <x:f>IFERROR((I55+J55+K55)/F55,"")</x:f>
      </x:c>
      <x:c r="T55" s="5">
        <x:f>IFERROR(I55+J55+K55,"")</x:f>
        <x:v>0</x:v>
      </x:c>
    </x:row>
    <x:row r="56" ht="22" customHeight="1">
      <x:c r="A56" s="5" t="inlineStr">
        <x:is>
          <x:t xml:space="preserve">P005</x:t>
        </x:is>
      </x:c>
      <x:c r="B56" s="5" t="inlineStr">
        <x:is>
          <x:t xml:space="preserve">4</x:t>
        </x:is>
      </x:c>
      <x:c r="C56" s="5" t="inlineStr">
        <x:is>
          <x:t xml:space="preserve">V09_nutrition_satiety</x:t>
        </x:is>
      </x:c>
      <x:c r="D56" s="5" t="inlineStr">
        <x:is>
          <x:t xml:space="preserve">keyword_highlight</x:t>
        </x:is>
      </x:c>
      <x:c r="E56" s="5" t="inlineStr">
        <x:is>
          <x:t xml:space="preserve">audio_on</x:t>
        </x:is>
      </x:c>
      <x:c r="F56" s="6" t="inlineStr">
        <x:is>
          <x:t xml:space="preserve"/>
        </x:is>
      </x:c>
      <x:c r="G56" s="6" t="inlineStr">
        <x:is>
          <x:t xml:space="preserve">6</x:t>
        </x:is>
      </x:c>
      <x:c r="H56" s="5" t="inlineStr">
        <x:is>
          <x:t xml:space="preserve"/>
        </x:is>
      </x:c>
      <x:c r="I56" s="5" t="inlineStr">
        <x:is>
          <x:t xml:space="preserve"/>
        </x:is>
      </x:c>
      <x:c r="J56" s="5" t="inlineStr">
        <x:is>
          <x:t xml:space="preserve"/>
        </x:is>
      </x:c>
      <x:c r="K56" s="5" t="inlineStr">
        <x:is>
          <x:t xml:space="preserve"/>
        </x:is>
      </x:c>
      <x:c r="L56" s="5" t="inlineStr">
        <x:is>
          <x:t xml:space="preserve"/>
        </x:is>
      </x:c>
      <x:c r="M56" s="5" t="inlineStr">
        <x:is>
          <x:t xml:space="preserve"/>
        </x:is>
      </x:c>
      <x:c r="N56" s="5" t="inlineStr">
        <x:is>
          <x:t xml:space="preserve"/>
        </x:is>
      </x:c>
      <x:c r="O56" s="5" t="inlineStr">
        <x:is>
          <x:t xml:space="preserve"/>
        </x:is>
      </x:c>
      <x:c r="P56" s="5" t="inlineStr">
        <x:is>
          <x:t xml:space="preserve"/>
        </x:is>
      </x:c>
      <x:c r="Q56" s="5" t="inlineStr">
        <x:is>
          <x:t xml:space="preserve"/>
        </x:is>
      </x:c>
      <x:c r="R56" s="5">
        <x:f>IF(OR(F56="",G56=""),"",IF(F56&gt;=0.95*G56,1,0))</x:f>
      </x:c>
      <x:c r="S56" s="7">
        <x:f>IFERROR((I56+J56+K56)/F56,"")</x:f>
      </x:c>
      <x:c r="T56" s="5">
        <x:f>IFERROR(I56+J56+K56,"")</x:f>
        <x:v>0</x:v>
      </x:c>
    </x:row>
    <x:row r="57" ht="22" customHeight="1">
      <x:c r="A57" s="5" t="inlineStr">
        <x:is>
          <x:t xml:space="preserve">P005</x:t>
        </x:is>
      </x:c>
      <x:c r="B57" s="5" t="inlineStr">
        <x:is>
          <x:t xml:space="preserve">5</x:t>
        </x:is>
      </x:c>
      <x:c r="C57" s="5" t="inlineStr">
        <x:is>
          <x:t xml:space="preserve">V02_study_recall</x:t>
        </x:is>
      </x:c>
      <x:c r="D57" s="5" t="inlineStr">
        <x:is>
          <x:t xml:space="preserve">semantic_compression</x:t>
        </x:is>
      </x:c>
      <x:c r="E57" s="5" t="inlineStr">
        <x:is>
          <x:t xml:space="preserve">muted</x:t>
        </x:is>
      </x:c>
      <x:c r="F57" s="6" t="inlineStr">
        <x:is>
          <x:t xml:space="preserve"/>
        </x:is>
      </x:c>
      <x:c r="G57" s="6" t="inlineStr">
        <x:is>
          <x:t xml:space="preserve">6</x:t>
        </x:is>
      </x:c>
      <x:c r="H57" s="5" t="inlineStr">
        <x:is>
          <x:t xml:space="preserve"/>
        </x:is>
      </x:c>
      <x:c r="I57" s="5" t="inlineStr">
        <x:is>
          <x:t xml:space="preserve"/>
        </x:is>
      </x:c>
      <x:c r="J57" s="5" t="inlineStr">
        <x:is>
          <x:t xml:space="preserve"/>
        </x:is>
      </x:c>
      <x:c r="K57" s="5" t="inlineStr">
        <x:is>
          <x:t xml:space="preserve"/>
        </x:is>
      </x:c>
      <x:c r="L57" s="5" t="inlineStr">
        <x:is>
          <x:t xml:space="preserve"/>
        </x:is>
      </x:c>
      <x:c r="M57" s="5" t="inlineStr">
        <x:is>
          <x:t xml:space="preserve"/>
        </x:is>
      </x:c>
      <x:c r="N57" s="5" t="inlineStr">
        <x:is>
          <x:t xml:space="preserve"/>
        </x:is>
      </x:c>
      <x:c r="O57" s="5" t="inlineStr">
        <x:is>
          <x:t xml:space="preserve"/>
        </x:is>
      </x:c>
      <x:c r="P57" s="5" t="inlineStr">
        <x:is>
          <x:t xml:space="preserve"/>
        </x:is>
      </x:c>
      <x:c r="Q57" s="5" t="inlineStr">
        <x:is>
          <x:t xml:space="preserve"/>
        </x:is>
      </x:c>
      <x:c r="R57" s="5">
        <x:f>IF(OR(F57="",G57=""),"",IF(F57&gt;=0.95*G57,1,0))</x:f>
      </x:c>
      <x:c r="S57" s="7">
        <x:f>IFERROR((I57+J57+K57)/F57,"")</x:f>
      </x:c>
      <x:c r="T57" s="5">
        <x:f>IFERROR(I57+J57+K57,"")</x:f>
        <x:v>0</x:v>
      </x:c>
    </x:row>
    <x:row r="58" ht="22" customHeight="1">
      <x:c r="A58" s="5" t="inlineStr">
        <x:is>
          <x:t xml:space="preserve">P005</x:t>
        </x:is>
      </x:c>
      <x:c r="B58" s="5" t="inlineStr">
        <x:is>
          <x:t xml:space="preserve">6</x:t>
        </x:is>
      </x:c>
      <x:c r="C58" s="5" t="inlineStr">
        <x:is>
          <x:t xml:space="preserve">V08_calendar_system</x:t>
        </x:is>
      </x:c>
      <x:c r="D58" s="5" t="inlineStr">
        <x:is>
          <x:t xml:space="preserve">bcc</x:t>
        </x:is>
      </x:c>
      <x:c r="E58" s="5" t="inlineStr">
        <x:is>
          <x:t xml:space="preserve">audio_on</x:t>
        </x:is>
      </x:c>
      <x:c r="F58" s="6" t="inlineStr">
        <x:is>
          <x:t xml:space="preserve"/>
        </x:is>
      </x:c>
      <x:c r="G58" s="6" t="inlineStr">
        <x:is>
          <x:t xml:space="preserve">6</x:t>
        </x:is>
      </x:c>
      <x:c r="H58" s="5" t="inlineStr">
        <x:is>
          <x:t xml:space="preserve"/>
        </x:is>
      </x:c>
      <x:c r="I58" s="5" t="inlineStr">
        <x:is>
          <x:t xml:space="preserve"/>
        </x:is>
      </x:c>
      <x:c r="J58" s="5" t="inlineStr">
        <x:is>
          <x:t xml:space="preserve"/>
        </x:is>
      </x:c>
      <x:c r="K58" s="5" t="inlineStr">
        <x:is>
          <x:t xml:space="preserve"/>
        </x:is>
      </x:c>
      <x:c r="L58" s="5" t="inlineStr">
        <x:is>
          <x:t xml:space="preserve"/>
        </x:is>
      </x:c>
      <x:c r="M58" s="5" t="inlineStr">
        <x:is>
          <x:t xml:space="preserve"/>
        </x:is>
      </x:c>
      <x:c r="N58" s="5" t="inlineStr">
        <x:is>
          <x:t xml:space="preserve"/>
        </x:is>
      </x:c>
      <x:c r="O58" s="5" t="inlineStr">
        <x:is>
          <x:t xml:space="preserve"/>
        </x:is>
      </x:c>
      <x:c r="P58" s="5" t="inlineStr">
        <x:is>
          <x:t xml:space="preserve"/>
        </x:is>
      </x:c>
      <x:c r="Q58" s="5" t="inlineStr">
        <x:is>
          <x:t xml:space="preserve"/>
        </x:is>
      </x:c>
      <x:c r="R58" s="5">
        <x:f>IF(OR(F58="",G58=""),"",IF(F58&gt;=0.95*G58,1,0))</x:f>
      </x:c>
      <x:c r="S58" s="7">
        <x:f>IFERROR((I58+J58+K58)/F58,"")</x:f>
      </x:c>
      <x:c r="T58" s="5">
        <x:f>IFERROR(I58+J58+K58,"")</x:f>
        <x:v>0</x:v>
      </x:c>
    </x:row>
    <x:row r="59" ht="22" customHeight="1">
      <x:c r="A59" s="5" t="inlineStr">
        <x:is>
          <x:t xml:space="preserve">P005</x:t>
        </x:is>
      </x:c>
      <x:c r="B59" s="5" t="inlineStr">
        <x:is>
          <x:t xml:space="preserve">7</x:t>
        </x:is>
      </x:c>
      <x:c r="C59" s="5" t="inlineStr">
        <x:is>
          <x:t xml:space="preserve">V12_creativity_constraints</x:t>
        </x:is>
      </x:c>
      <x:c r="D59" s="5" t="inlineStr">
        <x:is>
          <x:t xml:space="preserve">bcc_plus</x:t>
        </x:is>
      </x:c>
      <x:c r="E59" s="5" t="inlineStr">
        <x:is>
          <x:t xml:space="preserve">muted</x:t>
        </x:is>
      </x:c>
      <x:c r="F59" s="6" t="inlineStr">
        <x:is>
          <x:t xml:space="preserve"/>
        </x:is>
      </x:c>
      <x:c r="G59" s="6" t="inlineStr">
        <x:is>
          <x:t xml:space="preserve">6</x:t>
        </x:is>
      </x:c>
      <x:c r="H59" s="5" t="inlineStr">
        <x:is>
          <x:t xml:space="preserve"/>
        </x:is>
      </x:c>
      <x:c r="I59" s="5" t="inlineStr">
        <x:is>
          <x:t xml:space="preserve"/>
        </x:is>
      </x:c>
      <x:c r="J59" s="5" t="inlineStr">
        <x:is>
          <x:t xml:space="preserve"/>
        </x:is>
      </x:c>
      <x:c r="K59" s="5" t="inlineStr">
        <x:is>
          <x:t xml:space="preserve"/>
        </x:is>
      </x:c>
      <x:c r="L59" s="5" t="inlineStr">
        <x:is>
          <x:t xml:space="preserve"/>
        </x:is>
      </x:c>
      <x:c r="M59" s="5" t="inlineStr">
        <x:is>
          <x:t xml:space="preserve"/>
        </x:is>
      </x:c>
      <x:c r="N59" s="5" t="inlineStr">
        <x:is>
          <x:t xml:space="preserve"/>
        </x:is>
      </x:c>
      <x:c r="O59" s="5" t="inlineStr">
        <x:is>
          <x:t xml:space="preserve"/>
        </x:is>
      </x:c>
      <x:c r="P59" s="5" t="inlineStr">
        <x:is>
          <x:t xml:space="preserve"/>
        </x:is>
      </x:c>
      <x:c r="Q59" s="5" t="inlineStr">
        <x:is>
          <x:t xml:space="preserve"/>
        </x:is>
      </x:c>
      <x:c r="R59" s="5">
        <x:f>IF(OR(F59="",G59=""),"",IF(F59&gt;=0.95*G59,1,0))</x:f>
      </x:c>
      <x:c r="S59" s="7">
        <x:f>IFERROR((I59+J59+K59)/F59,"")</x:f>
      </x:c>
      <x:c r="T59" s="5">
        <x:f>IFERROR(I59+J59+K59,"")</x:f>
        <x:v>0</x:v>
      </x:c>
    </x:row>
    <x:row r="60" ht="22" customHeight="1">
      <x:c r="A60" s="5" t="inlineStr">
        <x:is>
          <x:t xml:space="preserve">P005</x:t>
        </x:is>
      </x:c>
      <x:c r="B60" s="5" t="inlineStr">
        <x:is>
          <x:t xml:space="preserve">8</x:t>
        </x:is>
      </x:c>
      <x:c r="C60" s="5" t="inlineStr">
        <x:is>
          <x:t xml:space="preserve">V06_overload_open_loops</x:t>
        </x:is>
      </x:c>
      <x:c r="D60" s="5" t="inlineStr">
        <x:is>
          <x:t xml:space="preserve">heavy_bionic</x:t>
        </x:is>
      </x:c>
      <x:c r="E60" s="5" t="inlineStr">
        <x:is>
          <x:t xml:space="preserve">audio_on</x:t>
        </x:is>
      </x:c>
      <x:c r="F60" s="6" t="inlineStr">
        <x:is>
          <x:t xml:space="preserve"/>
        </x:is>
      </x:c>
      <x:c r="G60" s="6" t="inlineStr">
        <x:is>
          <x:t xml:space="preserve">6</x:t>
        </x:is>
      </x:c>
      <x:c r="H60" s="5" t="inlineStr">
        <x:is>
          <x:t xml:space="preserve"/>
        </x:is>
      </x:c>
      <x:c r="I60" s="5" t="inlineStr">
        <x:is>
          <x:t xml:space="preserve"/>
        </x:is>
      </x:c>
      <x:c r="J60" s="5" t="inlineStr">
        <x:is>
          <x:t xml:space="preserve"/>
        </x:is>
      </x:c>
      <x:c r="K60" s="5" t="inlineStr">
        <x:is>
          <x:t xml:space="preserve"/>
        </x:is>
      </x:c>
      <x:c r="L60" s="5" t="inlineStr">
        <x:is>
          <x:t xml:space="preserve"/>
        </x:is>
      </x:c>
      <x:c r="M60" s="5" t="inlineStr">
        <x:is>
          <x:t xml:space="preserve"/>
        </x:is>
      </x:c>
      <x:c r="N60" s="5" t="inlineStr">
        <x:is>
          <x:t xml:space="preserve"/>
        </x:is>
      </x:c>
      <x:c r="O60" s="5" t="inlineStr">
        <x:is>
          <x:t xml:space="preserve"/>
        </x:is>
      </x:c>
      <x:c r="P60" s="5" t="inlineStr">
        <x:is>
          <x:t xml:space="preserve"/>
        </x:is>
      </x:c>
      <x:c r="Q60" s="5" t="inlineStr">
        <x:is>
          <x:t xml:space="preserve"/>
        </x:is>
      </x:c>
      <x:c r="R60" s="5">
        <x:f>IF(OR(F60="",G60=""),"",IF(F60&gt;=0.95*G60,1,0))</x:f>
      </x:c>
      <x:c r="S60" s="7">
        <x:f>IFERROR((I60+J60+K60)/F60,"")</x:f>
      </x:c>
      <x:c r="T60" s="5">
        <x:f>IFERROR(I60+J60+K60,"")</x:f>
        <x:v>0</x:v>
      </x:c>
    </x:row>
    <x:row r="61" ht="22" customHeight="1">
      <x:c r="A61" s="5" t="inlineStr">
        <x:is>
          <x:t xml:space="preserve">P005</x:t>
        </x:is>
      </x:c>
      <x:c r="B61" s="5" t="inlineStr">
        <x:is>
          <x:t xml:space="preserve">9</x:t>
        </x:is>
      </x:c>
      <x:c r="C61" s="5" t="inlineStr">
        <x:is>
          <x:t xml:space="preserve">V07_business_clarity</x:t>
        </x:is>
      </x:c>
      <x:c r="D61" s="5" t="inlineStr">
        <x:is>
          <x:t xml:space="preserve">full_transcript</x:t>
        </x:is>
      </x:c>
      <x:c r="E61" s="5" t="inlineStr">
        <x:is>
          <x:t xml:space="preserve">muted</x:t>
        </x:is>
      </x:c>
      <x:c r="F61" s="6" t="inlineStr">
        <x:is>
          <x:t xml:space="preserve"/>
        </x:is>
      </x:c>
      <x:c r="G61" s="6" t="inlineStr">
        <x:is>
          <x:t xml:space="preserve">6</x:t>
        </x:is>
      </x:c>
      <x:c r="H61" s="5" t="inlineStr">
        <x:is>
          <x:t xml:space="preserve"/>
        </x:is>
      </x:c>
      <x:c r="I61" s="5" t="inlineStr">
        <x:is>
          <x:t xml:space="preserve"/>
        </x:is>
      </x:c>
      <x:c r="J61" s="5" t="inlineStr">
        <x:is>
          <x:t xml:space="preserve"/>
        </x:is>
      </x:c>
      <x:c r="K61" s="5" t="inlineStr">
        <x:is>
          <x:t xml:space="preserve"/>
        </x:is>
      </x:c>
      <x:c r="L61" s="5" t="inlineStr">
        <x:is>
          <x:t xml:space="preserve"/>
        </x:is>
      </x:c>
      <x:c r="M61" s="5" t="inlineStr">
        <x:is>
          <x:t xml:space="preserve"/>
        </x:is>
      </x:c>
      <x:c r="N61" s="5" t="inlineStr">
        <x:is>
          <x:t xml:space="preserve"/>
        </x:is>
      </x:c>
      <x:c r="O61" s="5" t="inlineStr">
        <x:is>
          <x:t xml:space="preserve"/>
        </x:is>
      </x:c>
      <x:c r="P61" s="5" t="inlineStr">
        <x:is>
          <x:t xml:space="preserve"/>
        </x:is>
      </x:c>
      <x:c r="Q61" s="5" t="inlineStr">
        <x:is>
          <x:t xml:space="preserve"/>
        </x:is>
      </x:c>
      <x:c r="R61" s="5">
        <x:f>IF(OR(F61="",G61=""),"",IF(F61&gt;=0.95*G61,1,0))</x:f>
      </x:c>
      <x:c r="S61" s="7">
        <x:f>IFERROR((I61+J61+K61)/F61,"")</x:f>
      </x:c>
      <x:c r="T61" s="5">
        <x:f>IFERROR(I61+J61+K61,"")</x:f>
        <x:v>0</x:v>
      </x:c>
    </x:row>
    <x:row r="62" ht="22" customHeight="1">
      <x:c r="A62" s="5" t="inlineStr">
        <x:is>
          <x:t xml:space="preserve">P005</x:t>
        </x:is>
      </x:c>
      <x:c r="B62" s="5" t="inlineStr">
        <x:is>
          <x:t xml:space="preserve">10</x:t>
        </x:is>
      </x:c>
      <x:c r="C62" s="5" t="inlineStr">
        <x:is>
          <x:t xml:space="preserve">V11_story_burnout</x:t>
        </x:is>
      </x:c>
      <x:c r="D62" s="5" t="inlineStr">
        <x:is>
          <x:t xml:space="preserve">keyword_highlight</x:t>
        </x:is>
      </x:c>
      <x:c r="E62" s="5" t="inlineStr">
        <x:is>
          <x:t xml:space="preserve">audio_on</x:t>
        </x:is>
      </x:c>
      <x:c r="F62" s="6" t="inlineStr">
        <x:is>
          <x:t xml:space="preserve"/>
        </x:is>
      </x:c>
      <x:c r="G62" s="6" t="inlineStr">
        <x:is>
          <x:t xml:space="preserve">6</x:t>
        </x:is>
      </x:c>
      <x:c r="H62" s="5" t="inlineStr">
        <x:is>
          <x:t xml:space="preserve"/>
        </x:is>
      </x:c>
      <x:c r="I62" s="5" t="inlineStr">
        <x:is>
          <x:t xml:space="preserve"/>
        </x:is>
      </x:c>
      <x:c r="J62" s="5" t="inlineStr">
        <x:is>
          <x:t xml:space="preserve"/>
        </x:is>
      </x:c>
      <x:c r="K62" s="5" t="inlineStr">
        <x:is>
          <x:t xml:space="preserve"/>
        </x:is>
      </x:c>
      <x:c r="L62" s="5" t="inlineStr">
        <x:is>
          <x:t xml:space="preserve"/>
        </x:is>
      </x:c>
      <x:c r="M62" s="5" t="inlineStr">
        <x:is>
          <x:t xml:space="preserve"/>
        </x:is>
      </x:c>
      <x:c r="N62" s="5" t="inlineStr">
        <x:is>
          <x:t xml:space="preserve"/>
        </x:is>
      </x:c>
      <x:c r="O62" s="5" t="inlineStr">
        <x:is>
          <x:t xml:space="preserve"/>
        </x:is>
      </x:c>
      <x:c r="P62" s="5" t="inlineStr">
        <x:is>
          <x:t xml:space="preserve"/>
        </x:is>
      </x:c>
      <x:c r="Q62" s="5" t="inlineStr">
        <x:is>
          <x:t xml:space="preserve"/>
        </x:is>
      </x:c>
      <x:c r="R62" s="5">
        <x:f>IF(OR(F62="",G62=""),"",IF(F62&gt;=0.95*G62,1,0))</x:f>
      </x:c>
      <x:c r="S62" s="7">
        <x:f>IFERROR((I62+J62+K62)/F62,"")</x:f>
      </x:c>
      <x:c r="T62" s="5">
        <x:f>IFERROR(I62+J62+K62,"")</x:f>
        <x:v>0</x:v>
      </x:c>
    </x:row>
    <x:row r="63" ht="22" customHeight="1">
      <x:c r="A63" s="5" t="inlineStr">
        <x:is>
          <x:t xml:space="preserve">P005</x:t>
        </x:is>
      </x:c>
      <x:c r="B63" s="5" t="inlineStr">
        <x:is>
          <x:t xml:space="preserve">11</x:t>
        </x:is>
      </x:c>
      <x:c r="C63" s="5" t="inlineStr">
        <x:is>
          <x:t xml:space="preserve">V04_money_visibility</x:t>
        </x:is>
      </x:c>
      <x:c r="D63" s="5" t="inlineStr">
        <x:is>
          <x:t xml:space="preserve">semantic_compression</x:t>
        </x:is>
      </x:c>
      <x:c r="E63" s="5" t="inlineStr">
        <x:is>
          <x:t xml:space="preserve">muted</x:t>
        </x:is>
      </x:c>
      <x:c r="F63" s="6" t="inlineStr">
        <x:is>
          <x:t xml:space="preserve"/>
        </x:is>
      </x:c>
      <x:c r="G63" s="6" t="inlineStr">
        <x:is>
          <x:t xml:space="preserve">6</x:t>
        </x:is>
      </x:c>
      <x:c r="H63" s="5" t="inlineStr">
        <x:is>
          <x:t xml:space="preserve"/>
        </x:is>
      </x:c>
      <x:c r="I63" s="5" t="inlineStr">
        <x:is>
          <x:t xml:space="preserve"/>
        </x:is>
      </x:c>
      <x:c r="J63" s="5" t="inlineStr">
        <x:is>
          <x:t xml:space="preserve"/>
        </x:is>
      </x:c>
      <x:c r="K63" s="5" t="inlineStr">
        <x:is>
          <x:t xml:space="preserve"/>
        </x:is>
      </x:c>
      <x:c r="L63" s="5" t="inlineStr">
        <x:is>
          <x:t xml:space="preserve"/>
        </x:is>
      </x:c>
      <x:c r="M63" s="5" t="inlineStr">
        <x:is>
          <x:t xml:space="preserve"/>
        </x:is>
      </x:c>
      <x:c r="N63" s="5" t="inlineStr">
        <x:is>
          <x:t xml:space="preserve"/>
        </x:is>
      </x:c>
      <x:c r="O63" s="5" t="inlineStr">
        <x:is>
          <x:t xml:space="preserve"/>
        </x:is>
      </x:c>
      <x:c r="P63" s="5" t="inlineStr">
        <x:is>
          <x:t xml:space="preserve"/>
        </x:is>
      </x:c>
      <x:c r="Q63" s="5" t="inlineStr">
        <x:is>
          <x:t xml:space="preserve"/>
        </x:is>
      </x:c>
      <x:c r="R63" s="5">
        <x:f>IF(OR(F63="",G63=""),"",IF(F63&gt;=0.95*G63,1,0))</x:f>
      </x:c>
      <x:c r="S63" s="7">
        <x:f>IFERROR((I63+J63+K63)/F63,"")</x:f>
      </x:c>
      <x:c r="T63" s="5">
        <x:f>IFERROR(I63+J63+K63,"")</x:f>
        <x:v>0</x:v>
      </x:c>
    </x:row>
    <x:row r="64" ht="22" customHeight="1">
      <x:c r="A64" s="5" t="inlineStr">
        <x:is>
          <x:t xml:space="preserve">P005</x:t>
        </x:is>
      </x:c>
      <x:c r="B64" s="5" t="inlineStr">
        <x:is>
          <x:t xml:space="preserve">12</x:t>
        </x:is>
      </x:c>
      <x:c r="C64" s="5" t="inlineStr">
        <x:is>
          <x:t xml:space="preserve">V01_productivity_friction</x:t>
        </x:is>
      </x:c>
      <x:c r="D64" s="5" t="inlineStr">
        <x:is>
          <x:t xml:space="preserve">bcc</x:t>
        </x:is>
      </x:c>
      <x:c r="E64" s="5" t="inlineStr">
        <x:is>
          <x:t xml:space="preserve">audio_on</x:t>
        </x:is>
      </x:c>
      <x:c r="F64" s="6" t="inlineStr">
        <x:is>
          <x:t xml:space="preserve"/>
        </x:is>
      </x:c>
      <x:c r="G64" s="6" t="inlineStr">
        <x:is>
          <x:t xml:space="preserve">6</x:t>
        </x:is>
      </x:c>
      <x:c r="H64" s="5" t="inlineStr">
        <x:is>
          <x:t xml:space="preserve"/>
        </x:is>
      </x:c>
      <x:c r="I64" s="5" t="inlineStr">
        <x:is>
          <x:t xml:space="preserve"/>
        </x:is>
      </x:c>
      <x:c r="J64" s="5" t="inlineStr">
        <x:is>
          <x:t xml:space="preserve"/>
        </x:is>
      </x:c>
      <x:c r="K64" s="5" t="inlineStr">
        <x:is>
          <x:t xml:space="preserve"/>
        </x:is>
      </x:c>
      <x:c r="L64" s="5" t="inlineStr">
        <x:is>
          <x:t xml:space="preserve"/>
        </x:is>
      </x:c>
      <x:c r="M64" s="5" t="inlineStr">
        <x:is>
          <x:t xml:space="preserve"/>
        </x:is>
      </x:c>
      <x:c r="N64" s="5" t="inlineStr">
        <x:is>
          <x:t xml:space="preserve"/>
        </x:is>
      </x:c>
      <x:c r="O64" s="5" t="inlineStr">
        <x:is>
          <x:t xml:space="preserve"/>
        </x:is>
      </x:c>
      <x:c r="P64" s="5" t="inlineStr">
        <x:is>
          <x:t xml:space="preserve"/>
        </x:is>
      </x:c>
      <x:c r="Q64" s="5" t="inlineStr">
        <x:is>
          <x:t xml:space="preserve"/>
        </x:is>
      </x:c>
      <x:c r="R64" s="5">
        <x:f>IF(OR(F64="",G64=""),"",IF(F64&gt;=0.95*G64,1,0))</x:f>
      </x:c>
      <x:c r="S64" s="7">
        <x:f>IFERROR((I64+J64+K64)/F64,"")</x:f>
      </x:c>
      <x:c r="T64" s="5">
        <x:f>IFERROR(I64+J64+K64,"")</x:f>
        <x:v>0</x:v>
      </x:c>
    </x:row>
    <x:row r="65" ht="22" customHeight="1">
      <x:c r="A65" s="5" t="inlineStr">
        <x:is>
          <x:t xml:space="preserve">P006</x:t>
        </x:is>
      </x:c>
      <x:c r="B65" s="5" t="inlineStr">
        <x:is>
          <x:t xml:space="preserve">1</x:t>
        </x:is>
      </x:c>
      <x:c r="C65" s="5" t="inlineStr">
        <x:is>
          <x:t xml:space="preserve">V04_money_visibility</x:t>
        </x:is>
      </x:c>
      <x:c r="D65" s="5" t="inlineStr">
        <x:is>
          <x:t xml:space="preserve">heavy_bionic</x:t>
        </x:is>
      </x:c>
      <x:c r="E65" s="5" t="inlineStr">
        <x:is>
          <x:t xml:space="preserve">audio_on</x:t>
        </x:is>
      </x:c>
      <x:c r="F65" s="6" t="inlineStr">
        <x:is>
          <x:t xml:space="preserve"/>
        </x:is>
      </x:c>
      <x:c r="G65" s="6" t="inlineStr">
        <x:is>
          <x:t xml:space="preserve">6</x:t>
        </x:is>
      </x:c>
      <x:c r="H65" s="5" t="inlineStr">
        <x:is>
          <x:t xml:space="preserve"/>
        </x:is>
      </x:c>
      <x:c r="I65" s="5" t="inlineStr">
        <x:is>
          <x:t xml:space="preserve"/>
        </x:is>
      </x:c>
      <x:c r="J65" s="5" t="inlineStr">
        <x:is>
          <x:t xml:space="preserve"/>
        </x:is>
      </x:c>
      <x:c r="K65" s="5" t="inlineStr">
        <x:is>
          <x:t xml:space="preserve"/>
        </x:is>
      </x:c>
      <x:c r="L65" s="5" t="inlineStr">
        <x:is>
          <x:t xml:space="preserve"/>
        </x:is>
      </x:c>
      <x:c r="M65" s="5" t="inlineStr">
        <x:is>
          <x:t xml:space="preserve"/>
        </x:is>
      </x:c>
      <x:c r="N65" s="5" t="inlineStr">
        <x:is>
          <x:t xml:space="preserve"/>
        </x:is>
      </x:c>
      <x:c r="O65" s="5" t="inlineStr">
        <x:is>
          <x:t xml:space="preserve"/>
        </x:is>
      </x:c>
      <x:c r="P65" s="5" t="inlineStr">
        <x:is>
          <x:t xml:space="preserve"/>
        </x:is>
      </x:c>
      <x:c r="Q65" s="5" t="inlineStr">
        <x:is>
          <x:t xml:space="preserve"/>
        </x:is>
      </x:c>
      <x:c r="R65" s="5">
        <x:f>IF(OR(F65="",G65=""),"",IF(F65&gt;=0.95*G65,1,0))</x:f>
      </x:c>
      <x:c r="S65" s="7">
        <x:f>IFERROR((I65+J65+K65)/F65,"")</x:f>
      </x:c>
      <x:c r="T65" s="5">
        <x:f>IFERROR(I65+J65+K65,"")</x:f>
        <x:v>0</x:v>
      </x:c>
    </x:row>
    <x:row r="66" ht="22" customHeight="1">
      <x:c r="A66" s="5" t="inlineStr">
        <x:is>
          <x:t xml:space="preserve">P006</x:t>
        </x:is>
      </x:c>
      <x:c r="B66" s="5" t="inlineStr">
        <x:is>
          <x:t xml:space="preserve">2</x:t>
        </x:is>
      </x:c>
      <x:c r="C66" s="5" t="inlineStr">
        <x:is>
          <x:t xml:space="preserve">V08_calendar_system</x:t>
        </x:is>
      </x:c>
      <x:c r="D66" s="5" t="inlineStr">
        <x:is>
          <x:t xml:space="preserve">full_transcript</x:t>
        </x:is>
      </x:c>
      <x:c r="E66" s="5" t="inlineStr">
        <x:is>
          <x:t xml:space="preserve">muted</x:t>
        </x:is>
      </x:c>
      <x:c r="F66" s="6" t="inlineStr">
        <x:is>
          <x:t xml:space="preserve"/>
        </x:is>
      </x:c>
      <x:c r="G66" s="6" t="inlineStr">
        <x:is>
          <x:t xml:space="preserve">6</x:t>
        </x:is>
      </x:c>
      <x:c r="H66" s="5" t="inlineStr">
        <x:is>
          <x:t xml:space="preserve"/>
        </x:is>
      </x:c>
      <x:c r="I66" s="5" t="inlineStr">
        <x:is>
          <x:t xml:space="preserve"/>
        </x:is>
      </x:c>
      <x:c r="J66" s="5" t="inlineStr">
        <x:is>
          <x:t xml:space="preserve"/>
        </x:is>
      </x:c>
      <x:c r="K66" s="5" t="inlineStr">
        <x:is>
          <x:t xml:space="preserve"/>
        </x:is>
      </x:c>
      <x:c r="L66" s="5" t="inlineStr">
        <x:is>
          <x:t xml:space="preserve"/>
        </x:is>
      </x:c>
      <x:c r="M66" s="5" t="inlineStr">
        <x:is>
          <x:t xml:space="preserve"/>
        </x:is>
      </x:c>
      <x:c r="N66" s="5" t="inlineStr">
        <x:is>
          <x:t xml:space="preserve"/>
        </x:is>
      </x:c>
      <x:c r="O66" s="5" t="inlineStr">
        <x:is>
          <x:t xml:space="preserve"/>
        </x:is>
      </x:c>
      <x:c r="P66" s="5" t="inlineStr">
        <x:is>
          <x:t xml:space="preserve"/>
        </x:is>
      </x:c>
      <x:c r="Q66" s="5" t="inlineStr">
        <x:is>
          <x:t xml:space="preserve"/>
        </x:is>
      </x:c>
      <x:c r="R66" s="5">
        <x:f>IF(OR(F66="",G66=""),"",IF(F66&gt;=0.95*G66,1,0))</x:f>
      </x:c>
      <x:c r="S66" s="7">
        <x:f>IFERROR((I66+J66+K66)/F66,"")</x:f>
      </x:c>
      <x:c r="T66" s="5">
        <x:f>IFERROR(I66+J66+K66,"")</x:f>
        <x:v>0</x:v>
      </x:c>
    </x:row>
    <x:row r="67" ht="22" customHeight="1">
      <x:c r="A67" s="5" t="inlineStr">
        <x:is>
          <x:t xml:space="preserve">P006</x:t>
        </x:is>
      </x:c>
      <x:c r="B67" s="5" t="inlineStr">
        <x:is>
          <x:t xml:space="preserve">3</x:t>
        </x:is>
      </x:c>
      <x:c r="C67" s="5" t="inlineStr">
        <x:is>
          <x:t xml:space="preserve">V09_nutrition_satiety</x:t>
        </x:is>
      </x:c>
      <x:c r="D67" s="5" t="inlineStr">
        <x:is>
          <x:t xml:space="preserve">keyword_highlight</x:t>
        </x:is>
      </x:c>
      <x:c r="E67" s="5" t="inlineStr">
        <x:is>
          <x:t xml:space="preserve">audio_on</x:t>
        </x:is>
      </x:c>
      <x:c r="F67" s="6" t="inlineStr">
        <x:is>
          <x:t xml:space="preserve"/>
        </x:is>
      </x:c>
      <x:c r="G67" s="6" t="inlineStr">
        <x:is>
          <x:t xml:space="preserve">6</x:t>
        </x:is>
      </x:c>
      <x:c r="H67" s="5" t="inlineStr">
        <x:is>
          <x:t xml:space="preserve"/>
        </x:is>
      </x:c>
      <x:c r="I67" s="5" t="inlineStr">
        <x:is>
          <x:t xml:space="preserve"/>
        </x:is>
      </x:c>
      <x:c r="J67" s="5" t="inlineStr">
        <x:is>
          <x:t xml:space="preserve"/>
        </x:is>
      </x:c>
      <x:c r="K67" s="5" t="inlineStr">
        <x:is>
          <x:t xml:space="preserve"/>
        </x:is>
      </x:c>
      <x:c r="L67" s="5" t="inlineStr">
        <x:is>
          <x:t xml:space="preserve"/>
        </x:is>
      </x:c>
      <x:c r="M67" s="5" t="inlineStr">
        <x:is>
          <x:t xml:space="preserve"/>
        </x:is>
      </x:c>
      <x:c r="N67" s="5" t="inlineStr">
        <x:is>
          <x:t xml:space="preserve"/>
        </x:is>
      </x:c>
      <x:c r="O67" s="5" t="inlineStr">
        <x:is>
          <x:t xml:space="preserve"/>
        </x:is>
      </x:c>
      <x:c r="P67" s="5" t="inlineStr">
        <x:is>
          <x:t xml:space="preserve"/>
        </x:is>
      </x:c>
      <x:c r="Q67" s="5" t="inlineStr">
        <x:is>
          <x:t xml:space="preserve"/>
        </x:is>
      </x:c>
      <x:c r="R67" s="5">
        <x:f>IF(OR(F67="",G67=""),"",IF(F67&gt;=0.95*G67,1,0))</x:f>
      </x:c>
      <x:c r="S67" s="7">
        <x:f>IFERROR((I67+J67+K67)/F67,"")</x:f>
      </x:c>
      <x:c r="T67" s="5">
        <x:f>IFERROR(I67+J67+K67,"")</x:f>
        <x:v>0</x:v>
      </x:c>
    </x:row>
    <x:row r="68" ht="22" customHeight="1">
      <x:c r="A68" s="5" t="inlineStr">
        <x:is>
          <x:t xml:space="preserve">P006</x:t>
        </x:is>
      </x:c>
      <x:c r="B68" s="5" t="inlineStr">
        <x:is>
          <x:t xml:space="preserve">4</x:t>
        </x:is>
      </x:c>
      <x:c r="C68" s="5" t="inlineStr">
        <x:is>
          <x:t xml:space="preserve">V07_business_clarity</x:t>
        </x:is>
      </x:c>
      <x:c r="D68" s="5" t="inlineStr">
        <x:is>
          <x:t xml:space="preserve">semantic_compression</x:t>
        </x:is>
      </x:c>
      <x:c r="E68" s="5" t="inlineStr">
        <x:is>
          <x:t xml:space="preserve">muted</x:t>
        </x:is>
      </x:c>
      <x:c r="F68" s="6" t="inlineStr">
        <x:is>
          <x:t xml:space="preserve"/>
        </x:is>
      </x:c>
      <x:c r="G68" s="6" t="inlineStr">
        <x:is>
          <x:t xml:space="preserve">6</x:t>
        </x:is>
      </x:c>
      <x:c r="H68" s="5" t="inlineStr">
        <x:is>
          <x:t xml:space="preserve"/>
        </x:is>
      </x:c>
      <x:c r="I68" s="5" t="inlineStr">
        <x:is>
          <x:t xml:space="preserve"/>
        </x:is>
      </x:c>
      <x:c r="J68" s="5" t="inlineStr">
        <x:is>
          <x:t xml:space="preserve"/>
        </x:is>
      </x:c>
      <x:c r="K68" s="5" t="inlineStr">
        <x:is>
          <x:t xml:space="preserve"/>
        </x:is>
      </x:c>
      <x:c r="L68" s="5" t="inlineStr">
        <x:is>
          <x:t xml:space="preserve"/>
        </x:is>
      </x:c>
      <x:c r="M68" s="5" t="inlineStr">
        <x:is>
          <x:t xml:space="preserve"/>
        </x:is>
      </x:c>
      <x:c r="N68" s="5" t="inlineStr">
        <x:is>
          <x:t xml:space="preserve"/>
        </x:is>
      </x:c>
      <x:c r="O68" s="5" t="inlineStr">
        <x:is>
          <x:t xml:space="preserve"/>
        </x:is>
      </x:c>
      <x:c r="P68" s="5" t="inlineStr">
        <x:is>
          <x:t xml:space="preserve"/>
        </x:is>
      </x:c>
      <x:c r="Q68" s="5" t="inlineStr">
        <x:is>
          <x:t xml:space="preserve"/>
        </x:is>
      </x:c>
      <x:c r="R68" s="5">
        <x:f>IF(OR(F68="",G68=""),"",IF(F68&gt;=0.95*G68,1,0))</x:f>
      </x:c>
      <x:c r="S68" s="7">
        <x:f>IFERROR((I68+J68+K68)/F68,"")</x:f>
      </x:c>
      <x:c r="T68" s="5">
        <x:f>IFERROR(I68+J68+K68,"")</x:f>
        <x:v>0</x:v>
      </x:c>
    </x:row>
    <x:row r="69" ht="22" customHeight="1">
      <x:c r="A69" s="5" t="inlineStr">
        <x:is>
          <x:t xml:space="preserve">P006</x:t>
        </x:is>
      </x:c>
      <x:c r="B69" s="5" t="inlineStr">
        <x:is>
          <x:t xml:space="preserve">5</x:t>
        </x:is>
      </x:c>
      <x:c r="C69" s="5" t="inlineStr">
        <x:is>
          <x:t xml:space="preserve">V11_story_burnout</x:t>
        </x:is>
      </x:c>
      <x:c r="D69" s="5" t="inlineStr">
        <x:is>
          <x:t xml:space="preserve">bcc</x:t>
        </x:is>
      </x:c>
      <x:c r="E69" s="5" t="inlineStr">
        <x:is>
          <x:t xml:space="preserve">audio_on</x:t>
        </x:is>
      </x:c>
      <x:c r="F69" s="6" t="inlineStr">
        <x:is>
          <x:t xml:space="preserve"/>
        </x:is>
      </x:c>
      <x:c r="G69" s="6" t="inlineStr">
        <x:is>
          <x:t xml:space="preserve">6</x:t>
        </x:is>
      </x:c>
      <x:c r="H69" s="5" t="inlineStr">
        <x:is>
          <x:t xml:space="preserve"/>
        </x:is>
      </x:c>
      <x:c r="I69" s="5" t="inlineStr">
        <x:is>
          <x:t xml:space="preserve"/>
        </x:is>
      </x:c>
      <x:c r="J69" s="5" t="inlineStr">
        <x:is>
          <x:t xml:space="preserve"/>
        </x:is>
      </x:c>
      <x:c r="K69" s="5" t="inlineStr">
        <x:is>
          <x:t xml:space="preserve"/>
        </x:is>
      </x:c>
      <x:c r="L69" s="5" t="inlineStr">
        <x:is>
          <x:t xml:space="preserve"/>
        </x:is>
      </x:c>
      <x:c r="M69" s="5" t="inlineStr">
        <x:is>
          <x:t xml:space="preserve"/>
        </x:is>
      </x:c>
      <x:c r="N69" s="5" t="inlineStr">
        <x:is>
          <x:t xml:space="preserve"/>
        </x:is>
      </x:c>
      <x:c r="O69" s="5" t="inlineStr">
        <x:is>
          <x:t xml:space="preserve"/>
        </x:is>
      </x:c>
      <x:c r="P69" s="5" t="inlineStr">
        <x:is>
          <x:t xml:space="preserve"/>
        </x:is>
      </x:c>
      <x:c r="Q69" s="5" t="inlineStr">
        <x:is>
          <x:t xml:space="preserve"/>
        </x:is>
      </x:c>
      <x:c r="R69" s="5">
        <x:f>IF(OR(F69="",G69=""),"",IF(F69&gt;=0.95*G69,1,0))</x:f>
      </x:c>
      <x:c r="S69" s="7">
        <x:f>IFERROR((I69+J69+K69)/F69,"")</x:f>
      </x:c>
      <x:c r="T69" s="5">
        <x:f>IFERROR(I69+J69+K69,"")</x:f>
        <x:v>0</x:v>
      </x:c>
    </x:row>
    <x:row r="70" ht="22" customHeight="1">
      <x:c r="A70" s="5" t="inlineStr">
        <x:is>
          <x:t xml:space="preserve">P006</x:t>
        </x:is>
      </x:c>
      <x:c r="B70" s="5" t="inlineStr">
        <x:is>
          <x:t xml:space="preserve">6</x:t>
        </x:is>
      </x:c>
      <x:c r="C70" s="5" t="inlineStr">
        <x:is>
          <x:t xml:space="preserve">V05_coding_assumptions</x:t>
        </x:is>
      </x:c>
      <x:c r="D70" s="5" t="inlineStr">
        <x:is>
          <x:t xml:space="preserve">bcc_plus</x:t>
        </x:is>
      </x:c>
      <x:c r="E70" s="5" t="inlineStr">
        <x:is>
          <x:t xml:space="preserve">muted</x:t>
        </x:is>
      </x:c>
      <x:c r="F70" s="6" t="inlineStr">
        <x:is>
          <x:t xml:space="preserve"/>
        </x:is>
      </x:c>
      <x:c r="G70" s="6" t="inlineStr">
        <x:is>
          <x:t xml:space="preserve">6</x:t>
        </x:is>
      </x:c>
      <x:c r="H70" s="5" t="inlineStr">
        <x:is>
          <x:t xml:space="preserve"/>
        </x:is>
      </x:c>
      <x:c r="I70" s="5" t="inlineStr">
        <x:is>
          <x:t xml:space="preserve"/>
        </x:is>
      </x:c>
      <x:c r="J70" s="5" t="inlineStr">
        <x:is>
          <x:t xml:space="preserve"/>
        </x:is>
      </x:c>
      <x:c r="K70" s="5" t="inlineStr">
        <x:is>
          <x:t xml:space="preserve"/>
        </x:is>
      </x:c>
      <x:c r="L70" s="5" t="inlineStr">
        <x:is>
          <x:t xml:space="preserve"/>
        </x:is>
      </x:c>
      <x:c r="M70" s="5" t="inlineStr">
        <x:is>
          <x:t xml:space="preserve"/>
        </x:is>
      </x:c>
      <x:c r="N70" s="5" t="inlineStr">
        <x:is>
          <x:t xml:space="preserve"/>
        </x:is>
      </x:c>
      <x:c r="O70" s="5" t="inlineStr">
        <x:is>
          <x:t xml:space="preserve"/>
        </x:is>
      </x:c>
      <x:c r="P70" s="5" t="inlineStr">
        <x:is>
          <x:t xml:space="preserve"/>
        </x:is>
      </x:c>
      <x:c r="Q70" s="5" t="inlineStr">
        <x:is>
          <x:t xml:space="preserve"/>
        </x:is>
      </x:c>
      <x:c r="R70" s="5">
        <x:f>IF(OR(F70="",G70=""),"",IF(F70&gt;=0.95*G70,1,0))</x:f>
      </x:c>
      <x:c r="S70" s="7">
        <x:f>IFERROR((I70+J70+K70)/F70,"")</x:f>
      </x:c>
      <x:c r="T70" s="5">
        <x:f>IFERROR(I70+J70+K70,"")</x:f>
        <x:v>0</x:v>
      </x:c>
    </x:row>
    <x:row r="71" ht="22" customHeight="1">
      <x:c r="A71" s="5" t="inlineStr">
        <x:is>
          <x:t xml:space="preserve">P006</x:t>
        </x:is>
      </x:c>
      <x:c r="B71" s="5" t="inlineStr">
        <x:is>
          <x:t xml:space="preserve">7</x:t>
        </x:is>
      </x:c>
      <x:c r="C71" s="5" t="inlineStr">
        <x:is>
          <x:t xml:space="preserve">V03_fitness_setup</x:t>
        </x:is>
      </x:c>
      <x:c r="D71" s="5" t="inlineStr">
        <x:is>
          <x:t xml:space="preserve">heavy_bionic</x:t>
        </x:is>
      </x:c>
      <x:c r="E71" s="5" t="inlineStr">
        <x:is>
          <x:t xml:space="preserve">audio_on</x:t>
        </x:is>
      </x:c>
      <x:c r="F71" s="6" t="inlineStr">
        <x:is>
          <x:t xml:space="preserve"/>
        </x:is>
      </x:c>
      <x:c r="G71" s="6" t="inlineStr">
        <x:is>
          <x:t xml:space="preserve">6</x:t>
        </x:is>
      </x:c>
      <x:c r="H71" s="5" t="inlineStr">
        <x:is>
          <x:t xml:space="preserve"/>
        </x:is>
      </x:c>
      <x:c r="I71" s="5" t="inlineStr">
        <x:is>
          <x:t xml:space="preserve"/>
        </x:is>
      </x:c>
      <x:c r="J71" s="5" t="inlineStr">
        <x:is>
          <x:t xml:space="preserve"/>
        </x:is>
      </x:c>
      <x:c r="K71" s="5" t="inlineStr">
        <x:is>
          <x:t xml:space="preserve"/>
        </x:is>
      </x:c>
      <x:c r="L71" s="5" t="inlineStr">
        <x:is>
          <x:t xml:space="preserve"/>
        </x:is>
      </x:c>
      <x:c r="M71" s="5" t="inlineStr">
        <x:is>
          <x:t xml:space="preserve"/>
        </x:is>
      </x:c>
      <x:c r="N71" s="5" t="inlineStr">
        <x:is>
          <x:t xml:space="preserve"/>
        </x:is>
      </x:c>
      <x:c r="O71" s="5" t="inlineStr">
        <x:is>
          <x:t xml:space="preserve"/>
        </x:is>
      </x:c>
      <x:c r="P71" s="5" t="inlineStr">
        <x:is>
          <x:t xml:space="preserve"/>
        </x:is>
      </x:c>
      <x:c r="Q71" s="5" t="inlineStr">
        <x:is>
          <x:t xml:space="preserve"/>
        </x:is>
      </x:c>
      <x:c r="R71" s="5">
        <x:f>IF(OR(F71="",G71=""),"",IF(F71&gt;=0.95*G71,1,0))</x:f>
      </x:c>
      <x:c r="S71" s="7">
        <x:f>IFERROR((I71+J71+K71)/F71,"")</x:f>
      </x:c>
      <x:c r="T71" s="5">
        <x:f>IFERROR(I71+J71+K71,"")</x:f>
        <x:v>0</x:v>
      </x:c>
    </x:row>
    <x:row r="72" ht="22" customHeight="1">
      <x:c r="A72" s="5" t="inlineStr">
        <x:is>
          <x:t xml:space="preserve">P006</x:t>
        </x:is>
      </x:c>
      <x:c r="B72" s="5" t="inlineStr">
        <x:is>
          <x:t xml:space="preserve">8</x:t>
        </x:is>
      </x:c>
      <x:c r="C72" s="5" t="inlineStr">
        <x:is>
          <x:t xml:space="preserve">V01_productivity_friction</x:t>
        </x:is>
      </x:c>
      <x:c r="D72" s="5" t="inlineStr">
        <x:is>
          <x:t xml:space="preserve">full_transcript</x:t>
        </x:is>
      </x:c>
      <x:c r="E72" s="5" t="inlineStr">
        <x:is>
          <x:t xml:space="preserve">muted</x:t>
        </x:is>
      </x:c>
      <x:c r="F72" s="6" t="inlineStr">
        <x:is>
          <x:t xml:space="preserve"/>
        </x:is>
      </x:c>
      <x:c r="G72" s="6" t="inlineStr">
        <x:is>
          <x:t xml:space="preserve">6</x:t>
        </x:is>
      </x:c>
      <x:c r="H72" s="5" t="inlineStr">
        <x:is>
          <x:t xml:space="preserve"/>
        </x:is>
      </x:c>
      <x:c r="I72" s="5" t="inlineStr">
        <x:is>
          <x:t xml:space="preserve"/>
        </x:is>
      </x:c>
      <x:c r="J72" s="5" t="inlineStr">
        <x:is>
          <x:t xml:space="preserve"/>
        </x:is>
      </x:c>
      <x:c r="K72" s="5" t="inlineStr">
        <x:is>
          <x:t xml:space="preserve"/>
        </x:is>
      </x:c>
      <x:c r="L72" s="5" t="inlineStr">
        <x:is>
          <x:t xml:space="preserve"/>
        </x:is>
      </x:c>
      <x:c r="M72" s="5" t="inlineStr">
        <x:is>
          <x:t xml:space="preserve"/>
        </x:is>
      </x:c>
      <x:c r="N72" s="5" t="inlineStr">
        <x:is>
          <x:t xml:space="preserve"/>
        </x:is>
      </x:c>
      <x:c r="O72" s="5" t="inlineStr">
        <x:is>
          <x:t xml:space="preserve"/>
        </x:is>
      </x:c>
      <x:c r="P72" s="5" t="inlineStr">
        <x:is>
          <x:t xml:space="preserve"/>
        </x:is>
      </x:c>
      <x:c r="Q72" s="5" t="inlineStr">
        <x:is>
          <x:t xml:space="preserve"/>
        </x:is>
      </x:c>
      <x:c r="R72" s="5">
        <x:f>IF(OR(F72="",G72=""),"",IF(F72&gt;=0.95*G72,1,0))</x:f>
      </x:c>
      <x:c r="S72" s="7">
        <x:f>IFERROR((I72+J72+K72)/F72,"")</x:f>
      </x:c>
      <x:c r="T72" s="5">
        <x:f>IFERROR(I72+J72+K72,"")</x:f>
        <x:v>0</x:v>
      </x:c>
    </x:row>
    <x:row r="73" ht="22" customHeight="1">
      <x:c r="A73" s="5" t="inlineStr">
        <x:is>
          <x:t xml:space="preserve">P006</x:t>
        </x:is>
      </x:c>
      <x:c r="B73" s="5" t="inlineStr">
        <x:is>
          <x:t xml:space="preserve">9</x:t>
        </x:is>
      </x:c>
      <x:c r="C73" s="5" t="inlineStr">
        <x:is>
          <x:t xml:space="preserve">V02_study_recall</x:t>
        </x:is>
      </x:c>
      <x:c r="D73" s="5" t="inlineStr">
        <x:is>
          <x:t xml:space="preserve">keyword_highlight</x:t>
        </x:is>
      </x:c>
      <x:c r="E73" s="5" t="inlineStr">
        <x:is>
          <x:t xml:space="preserve">audio_on</x:t>
        </x:is>
      </x:c>
      <x:c r="F73" s="6" t="inlineStr">
        <x:is>
          <x:t xml:space="preserve"/>
        </x:is>
      </x:c>
      <x:c r="G73" s="6" t="inlineStr">
        <x:is>
          <x:t xml:space="preserve">6</x:t>
        </x:is>
      </x:c>
      <x:c r="H73" s="5" t="inlineStr">
        <x:is>
          <x:t xml:space="preserve"/>
        </x:is>
      </x:c>
      <x:c r="I73" s="5" t="inlineStr">
        <x:is>
          <x:t xml:space="preserve"/>
        </x:is>
      </x:c>
      <x:c r="J73" s="5" t="inlineStr">
        <x:is>
          <x:t xml:space="preserve"/>
        </x:is>
      </x:c>
      <x:c r="K73" s="5" t="inlineStr">
        <x:is>
          <x:t xml:space="preserve"/>
        </x:is>
      </x:c>
      <x:c r="L73" s="5" t="inlineStr">
        <x:is>
          <x:t xml:space="preserve"/>
        </x:is>
      </x:c>
      <x:c r="M73" s="5" t="inlineStr">
        <x:is>
          <x:t xml:space="preserve"/>
        </x:is>
      </x:c>
      <x:c r="N73" s="5" t="inlineStr">
        <x:is>
          <x:t xml:space="preserve"/>
        </x:is>
      </x:c>
      <x:c r="O73" s="5" t="inlineStr">
        <x:is>
          <x:t xml:space="preserve"/>
        </x:is>
      </x:c>
      <x:c r="P73" s="5" t="inlineStr">
        <x:is>
          <x:t xml:space="preserve"/>
        </x:is>
      </x:c>
      <x:c r="Q73" s="5" t="inlineStr">
        <x:is>
          <x:t xml:space="preserve"/>
        </x:is>
      </x:c>
      <x:c r="R73" s="5">
        <x:f>IF(OR(F73="",G73=""),"",IF(F73&gt;=0.95*G73,1,0))</x:f>
      </x:c>
      <x:c r="S73" s="7">
        <x:f>IFERROR((I73+J73+K73)/F73,"")</x:f>
      </x:c>
      <x:c r="T73" s="5">
        <x:f>IFERROR(I73+J73+K73,"")</x:f>
        <x:v>0</x:v>
      </x:c>
    </x:row>
    <x:row r="74" ht="22" customHeight="1">
      <x:c r="A74" s="5" t="inlineStr">
        <x:is>
          <x:t xml:space="preserve">P006</x:t>
        </x:is>
      </x:c>
      <x:c r="B74" s="5" t="inlineStr">
        <x:is>
          <x:t xml:space="preserve">10</x:t>
        </x:is>
      </x:c>
      <x:c r="C74" s="5" t="inlineStr">
        <x:is>
          <x:t xml:space="preserve">V12_creativity_constraints</x:t>
        </x:is>
      </x:c>
      <x:c r="D74" s="5" t="inlineStr">
        <x:is>
          <x:t xml:space="preserve">semantic_compression</x:t>
        </x:is>
      </x:c>
      <x:c r="E74" s="5" t="inlineStr">
        <x:is>
          <x:t xml:space="preserve">muted</x:t>
        </x:is>
      </x:c>
      <x:c r="F74" s="6" t="inlineStr">
        <x:is>
          <x:t xml:space="preserve"/>
        </x:is>
      </x:c>
      <x:c r="G74" s="6" t="inlineStr">
        <x:is>
          <x:t xml:space="preserve">6</x:t>
        </x:is>
      </x:c>
      <x:c r="H74" s="5" t="inlineStr">
        <x:is>
          <x:t xml:space="preserve"/>
        </x:is>
      </x:c>
      <x:c r="I74" s="5" t="inlineStr">
        <x:is>
          <x:t xml:space="preserve"/>
        </x:is>
      </x:c>
      <x:c r="J74" s="5" t="inlineStr">
        <x:is>
          <x:t xml:space="preserve"/>
        </x:is>
      </x:c>
      <x:c r="K74" s="5" t="inlineStr">
        <x:is>
          <x:t xml:space="preserve"/>
        </x:is>
      </x:c>
      <x:c r="L74" s="5" t="inlineStr">
        <x:is>
          <x:t xml:space="preserve"/>
        </x:is>
      </x:c>
      <x:c r="M74" s="5" t="inlineStr">
        <x:is>
          <x:t xml:space="preserve"/>
        </x:is>
      </x:c>
      <x:c r="N74" s="5" t="inlineStr">
        <x:is>
          <x:t xml:space="preserve"/>
        </x:is>
      </x:c>
      <x:c r="O74" s="5" t="inlineStr">
        <x:is>
          <x:t xml:space="preserve"/>
        </x:is>
      </x:c>
      <x:c r="P74" s="5" t="inlineStr">
        <x:is>
          <x:t xml:space="preserve"/>
        </x:is>
      </x:c>
      <x:c r="Q74" s="5" t="inlineStr">
        <x:is>
          <x:t xml:space="preserve"/>
        </x:is>
      </x:c>
      <x:c r="R74" s="5">
        <x:f>IF(OR(F74="",G74=""),"",IF(F74&gt;=0.95*G74,1,0))</x:f>
      </x:c>
      <x:c r="S74" s="7">
        <x:f>IFERROR((I74+J74+K74)/F74,"")</x:f>
      </x:c>
      <x:c r="T74" s="5">
        <x:f>IFERROR(I74+J74+K74,"")</x:f>
        <x:v>0</x:v>
      </x:c>
    </x:row>
    <x:row r="75" ht="22" customHeight="1">
      <x:c r="A75" s="5" t="inlineStr">
        <x:is>
          <x:t xml:space="preserve">P006</x:t>
        </x:is>
      </x:c>
      <x:c r="B75" s="5" t="inlineStr">
        <x:is>
          <x:t xml:space="preserve">11</x:t>
        </x:is>
      </x:c>
      <x:c r="C75" s="5" t="inlineStr">
        <x:is>
          <x:t xml:space="preserve">V06_overload_open_loops</x:t>
        </x:is>
      </x:c>
      <x:c r="D75" s="5" t="inlineStr">
        <x:is>
          <x:t xml:space="preserve">bcc</x:t>
        </x:is>
      </x:c>
      <x:c r="E75" s="5" t="inlineStr">
        <x:is>
          <x:t xml:space="preserve">audio_on</x:t>
        </x:is>
      </x:c>
      <x:c r="F75" s="6" t="inlineStr">
        <x:is>
          <x:t xml:space="preserve"/>
        </x:is>
      </x:c>
      <x:c r="G75" s="6" t="inlineStr">
        <x:is>
          <x:t xml:space="preserve">6</x:t>
        </x:is>
      </x:c>
      <x:c r="H75" s="5" t="inlineStr">
        <x:is>
          <x:t xml:space="preserve"/>
        </x:is>
      </x:c>
      <x:c r="I75" s="5" t="inlineStr">
        <x:is>
          <x:t xml:space="preserve"/>
        </x:is>
      </x:c>
      <x:c r="J75" s="5" t="inlineStr">
        <x:is>
          <x:t xml:space="preserve"/>
        </x:is>
      </x:c>
      <x:c r="K75" s="5" t="inlineStr">
        <x:is>
          <x:t xml:space="preserve"/>
        </x:is>
      </x:c>
      <x:c r="L75" s="5" t="inlineStr">
        <x:is>
          <x:t xml:space="preserve"/>
        </x:is>
      </x:c>
      <x:c r="M75" s="5" t="inlineStr">
        <x:is>
          <x:t xml:space="preserve"/>
        </x:is>
      </x:c>
      <x:c r="N75" s="5" t="inlineStr">
        <x:is>
          <x:t xml:space="preserve"/>
        </x:is>
      </x:c>
      <x:c r="O75" s="5" t="inlineStr">
        <x:is>
          <x:t xml:space="preserve"/>
        </x:is>
      </x:c>
      <x:c r="P75" s="5" t="inlineStr">
        <x:is>
          <x:t xml:space="preserve"/>
        </x:is>
      </x:c>
      <x:c r="Q75" s="5" t="inlineStr">
        <x:is>
          <x:t xml:space="preserve"/>
        </x:is>
      </x:c>
      <x:c r="R75" s="5">
        <x:f>IF(OR(F75="",G75=""),"",IF(F75&gt;=0.95*G75,1,0))</x:f>
      </x:c>
      <x:c r="S75" s="7">
        <x:f>IFERROR((I75+J75+K75)/F75,"")</x:f>
      </x:c>
      <x:c r="T75" s="5">
        <x:f>IFERROR(I75+J75+K75,"")</x:f>
        <x:v>0</x:v>
      </x:c>
    </x:row>
    <x:row r="76" ht="22" customHeight="1">
      <x:c r="A76" s="5" t="inlineStr">
        <x:is>
          <x:t xml:space="preserve">P006</x:t>
        </x:is>
      </x:c>
      <x:c r="B76" s="5" t="inlineStr">
        <x:is>
          <x:t xml:space="preserve">12</x:t>
        </x:is>
      </x:c>
      <x:c r="C76" s="5" t="inlineStr">
        <x:is>
          <x:t xml:space="preserve">V10_tutorial_ui</x:t>
        </x:is>
      </x:c>
      <x:c r="D76" s="5" t="inlineStr">
        <x:is>
          <x:t xml:space="preserve">bcc_plus</x:t>
        </x:is>
      </x:c>
      <x:c r="E76" s="5" t="inlineStr">
        <x:is>
          <x:t xml:space="preserve">muted</x:t>
        </x:is>
      </x:c>
      <x:c r="F76" s="6" t="inlineStr">
        <x:is>
          <x:t xml:space="preserve"/>
        </x:is>
      </x:c>
      <x:c r="G76" s="6" t="inlineStr">
        <x:is>
          <x:t xml:space="preserve">6</x:t>
        </x:is>
      </x:c>
      <x:c r="H76" s="5" t="inlineStr">
        <x:is>
          <x:t xml:space="preserve"/>
        </x:is>
      </x:c>
      <x:c r="I76" s="5" t="inlineStr">
        <x:is>
          <x:t xml:space="preserve"/>
        </x:is>
      </x:c>
      <x:c r="J76" s="5" t="inlineStr">
        <x:is>
          <x:t xml:space="preserve"/>
        </x:is>
      </x:c>
      <x:c r="K76" s="5" t="inlineStr">
        <x:is>
          <x:t xml:space="preserve"/>
        </x:is>
      </x:c>
      <x:c r="L76" s="5" t="inlineStr">
        <x:is>
          <x:t xml:space="preserve"/>
        </x:is>
      </x:c>
      <x:c r="M76" s="5" t="inlineStr">
        <x:is>
          <x:t xml:space="preserve"/>
        </x:is>
      </x:c>
      <x:c r="N76" s="5" t="inlineStr">
        <x:is>
          <x:t xml:space="preserve"/>
        </x:is>
      </x:c>
      <x:c r="O76" s="5" t="inlineStr">
        <x:is>
          <x:t xml:space="preserve"/>
        </x:is>
      </x:c>
      <x:c r="P76" s="5" t="inlineStr">
        <x:is>
          <x:t xml:space="preserve"/>
        </x:is>
      </x:c>
      <x:c r="Q76" s="5" t="inlineStr">
        <x:is>
          <x:t xml:space="preserve"/>
        </x:is>
      </x:c>
      <x:c r="R76" s="5">
        <x:f>IF(OR(F76="",G76=""),"",IF(F76&gt;=0.95*G76,1,0))</x:f>
      </x:c>
      <x:c r="S76" s="7">
        <x:f>IFERROR((I76+J76+K76)/F76,"")</x:f>
      </x:c>
      <x:c r="T76" s="5">
        <x:f>IFERROR(I76+J76+K76,"")</x:f>
        <x:v>0</x:v>
      </x:c>
    </x:row>
    <x:row r="77" ht="22" customHeight="1">
      <x:c r="A77" s="5" t="inlineStr">
        <x:is>
          <x:t xml:space="preserve">P007</x:t>
        </x:is>
      </x:c>
      <x:c r="B77" s="5" t="inlineStr">
        <x:is>
          <x:t xml:space="preserve">1</x:t>
        </x:is>
      </x:c>
      <x:c r="C77" s="5" t="inlineStr">
        <x:is>
          <x:t xml:space="preserve">V05_coding_assumptions</x:t>
        </x:is>
      </x:c>
      <x:c r="D77" s="5" t="inlineStr">
        <x:is>
          <x:t xml:space="preserve">full_transcript</x:t>
        </x:is>
      </x:c>
      <x:c r="E77" s="5" t="inlineStr">
        <x:is>
          <x:t xml:space="preserve">muted</x:t>
        </x:is>
      </x:c>
      <x:c r="F77" s="6" t="inlineStr">
        <x:is>
          <x:t xml:space="preserve"/>
        </x:is>
      </x:c>
      <x:c r="G77" s="6" t="inlineStr">
        <x:is>
          <x:t xml:space="preserve">6</x:t>
        </x:is>
      </x:c>
      <x:c r="H77" s="5" t="inlineStr">
        <x:is>
          <x:t xml:space="preserve"/>
        </x:is>
      </x:c>
      <x:c r="I77" s="5" t="inlineStr">
        <x:is>
          <x:t xml:space="preserve"/>
        </x:is>
      </x:c>
      <x:c r="J77" s="5" t="inlineStr">
        <x:is>
          <x:t xml:space="preserve"/>
        </x:is>
      </x:c>
      <x:c r="K77" s="5" t="inlineStr">
        <x:is>
          <x:t xml:space="preserve"/>
        </x:is>
      </x:c>
      <x:c r="L77" s="5" t="inlineStr">
        <x:is>
          <x:t xml:space="preserve"/>
        </x:is>
      </x:c>
      <x:c r="M77" s="5" t="inlineStr">
        <x:is>
          <x:t xml:space="preserve"/>
        </x:is>
      </x:c>
      <x:c r="N77" s="5" t="inlineStr">
        <x:is>
          <x:t xml:space="preserve"/>
        </x:is>
      </x:c>
      <x:c r="O77" s="5" t="inlineStr">
        <x:is>
          <x:t xml:space="preserve"/>
        </x:is>
      </x:c>
      <x:c r="P77" s="5" t="inlineStr">
        <x:is>
          <x:t xml:space="preserve"/>
        </x:is>
      </x:c>
      <x:c r="Q77" s="5" t="inlineStr">
        <x:is>
          <x:t xml:space="preserve"/>
        </x:is>
      </x:c>
      <x:c r="R77" s="5">
        <x:f>IF(OR(F77="",G77=""),"",IF(F77&gt;=0.95*G77,1,0))</x:f>
      </x:c>
      <x:c r="S77" s="7">
        <x:f>IFERROR((I77+J77+K77)/F77,"")</x:f>
      </x:c>
      <x:c r="T77" s="5">
        <x:f>IFERROR(I77+J77+K77,"")</x:f>
        <x:v>0</x:v>
      </x:c>
    </x:row>
    <x:row r="78" ht="22" customHeight="1">
      <x:c r="A78" s="5" t="inlineStr">
        <x:is>
          <x:t xml:space="preserve">P007</x:t>
        </x:is>
      </x:c>
      <x:c r="B78" s="5" t="inlineStr">
        <x:is>
          <x:t xml:space="preserve">2</x:t>
        </x:is>
      </x:c>
      <x:c r="C78" s="5" t="inlineStr">
        <x:is>
          <x:t xml:space="preserve">V06_overload_open_loops</x:t>
        </x:is>
      </x:c>
      <x:c r="D78" s="5" t="inlineStr">
        <x:is>
          <x:t xml:space="preserve">keyword_highlight</x:t>
        </x:is>
      </x:c>
      <x:c r="E78" s="5" t="inlineStr">
        <x:is>
          <x:t xml:space="preserve">audio_on</x:t>
        </x:is>
      </x:c>
      <x:c r="F78" s="6" t="inlineStr">
        <x:is>
          <x:t xml:space="preserve"/>
        </x:is>
      </x:c>
      <x:c r="G78" s="6" t="inlineStr">
        <x:is>
          <x:t xml:space="preserve">6</x:t>
        </x:is>
      </x:c>
      <x:c r="H78" s="5" t="inlineStr">
        <x:is>
          <x:t xml:space="preserve"/>
        </x:is>
      </x:c>
      <x:c r="I78" s="5" t="inlineStr">
        <x:is>
          <x:t xml:space="preserve"/>
        </x:is>
      </x:c>
      <x:c r="J78" s="5" t="inlineStr">
        <x:is>
          <x:t xml:space="preserve"/>
        </x:is>
      </x:c>
      <x:c r="K78" s="5" t="inlineStr">
        <x:is>
          <x:t xml:space="preserve"/>
        </x:is>
      </x:c>
      <x:c r="L78" s="5" t="inlineStr">
        <x:is>
          <x:t xml:space="preserve"/>
        </x:is>
      </x:c>
      <x:c r="M78" s="5" t="inlineStr">
        <x:is>
          <x:t xml:space="preserve"/>
        </x:is>
      </x:c>
      <x:c r="N78" s="5" t="inlineStr">
        <x:is>
          <x:t xml:space="preserve"/>
        </x:is>
      </x:c>
      <x:c r="O78" s="5" t="inlineStr">
        <x:is>
          <x:t xml:space="preserve"/>
        </x:is>
      </x:c>
      <x:c r="P78" s="5" t="inlineStr">
        <x:is>
          <x:t xml:space="preserve"/>
        </x:is>
      </x:c>
      <x:c r="Q78" s="5" t="inlineStr">
        <x:is>
          <x:t xml:space="preserve"/>
        </x:is>
      </x:c>
      <x:c r="R78" s="5">
        <x:f>IF(OR(F78="",G78=""),"",IF(F78&gt;=0.95*G78,1,0))</x:f>
      </x:c>
      <x:c r="S78" s="7">
        <x:f>IFERROR((I78+J78+K78)/F78,"")</x:f>
      </x:c>
      <x:c r="T78" s="5">
        <x:f>IFERROR(I78+J78+K78,"")</x:f>
        <x:v>0</x:v>
      </x:c>
    </x:row>
    <x:row r="79" ht="22" customHeight="1">
      <x:c r="A79" s="5" t="inlineStr">
        <x:is>
          <x:t xml:space="preserve">P007</x:t>
        </x:is>
      </x:c>
      <x:c r="B79" s="5" t="inlineStr">
        <x:is>
          <x:t xml:space="preserve">3</x:t>
        </x:is>
      </x:c>
      <x:c r="C79" s="5" t="inlineStr">
        <x:is>
          <x:t xml:space="preserve">V04_money_visibility</x:t>
        </x:is>
      </x:c>
      <x:c r="D79" s="5" t="inlineStr">
        <x:is>
          <x:t xml:space="preserve">semantic_compression</x:t>
        </x:is>
      </x:c>
      <x:c r="E79" s="5" t="inlineStr">
        <x:is>
          <x:t xml:space="preserve">muted</x:t>
        </x:is>
      </x:c>
      <x:c r="F79" s="6" t="inlineStr">
        <x:is>
          <x:t xml:space="preserve"/>
        </x:is>
      </x:c>
      <x:c r="G79" s="6" t="inlineStr">
        <x:is>
          <x:t xml:space="preserve">6</x:t>
        </x:is>
      </x:c>
      <x:c r="H79" s="5" t="inlineStr">
        <x:is>
          <x:t xml:space="preserve"/>
        </x:is>
      </x:c>
      <x:c r="I79" s="5" t="inlineStr">
        <x:is>
          <x:t xml:space="preserve"/>
        </x:is>
      </x:c>
      <x:c r="J79" s="5" t="inlineStr">
        <x:is>
          <x:t xml:space="preserve"/>
        </x:is>
      </x:c>
      <x:c r="K79" s="5" t="inlineStr">
        <x:is>
          <x:t xml:space="preserve"/>
        </x:is>
      </x:c>
      <x:c r="L79" s="5" t="inlineStr">
        <x:is>
          <x:t xml:space="preserve"/>
        </x:is>
      </x:c>
      <x:c r="M79" s="5" t="inlineStr">
        <x:is>
          <x:t xml:space="preserve"/>
        </x:is>
      </x:c>
      <x:c r="N79" s="5" t="inlineStr">
        <x:is>
          <x:t xml:space="preserve"/>
        </x:is>
      </x:c>
      <x:c r="O79" s="5" t="inlineStr">
        <x:is>
          <x:t xml:space="preserve"/>
        </x:is>
      </x:c>
      <x:c r="P79" s="5" t="inlineStr">
        <x:is>
          <x:t xml:space="preserve"/>
        </x:is>
      </x:c>
      <x:c r="Q79" s="5" t="inlineStr">
        <x:is>
          <x:t xml:space="preserve"/>
        </x:is>
      </x:c>
      <x:c r="R79" s="5">
        <x:f>IF(OR(F79="",G79=""),"",IF(F79&gt;=0.95*G79,1,0))</x:f>
      </x:c>
      <x:c r="S79" s="7">
        <x:f>IFERROR((I79+J79+K79)/F79,"")</x:f>
      </x:c>
      <x:c r="T79" s="5">
        <x:f>IFERROR(I79+J79+K79,"")</x:f>
        <x:v>0</x:v>
      </x:c>
    </x:row>
    <x:row r="80" ht="22" customHeight="1">
      <x:c r="A80" s="5" t="inlineStr">
        <x:is>
          <x:t xml:space="preserve">P007</x:t>
        </x:is>
      </x:c>
      <x:c r="B80" s="5" t="inlineStr">
        <x:is>
          <x:t xml:space="preserve">4</x:t>
        </x:is>
      </x:c>
      <x:c r="C80" s="5" t="inlineStr">
        <x:is>
          <x:t xml:space="preserve">V02_study_recall</x:t>
        </x:is>
      </x:c>
      <x:c r="D80" s="5" t="inlineStr">
        <x:is>
          <x:t xml:space="preserve">bcc</x:t>
        </x:is>
      </x:c>
      <x:c r="E80" s="5" t="inlineStr">
        <x:is>
          <x:t xml:space="preserve">audio_on</x:t>
        </x:is>
      </x:c>
      <x:c r="F80" s="6" t="inlineStr">
        <x:is>
          <x:t xml:space="preserve"/>
        </x:is>
      </x:c>
      <x:c r="G80" s="6" t="inlineStr">
        <x:is>
          <x:t xml:space="preserve">6</x:t>
        </x:is>
      </x:c>
      <x:c r="H80" s="5" t="inlineStr">
        <x:is>
          <x:t xml:space="preserve"/>
        </x:is>
      </x:c>
      <x:c r="I80" s="5" t="inlineStr">
        <x:is>
          <x:t xml:space="preserve"/>
        </x:is>
      </x:c>
      <x:c r="J80" s="5" t="inlineStr">
        <x:is>
          <x:t xml:space="preserve"/>
        </x:is>
      </x:c>
      <x:c r="K80" s="5" t="inlineStr">
        <x:is>
          <x:t xml:space="preserve"/>
        </x:is>
      </x:c>
      <x:c r="L80" s="5" t="inlineStr">
        <x:is>
          <x:t xml:space="preserve"/>
        </x:is>
      </x:c>
      <x:c r="M80" s="5" t="inlineStr">
        <x:is>
          <x:t xml:space="preserve"/>
        </x:is>
      </x:c>
      <x:c r="N80" s="5" t="inlineStr">
        <x:is>
          <x:t xml:space="preserve"/>
        </x:is>
      </x:c>
      <x:c r="O80" s="5" t="inlineStr">
        <x:is>
          <x:t xml:space="preserve"/>
        </x:is>
      </x:c>
      <x:c r="P80" s="5" t="inlineStr">
        <x:is>
          <x:t xml:space="preserve"/>
        </x:is>
      </x:c>
      <x:c r="Q80" s="5" t="inlineStr">
        <x:is>
          <x:t xml:space="preserve"/>
        </x:is>
      </x:c>
      <x:c r="R80" s="5">
        <x:f>IF(OR(F80="",G80=""),"",IF(F80&gt;=0.95*G80,1,0))</x:f>
      </x:c>
      <x:c r="S80" s="7">
        <x:f>IFERROR((I80+J80+K80)/F80,"")</x:f>
      </x:c>
      <x:c r="T80" s="5">
        <x:f>IFERROR(I80+J80+K80,"")</x:f>
        <x:v>0</x:v>
      </x:c>
    </x:row>
    <x:row r="81" ht="22" customHeight="1">
      <x:c r="A81" s="5" t="inlineStr">
        <x:is>
          <x:t xml:space="preserve">P007</x:t>
        </x:is>
      </x:c>
      <x:c r="B81" s="5" t="inlineStr">
        <x:is>
          <x:t xml:space="preserve">5</x:t>
        </x:is>
      </x:c>
      <x:c r="C81" s="5" t="inlineStr">
        <x:is>
          <x:t xml:space="preserve">V07_business_clarity</x:t>
        </x:is>
      </x:c>
      <x:c r="D81" s="5" t="inlineStr">
        <x:is>
          <x:t xml:space="preserve">bcc_plus</x:t>
        </x:is>
      </x:c>
      <x:c r="E81" s="5" t="inlineStr">
        <x:is>
          <x:t xml:space="preserve">muted</x:t>
        </x:is>
      </x:c>
      <x:c r="F81" s="6" t="inlineStr">
        <x:is>
          <x:t xml:space="preserve"/>
        </x:is>
      </x:c>
      <x:c r="G81" s="6" t="inlineStr">
        <x:is>
          <x:t xml:space="preserve">6</x:t>
        </x:is>
      </x:c>
      <x:c r="H81" s="5" t="inlineStr">
        <x:is>
          <x:t xml:space="preserve"/>
        </x:is>
      </x:c>
      <x:c r="I81" s="5" t="inlineStr">
        <x:is>
          <x:t xml:space="preserve"/>
        </x:is>
      </x:c>
      <x:c r="J81" s="5" t="inlineStr">
        <x:is>
          <x:t xml:space="preserve"/>
        </x:is>
      </x:c>
      <x:c r="K81" s="5" t="inlineStr">
        <x:is>
          <x:t xml:space="preserve"/>
        </x:is>
      </x:c>
      <x:c r="L81" s="5" t="inlineStr">
        <x:is>
          <x:t xml:space="preserve"/>
        </x:is>
      </x:c>
      <x:c r="M81" s="5" t="inlineStr">
        <x:is>
          <x:t xml:space="preserve"/>
        </x:is>
      </x:c>
      <x:c r="N81" s="5" t="inlineStr">
        <x:is>
          <x:t xml:space="preserve"/>
        </x:is>
      </x:c>
      <x:c r="O81" s="5" t="inlineStr">
        <x:is>
          <x:t xml:space="preserve"/>
        </x:is>
      </x:c>
      <x:c r="P81" s="5" t="inlineStr">
        <x:is>
          <x:t xml:space="preserve"/>
        </x:is>
      </x:c>
      <x:c r="Q81" s="5" t="inlineStr">
        <x:is>
          <x:t xml:space="preserve"/>
        </x:is>
      </x:c>
      <x:c r="R81" s="5">
        <x:f>IF(OR(F81="",G81=""),"",IF(F81&gt;=0.95*G81,1,0))</x:f>
      </x:c>
      <x:c r="S81" s="7">
        <x:f>IFERROR((I81+J81+K81)/F81,"")</x:f>
      </x:c>
      <x:c r="T81" s="5">
        <x:f>IFERROR(I81+J81+K81,"")</x:f>
        <x:v>0</x:v>
      </x:c>
    </x:row>
    <x:row r="82" ht="22" customHeight="1">
      <x:c r="A82" s="5" t="inlineStr">
        <x:is>
          <x:t xml:space="preserve">P007</x:t>
        </x:is>
      </x:c>
      <x:c r="B82" s="5" t="inlineStr">
        <x:is>
          <x:t xml:space="preserve">6</x:t>
        </x:is>
      </x:c>
      <x:c r="C82" s="5" t="inlineStr">
        <x:is>
          <x:t xml:space="preserve">V03_fitness_setup</x:t>
        </x:is>
      </x:c>
      <x:c r="D82" s="5" t="inlineStr">
        <x:is>
          <x:t xml:space="preserve">heavy_bionic</x:t>
        </x:is>
      </x:c>
      <x:c r="E82" s="5" t="inlineStr">
        <x:is>
          <x:t xml:space="preserve">audio_on</x:t>
        </x:is>
      </x:c>
      <x:c r="F82" s="6" t="inlineStr">
        <x:is>
          <x:t xml:space="preserve"/>
        </x:is>
      </x:c>
      <x:c r="G82" s="6" t="inlineStr">
        <x:is>
          <x:t xml:space="preserve">6</x:t>
        </x:is>
      </x:c>
      <x:c r="H82" s="5" t="inlineStr">
        <x:is>
          <x:t xml:space="preserve"/>
        </x:is>
      </x:c>
      <x:c r="I82" s="5" t="inlineStr">
        <x:is>
          <x:t xml:space="preserve"/>
        </x:is>
      </x:c>
      <x:c r="J82" s="5" t="inlineStr">
        <x:is>
          <x:t xml:space="preserve"/>
        </x:is>
      </x:c>
      <x:c r="K82" s="5" t="inlineStr">
        <x:is>
          <x:t xml:space="preserve"/>
        </x:is>
      </x:c>
      <x:c r="L82" s="5" t="inlineStr">
        <x:is>
          <x:t xml:space="preserve"/>
        </x:is>
      </x:c>
      <x:c r="M82" s="5" t="inlineStr">
        <x:is>
          <x:t xml:space="preserve"/>
        </x:is>
      </x:c>
      <x:c r="N82" s="5" t="inlineStr">
        <x:is>
          <x:t xml:space="preserve"/>
        </x:is>
      </x:c>
      <x:c r="O82" s="5" t="inlineStr">
        <x:is>
          <x:t xml:space="preserve"/>
        </x:is>
      </x:c>
      <x:c r="P82" s="5" t="inlineStr">
        <x:is>
          <x:t xml:space="preserve"/>
        </x:is>
      </x:c>
      <x:c r="Q82" s="5" t="inlineStr">
        <x:is>
          <x:t xml:space="preserve"/>
        </x:is>
      </x:c>
      <x:c r="R82" s="5">
        <x:f>IF(OR(F82="",G82=""),"",IF(F82&gt;=0.95*G82,1,0))</x:f>
      </x:c>
      <x:c r="S82" s="7">
        <x:f>IFERROR((I82+J82+K82)/F82,"")</x:f>
      </x:c>
      <x:c r="T82" s="5">
        <x:f>IFERROR(I82+J82+K82,"")</x:f>
        <x:v>0</x:v>
      </x:c>
    </x:row>
    <x:row r="83" ht="22" customHeight="1">
      <x:c r="A83" s="5" t="inlineStr">
        <x:is>
          <x:t xml:space="preserve">P007</x:t>
        </x:is>
      </x:c>
      <x:c r="B83" s="5" t="inlineStr">
        <x:is>
          <x:t xml:space="preserve">7</x:t>
        </x:is>
      </x:c>
      <x:c r="C83" s="5" t="inlineStr">
        <x:is>
          <x:t xml:space="preserve">V10_tutorial_ui</x:t>
        </x:is>
      </x:c>
      <x:c r="D83" s="5" t="inlineStr">
        <x:is>
          <x:t xml:space="preserve">full_transcript</x:t>
        </x:is>
      </x:c>
      <x:c r="E83" s="5" t="inlineStr">
        <x:is>
          <x:t xml:space="preserve">muted</x:t>
        </x:is>
      </x:c>
      <x:c r="F83" s="6" t="inlineStr">
        <x:is>
          <x:t xml:space="preserve"/>
        </x:is>
      </x:c>
      <x:c r="G83" s="6" t="inlineStr">
        <x:is>
          <x:t xml:space="preserve">6</x:t>
        </x:is>
      </x:c>
      <x:c r="H83" s="5" t="inlineStr">
        <x:is>
          <x:t xml:space="preserve"/>
        </x:is>
      </x:c>
      <x:c r="I83" s="5" t="inlineStr">
        <x:is>
          <x:t xml:space="preserve"/>
        </x:is>
      </x:c>
      <x:c r="J83" s="5" t="inlineStr">
        <x:is>
          <x:t xml:space="preserve"/>
        </x:is>
      </x:c>
      <x:c r="K83" s="5" t="inlineStr">
        <x:is>
          <x:t xml:space="preserve"/>
        </x:is>
      </x:c>
      <x:c r="L83" s="5" t="inlineStr">
        <x:is>
          <x:t xml:space="preserve"/>
        </x:is>
      </x:c>
      <x:c r="M83" s="5" t="inlineStr">
        <x:is>
          <x:t xml:space="preserve"/>
        </x:is>
      </x:c>
      <x:c r="N83" s="5" t="inlineStr">
        <x:is>
          <x:t xml:space="preserve"/>
        </x:is>
      </x:c>
      <x:c r="O83" s="5" t="inlineStr">
        <x:is>
          <x:t xml:space="preserve"/>
        </x:is>
      </x:c>
      <x:c r="P83" s="5" t="inlineStr">
        <x:is>
          <x:t xml:space="preserve"/>
        </x:is>
      </x:c>
      <x:c r="Q83" s="5" t="inlineStr">
        <x:is>
          <x:t xml:space="preserve"/>
        </x:is>
      </x:c>
      <x:c r="R83" s="5">
        <x:f>IF(OR(F83="",G83=""),"",IF(F83&gt;=0.95*G83,1,0))</x:f>
      </x:c>
      <x:c r="S83" s="7">
        <x:f>IFERROR((I83+J83+K83)/F83,"")</x:f>
      </x:c>
      <x:c r="T83" s="5">
        <x:f>IFERROR(I83+J83+K83,"")</x:f>
        <x:v>0</x:v>
      </x:c>
    </x:row>
    <x:row r="84" ht="22" customHeight="1">
      <x:c r="A84" s="5" t="inlineStr">
        <x:is>
          <x:t xml:space="preserve">P007</x:t>
        </x:is>
      </x:c>
      <x:c r="B84" s="5" t="inlineStr">
        <x:is>
          <x:t xml:space="preserve">8</x:t>
        </x:is>
      </x:c>
      <x:c r="C84" s="5" t="inlineStr">
        <x:is>
          <x:t xml:space="preserve">V11_story_burnout</x:t>
        </x:is>
      </x:c>
      <x:c r="D84" s="5" t="inlineStr">
        <x:is>
          <x:t xml:space="preserve">keyword_highlight</x:t>
        </x:is>
      </x:c>
      <x:c r="E84" s="5" t="inlineStr">
        <x:is>
          <x:t xml:space="preserve">audio_on</x:t>
        </x:is>
      </x:c>
      <x:c r="F84" s="6" t="inlineStr">
        <x:is>
          <x:t xml:space="preserve"/>
        </x:is>
      </x:c>
      <x:c r="G84" s="6" t="inlineStr">
        <x:is>
          <x:t xml:space="preserve">6</x:t>
        </x:is>
      </x:c>
      <x:c r="H84" s="5" t="inlineStr">
        <x:is>
          <x:t xml:space="preserve"/>
        </x:is>
      </x:c>
      <x:c r="I84" s="5" t="inlineStr">
        <x:is>
          <x:t xml:space="preserve"/>
        </x:is>
      </x:c>
      <x:c r="J84" s="5" t="inlineStr">
        <x:is>
          <x:t xml:space="preserve"/>
        </x:is>
      </x:c>
      <x:c r="K84" s="5" t="inlineStr">
        <x:is>
          <x:t xml:space="preserve"/>
        </x:is>
      </x:c>
      <x:c r="L84" s="5" t="inlineStr">
        <x:is>
          <x:t xml:space="preserve"/>
        </x:is>
      </x:c>
      <x:c r="M84" s="5" t="inlineStr">
        <x:is>
          <x:t xml:space="preserve"/>
        </x:is>
      </x:c>
      <x:c r="N84" s="5" t="inlineStr">
        <x:is>
          <x:t xml:space="preserve"/>
        </x:is>
      </x:c>
      <x:c r="O84" s="5" t="inlineStr">
        <x:is>
          <x:t xml:space="preserve"/>
        </x:is>
      </x:c>
      <x:c r="P84" s="5" t="inlineStr">
        <x:is>
          <x:t xml:space="preserve"/>
        </x:is>
      </x:c>
      <x:c r="Q84" s="5" t="inlineStr">
        <x:is>
          <x:t xml:space="preserve"/>
        </x:is>
      </x:c>
      <x:c r="R84" s="5">
        <x:f>IF(OR(F84="",G84=""),"",IF(F84&gt;=0.95*G84,1,0))</x:f>
      </x:c>
      <x:c r="S84" s="7">
        <x:f>IFERROR((I84+J84+K84)/F84,"")</x:f>
      </x:c>
      <x:c r="T84" s="5">
        <x:f>IFERROR(I84+J84+K84,"")</x:f>
        <x:v>0</x:v>
      </x:c>
    </x:row>
    <x:row r="85" ht="22" customHeight="1">
      <x:c r="A85" s="5" t="inlineStr">
        <x:is>
          <x:t xml:space="preserve">P007</x:t>
        </x:is>
      </x:c>
      <x:c r="B85" s="5" t="inlineStr">
        <x:is>
          <x:t xml:space="preserve">9</x:t>
        </x:is>
      </x:c>
      <x:c r="C85" s="5" t="inlineStr">
        <x:is>
          <x:t xml:space="preserve">V09_nutrition_satiety</x:t>
        </x:is>
      </x:c>
      <x:c r="D85" s="5" t="inlineStr">
        <x:is>
          <x:t xml:space="preserve">semantic_compression</x:t>
        </x:is>
      </x:c>
      <x:c r="E85" s="5" t="inlineStr">
        <x:is>
          <x:t xml:space="preserve">muted</x:t>
        </x:is>
      </x:c>
      <x:c r="F85" s="6" t="inlineStr">
        <x:is>
          <x:t xml:space="preserve"/>
        </x:is>
      </x:c>
      <x:c r="G85" s="6" t="inlineStr">
        <x:is>
          <x:t xml:space="preserve">6</x:t>
        </x:is>
      </x:c>
      <x:c r="H85" s="5" t="inlineStr">
        <x:is>
          <x:t xml:space="preserve"/>
        </x:is>
      </x:c>
      <x:c r="I85" s="5" t="inlineStr">
        <x:is>
          <x:t xml:space="preserve"/>
        </x:is>
      </x:c>
      <x:c r="J85" s="5" t="inlineStr">
        <x:is>
          <x:t xml:space="preserve"/>
        </x:is>
      </x:c>
      <x:c r="K85" s="5" t="inlineStr">
        <x:is>
          <x:t xml:space="preserve"/>
        </x:is>
      </x:c>
      <x:c r="L85" s="5" t="inlineStr">
        <x:is>
          <x:t xml:space="preserve"/>
        </x:is>
      </x:c>
      <x:c r="M85" s="5" t="inlineStr">
        <x:is>
          <x:t xml:space="preserve"/>
        </x:is>
      </x:c>
      <x:c r="N85" s="5" t="inlineStr">
        <x:is>
          <x:t xml:space="preserve"/>
        </x:is>
      </x:c>
      <x:c r="O85" s="5" t="inlineStr">
        <x:is>
          <x:t xml:space="preserve"/>
        </x:is>
      </x:c>
      <x:c r="P85" s="5" t="inlineStr">
        <x:is>
          <x:t xml:space="preserve"/>
        </x:is>
      </x:c>
      <x:c r="Q85" s="5" t="inlineStr">
        <x:is>
          <x:t xml:space="preserve"/>
        </x:is>
      </x:c>
      <x:c r="R85" s="5">
        <x:f>IF(OR(F85="",G85=""),"",IF(F85&gt;=0.95*G85,1,0))</x:f>
      </x:c>
      <x:c r="S85" s="7">
        <x:f>IFERROR((I85+J85+K85)/F85,"")</x:f>
      </x:c>
      <x:c r="T85" s="5">
        <x:f>IFERROR(I85+J85+K85,"")</x:f>
        <x:v>0</x:v>
      </x:c>
    </x:row>
    <x:row r="86" ht="22" customHeight="1">
      <x:c r="A86" s="5" t="inlineStr">
        <x:is>
          <x:t xml:space="preserve">P007</x:t>
        </x:is>
      </x:c>
      <x:c r="B86" s="5" t="inlineStr">
        <x:is>
          <x:t xml:space="preserve">10</x:t>
        </x:is>
      </x:c>
      <x:c r="C86" s="5" t="inlineStr">
        <x:is>
          <x:t xml:space="preserve">V01_productivity_friction</x:t>
        </x:is>
      </x:c>
      <x:c r="D86" s="5" t="inlineStr">
        <x:is>
          <x:t xml:space="preserve">bcc</x:t>
        </x:is>
      </x:c>
      <x:c r="E86" s="5" t="inlineStr">
        <x:is>
          <x:t xml:space="preserve">audio_on</x:t>
        </x:is>
      </x:c>
      <x:c r="F86" s="6" t="inlineStr">
        <x:is>
          <x:t xml:space="preserve"/>
        </x:is>
      </x:c>
      <x:c r="G86" s="6" t="inlineStr">
        <x:is>
          <x:t xml:space="preserve">6</x:t>
        </x:is>
      </x:c>
      <x:c r="H86" s="5" t="inlineStr">
        <x:is>
          <x:t xml:space="preserve"/>
        </x:is>
      </x:c>
      <x:c r="I86" s="5" t="inlineStr">
        <x:is>
          <x:t xml:space="preserve"/>
        </x:is>
      </x:c>
      <x:c r="J86" s="5" t="inlineStr">
        <x:is>
          <x:t xml:space="preserve"/>
        </x:is>
      </x:c>
      <x:c r="K86" s="5" t="inlineStr">
        <x:is>
          <x:t xml:space="preserve"/>
        </x:is>
      </x:c>
      <x:c r="L86" s="5" t="inlineStr">
        <x:is>
          <x:t xml:space="preserve"/>
        </x:is>
      </x:c>
      <x:c r="M86" s="5" t="inlineStr">
        <x:is>
          <x:t xml:space="preserve"/>
        </x:is>
      </x:c>
      <x:c r="N86" s="5" t="inlineStr">
        <x:is>
          <x:t xml:space="preserve"/>
        </x:is>
      </x:c>
      <x:c r="O86" s="5" t="inlineStr">
        <x:is>
          <x:t xml:space="preserve"/>
        </x:is>
      </x:c>
      <x:c r="P86" s="5" t="inlineStr">
        <x:is>
          <x:t xml:space="preserve"/>
        </x:is>
      </x:c>
      <x:c r="Q86" s="5" t="inlineStr">
        <x:is>
          <x:t xml:space="preserve"/>
        </x:is>
      </x:c>
      <x:c r="R86" s="5">
        <x:f>IF(OR(F86="",G86=""),"",IF(F86&gt;=0.95*G86,1,0))</x:f>
      </x:c>
      <x:c r="S86" s="7">
        <x:f>IFERROR((I86+J86+K86)/F86,"")</x:f>
      </x:c>
      <x:c r="T86" s="5">
        <x:f>IFERROR(I86+J86+K86,"")</x:f>
        <x:v>0</x:v>
      </x:c>
    </x:row>
    <x:row r="87" ht="22" customHeight="1">
      <x:c r="A87" s="5" t="inlineStr">
        <x:is>
          <x:t xml:space="preserve">P007</x:t>
        </x:is>
      </x:c>
      <x:c r="B87" s="5" t="inlineStr">
        <x:is>
          <x:t xml:space="preserve">11</x:t>
        </x:is>
      </x:c>
      <x:c r="C87" s="5" t="inlineStr">
        <x:is>
          <x:t xml:space="preserve">V08_calendar_system</x:t>
        </x:is>
      </x:c>
      <x:c r="D87" s="5" t="inlineStr">
        <x:is>
          <x:t xml:space="preserve">bcc_plus</x:t>
        </x:is>
      </x:c>
      <x:c r="E87" s="5" t="inlineStr">
        <x:is>
          <x:t xml:space="preserve">muted</x:t>
        </x:is>
      </x:c>
      <x:c r="F87" s="6" t="inlineStr">
        <x:is>
          <x:t xml:space="preserve"/>
        </x:is>
      </x:c>
      <x:c r="G87" s="6" t="inlineStr">
        <x:is>
          <x:t xml:space="preserve">6</x:t>
        </x:is>
      </x:c>
      <x:c r="H87" s="5" t="inlineStr">
        <x:is>
          <x:t xml:space="preserve"/>
        </x:is>
      </x:c>
      <x:c r="I87" s="5" t="inlineStr">
        <x:is>
          <x:t xml:space="preserve"/>
        </x:is>
      </x:c>
      <x:c r="J87" s="5" t="inlineStr">
        <x:is>
          <x:t xml:space="preserve"/>
        </x:is>
      </x:c>
      <x:c r="K87" s="5" t="inlineStr">
        <x:is>
          <x:t xml:space="preserve"/>
        </x:is>
      </x:c>
      <x:c r="L87" s="5" t="inlineStr">
        <x:is>
          <x:t xml:space="preserve"/>
        </x:is>
      </x:c>
      <x:c r="M87" s="5" t="inlineStr">
        <x:is>
          <x:t xml:space="preserve"/>
        </x:is>
      </x:c>
      <x:c r="N87" s="5" t="inlineStr">
        <x:is>
          <x:t xml:space="preserve"/>
        </x:is>
      </x:c>
      <x:c r="O87" s="5" t="inlineStr">
        <x:is>
          <x:t xml:space="preserve"/>
        </x:is>
      </x:c>
      <x:c r="P87" s="5" t="inlineStr">
        <x:is>
          <x:t xml:space="preserve"/>
        </x:is>
      </x:c>
      <x:c r="Q87" s="5" t="inlineStr">
        <x:is>
          <x:t xml:space="preserve"/>
        </x:is>
      </x:c>
      <x:c r="R87" s="5">
        <x:f>IF(OR(F87="",G87=""),"",IF(F87&gt;=0.95*G87,1,0))</x:f>
      </x:c>
      <x:c r="S87" s="7">
        <x:f>IFERROR((I87+J87+K87)/F87,"")</x:f>
      </x:c>
      <x:c r="T87" s="5">
        <x:f>IFERROR(I87+J87+K87,"")</x:f>
        <x:v>0</x:v>
      </x:c>
    </x:row>
    <x:row r="88" ht="22" customHeight="1">
      <x:c r="A88" s="5" t="inlineStr">
        <x:is>
          <x:t xml:space="preserve">P007</x:t>
        </x:is>
      </x:c>
      <x:c r="B88" s="5" t="inlineStr">
        <x:is>
          <x:t xml:space="preserve">12</x:t>
        </x:is>
      </x:c>
      <x:c r="C88" s="5" t="inlineStr">
        <x:is>
          <x:t xml:space="preserve">V12_creativity_constraints</x:t>
        </x:is>
      </x:c>
      <x:c r="D88" s="5" t="inlineStr">
        <x:is>
          <x:t xml:space="preserve">heavy_bionic</x:t>
        </x:is>
      </x:c>
      <x:c r="E88" s="5" t="inlineStr">
        <x:is>
          <x:t xml:space="preserve">audio_on</x:t>
        </x:is>
      </x:c>
      <x:c r="F88" s="6" t="inlineStr">
        <x:is>
          <x:t xml:space="preserve"/>
        </x:is>
      </x:c>
      <x:c r="G88" s="6" t="inlineStr">
        <x:is>
          <x:t xml:space="preserve">6</x:t>
        </x:is>
      </x:c>
      <x:c r="H88" s="5" t="inlineStr">
        <x:is>
          <x:t xml:space="preserve"/>
        </x:is>
      </x:c>
      <x:c r="I88" s="5" t="inlineStr">
        <x:is>
          <x:t xml:space="preserve"/>
        </x:is>
      </x:c>
      <x:c r="J88" s="5" t="inlineStr">
        <x:is>
          <x:t xml:space="preserve"/>
        </x:is>
      </x:c>
      <x:c r="K88" s="5" t="inlineStr">
        <x:is>
          <x:t xml:space="preserve"/>
        </x:is>
      </x:c>
      <x:c r="L88" s="5" t="inlineStr">
        <x:is>
          <x:t xml:space="preserve"/>
        </x:is>
      </x:c>
      <x:c r="M88" s="5" t="inlineStr">
        <x:is>
          <x:t xml:space="preserve"/>
        </x:is>
      </x:c>
      <x:c r="N88" s="5" t="inlineStr">
        <x:is>
          <x:t xml:space="preserve"/>
        </x:is>
      </x:c>
      <x:c r="O88" s="5" t="inlineStr">
        <x:is>
          <x:t xml:space="preserve"/>
        </x:is>
      </x:c>
      <x:c r="P88" s="5" t="inlineStr">
        <x:is>
          <x:t xml:space="preserve"/>
        </x:is>
      </x:c>
      <x:c r="Q88" s="5" t="inlineStr">
        <x:is>
          <x:t xml:space="preserve"/>
        </x:is>
      </x:c>
      <x:c r="R88" s="5">
        <x:f>IF(OR(F88="",G88=""),"",IF(F88&gt;=0.95*G88,1,0))</x:f>
      </x:c>
      <x:c r="S88" s="7">
        <x:f>IFERROR((I88+J88+K88)/F88,"")</x:f>
      </x:c>
      <x:c r="T88" s="5">
        <x:f>IFERROR(I88+J88+K88,"")</x:f>
        <x:v>0</x:v>
      </x:c>
    </x:row>
    <x:row r="89" ht="22" customHeight="1">
      <x:c r="A89" s="5" t="inlineStr">
        <x:is>
          <x:t xml:space="preserve">P008</x:t>
        </x:is>
      </x:c>
      <x:c r="B89" s="5" t="inlineStr">
        <x:is>
          <x:t xml:space="preserve">1</x:t>
        </x:is>
      </x:c>
      <x:c r="C89" s="5" t="inlineStr">
        <x:is>
          <x:t xml:space="preserve">V05_coding_assumptions</x:t>
        </x:is>
      </x:c>
      <x:c r="D89" s="5" t="inlineStr">
        <x:is>
          <x:t xml:space="preserve">keyword_highlight</x:t>
        </x:is>
      </x:c>
      <x:c r="E89" s="5" t="inlineStr">
        <x:is>
          <x:t xml:space="preserve">audio_on</x:t>
        </x:is>
      </x:c>
      <x:c r="F89" s="6" t="inlineStr">
        <x:is>
          <x:t xml:space="preserve"/>
        </x:is>
      </x:c>
      <x:c r="G89" s="6" t="inlineStr">
        <x:is>
          <x:t xml:space="preserve">6</x:t>
        </x:is>
      </x:c>
      <x:c r="H89" s="5" t="inlineStr">
        <x:is>
          <x:t xml:space="preserve"/>
        </x:is>
      </x:c>
      <x:c r="I89" s="5" t="inlineStr">
        <x:is>
          <x:t xml:space="preserve"/>
        </x:is>
      </x:c>
      <x:c r="J89" s="5" t="inlineStr">
        <x:is>
          <x:t xml:space="preserve"/>
        </x:is>
      </x:c>
      <x:c r="K89" s="5" t="inlineStr">
        <x:is>
          <x:t xml:space="preserve"/>
        </x:is>
      </x:c>
      <x:c r="L89" s="5" t="inlineStr">
        <x:is>
          <x:t xml:space="preserve"/>
        </x:is>
      </x:c>
      <x:c r="M89" s="5" t="inlineStr">
        <x:is>
          <x:t xml:space="preserve"/>
        </x:is>
      </x:c>
      <x:c r="N89" s="5" t="inlineStr">
        <x:is>
          <x:t xml:space="preserve"/>
        </x:is>
      </x:c>
      <x:c r="O89" s="5" t="inlineStr">
        <x:is>
          <x:t xml:space="preserve"/>
        </x:is>
      </x:c>
      <x:c r="P89" s="5" t="inlineStr">
        <x:is>
          <x:t xml:space="preserve"/>
        </x:is>
      </x:c>
      <x:c r="Q89" s="5" t="inlineStr">
        <x:is>
          <x:t xml:space="preserve"/>
        </x:is>
      </x:c>
      <x:c r="R89" s="5">
        <x:f>IF(OR(F89="",G89=""),"",IF(F89&gt;=0.95*G89,1,0))</x:f>
      </x:c>
      <x:c r="S89" s="7">
        <x:f>IFERROR((I89+J89+K89)/F89,"")</x:f>
      </x:c>
      <x:c r="T89" s="5">
        <x:f>IFERROR(I89+J89+K89,"")</x:f>
        <x:v>0</x:v>
      </x:c>
    </x:row>
    <x:row r="90" ht="22" customHeight="1">
      <x:c r="A90" s="5" t="inlineStr">
        <x:is>
          <x:t xml:space="preserve">P008</x:t>
        </x:is>
      </x:c>
      <x:c r="B90" s="5" t="inlineStr">
        <x:is>
          <x:t xml:space="preserve">2</x:t>
        </x:is>
      </x:c>
      <x:c r="C90" s="5" t="inlineStr">
        <x:is>
          <x:t xml:space="preserve">V01_productivity_friction</x:t>
        </x:is>
      </x:c>
      <x:c r="D90" s="5" t="inlineStr">
        <x:is>
          <x:t xml:space="preserve">semantic_compression</x:t>
        </x:is>
      </x:c>
      <x:c r="E90" s="5" t="inlineStr">
        <x:is>
          <x:t xml:space="preserve">muted</x:t>
        </x:is>
      </x:c>
      <x:c r="F90" s="6" t="inlineStr">
        <x:is>
          <x:t xml:space="preserve"/>
        </x:is>
      </x:c>
      <x:c r="G90" s="6" t="inlineStr">
        <x:is>
          <x:t xml:space="preserve">6</x:t>
        </x:is>
      </x:c>
      <x:c r="H90" s="5" t="inlineStr">
        <x:is>
          <x:t xml:space="preserve"/>
        </x:is>
      </x:c>
      <x:c r="I90" s="5" t="inlineStr">
        <x:is>
          <x:t xml:space="preserve"/>
        </x:is>
      </x:c>
      <x:c r="J90" s="5" t="inlineStr">
        <x:is>
          <x:t xml:space="preserve"/>
        </x:is>
      </x:c>
      <x:c r="K90" s="5" t="inlineStr">
        <x:is>
          <x:t xml:space="preserve"/>
        </x:is>
      </x:c>
      <x:c r="L90" s="5" t="inlineStr">
        <x:is>
          <x:t xml:space="preserve"/>
        </x:is>
      </x:c>
      <x:c r="M90" s="5" t="inlineStr">
        <x:is>
          <x:t xml:space="preserve"/>
        </x:is>
      </x:c>
      <x:c r="N90" s="5" t="inlineStr">
        <x:is>
          <x:t xml:space="preserve"/>
        </x:is>
      </x:c>
      <x:c r="O90" s="5" t="inlineStr">
        <x:is>
          <x:t xml:space="preserve"/>
        </x:is>
      </x:c>
      <x:c r="P90" s="5" t="inlineStr">
        <x:is>
          <x:t xml:space="preserve"/>
        </x:is>
      </x:c>
      <x:c r="Q90" s="5" t="inlineStr">
        <x:is>
          <x:t xml:space="preserve"/>
        </x:is>
      </x:c>
      <x:c r="R90" s="5">
        <x:f>IF(OR(F90="",G90=""),"",IF(F90&gt;=0.95*G90,1,0))</x:f>
      </x:c>
      <x:c r="S90" s="7">
        <x:f>IFERROR((I90+J90+K90)/F90,"")</x:f>
      </x:c>
      <x:c r="T90" s="5">
        <x:f>IFERROR(I90+J90+K90,"")</x:f>
        <x:v>0</x:v>
      </x:c>
    </x:row>
    <x:row r="91" ht="22" customHeight="1">
      <x:c r="A91" s="5" t="inlineStr">
        <x:is>
          <x:t xml:space="preserve">P008</x:t>
        </x:is>
      </x:c>
      <x:c r="B91" s="5" t="inlineStr">
        <x:is>
          <x:t xml:space="preserve">3</x:t>
        </x:is>
      </x:c>
      <x:c r="C91" s="5" t="inlineStr">
        <x:is>
          <x:t xml:space="preserve">V06_overload_open_loops</x:t>
        </x:is>
      </x:c>
      <x:c r="D91" s="5" t="inlineStr">
        <x:is>
          <x:t xml:space="preserve">bcc</x:t>
        </x:is>
      </x:c>
      <x:c r="E91" s="5" t="inlineStr">
        <x:is>
          <x:t xml:space="preserve">audio_on</x:t>
        </x:is>
      </x:c>
      <x:c r="F91" s="6" t="inlineStr">
        <x:is>
          <x:t xml:space="preserve"/>
        </x:is>
      </x:c>
      <x:c r="G91" s="6" t="inlineStr">
        <x:is>
          <x:t xml:space="preserve">6</x:t>
        </x:is>
      </x:c>
      <x:c r="H91" s="5" t="inlineStr">
        <x:is>
          <x:t xml:space="preserve"/>
        </x:is>
      </x:c>
      <x:c r="I91" s="5" t="inlineStr">
        <x:is>
          <x:t xml:space="preserve"/>
        </x:is>
      </x:c>
      <x:c r="J91" s="5" t="inlineStr">
        <x:is>
          <x:t xml:space="preserve"/>
        </x:is>
      </x:c>
      <x:c r="K91" s="5" t="inlineStr">
        <x:is>
          <x:t xml:space="preserve"/>
        </x:is>
      </x:c>
      <x:c r="L91" s="5" t="inlineStr">
        <x:is>
          <x:t xml:space="preserve"/>
        </x:is>
      </x:c>
      <x:c r="M91" s="5" t="inlineStr">
        <x:is>
          <x:t xml:space="preserve"/>
        </x:is>
      </x:c>
      <x:c r="N91" s="5" t="inlineStr">
        <x:is>
          <x:t xml:space="preserve"/>
        </x:is>
      </x:c>
      <x:c r="O91" s="5" t="inlineStr">
        <x:is>
          <x:t xml:space="preserve"/>
        </x:is>
      </x:c>
      <x:c r="P91" s="5" t="inlineStr">
        <x:is>
          <x:t xml:space="preserve"/>
        </x:is>
      </x:c>
      <x:c r="Q91" s="5" t="inlineStr">
        <x:is>
          <x:t xml:space="preserve"/>
        </x:is>
      </x:c>
      <x:c r="R91" s="5">
        <x:f>IF(OR(F91="",G91=""),"",IF(F91&gt;=0.95*G91,1,0))</x:f>
      </x:c>
      <x:c r="S91" s="7">
        <x:f>IFERROR((I91+J91+K91)/F91,"")</x:f>
      </x:c>
      <x:c r="T91" s="5">
        <x:f>IFERROR(I91+J91+K91,"")</x:f>
        <x:v>0</x:v>
      </x:c>
    </x:row>
    <x:row r="92" ht="22" customHeight="1">
      <x:c r="A92" s="5" t="inlineStr">
        <x:is>
          <x:t xml:space="preserve">P008</x:t>
        </x:is>
      </x:c>
      <x:c r="B92" s="5" t="inlineStr">
        <x:is>
          <x:t xml:space="preserve">4</x:t>
        </x:is>
      </x:c>
      <x:c r="C92" s="5" t="inlineStr">
        <x:is>
          <x:t xml:space="preserve">V12_creativity_constraints</x:t>
        </x:is>
      </x:c>
      <x:c r="D92" s="5" t="inlineStr">
        <x:is>
          <x:t xml:space="preserve">bcc_plus</x:t>
        </x:is>
      </x:c>
      <x:c r="E92" s="5" t="inlineStr">
        <x:is>
          <x:t xml:space="preserve">muted</x:t>
        </x:is>
      </x:c>
      <x:c r="F92" s="6" t="inlineStr">
        <x:is>
          <x:t xml:space="preserve"/>
        </x:is>
      </x:c>
      <x:c r="G92" s="6" t="inlineStr">
        <x:is>
          <x:t xml:space="preserve">6</x:t>
        </x:is>
      </x:c>
      <x:c r="H92" s="5" t="inlineStr">
        <x:is>
          <x:t xml:space="preserve"/>
        </x:is>
      </x:c>
      <x:c r="I92" s="5" t="inlineStr">
        <x:is>
          <x:t xml:space="preserve"/>
        </x:is>
      </x:c>
      <x:c r="J92" s="5" t="inlineStr">
        <x:is>
          <x:t xml:space="preserve"/>
        </x:is>
      </x:c>
      <x:c r="K92" s="5" t="inlineStr">
        <x:is>
          <x:t xml:space="preserve"/>
        </x:is>
      </x:c>
      <x:c r="L92" s="5" t="inlineStr">
        <x:is>
          <x:t xml:space="preserve"/>
        </x:is>
      </x:c>
      <x:c r="M92" s="5" t="inlineStr">
        <x:is>
          <x:t xml:space="preserve"/>
        </x:is>
      </x:c>
      <x:c r="N92" s="5" t="inlineStr">
        <x:is>
          <x:t xml:space="preserve"/>
        </x:is>
      </x:c>
      <x:c r="O92" s="5" t="inlineStr">
        <x:is>
          <x:t xml:space="preserve"/>
        </x:is>
      </x:c>
      <x:c r="P92" s="5" t="inlineStr">
        <x:is>
          <x:t xml:space="preserve"/>
        </x:is>
      </x:c>
      <x:c r="Q92" s="5" t="inlineStr">
        <x:is>
          <x:t xml:space="preserve"/>
        </x:is>
      </x:c>
      <x:c r="R92" s="5">
        <x:f>IF(OR(F92="",G92=""),"",IF(F92&gt;=0.95*G92,1,0))</x:f>
      </x:c>
      <x:c r="S92" s="7">
        <x:f>IFERROR((I92+J92+K92)/F92,"")</x:f>
      </x:c>
      <x:c r="T92" s="5">
        <x:f>IFERROR(I92+J92+K92,"")</x:f>
        <x:v>0</x:v>
      </x:c>
    </x:row>
    <x:row r="93" ht="22" customHeight="1">
      <x:c r="A93" s="5" t="inlineStr">
        <x:is>
          <x:t xml:space="preserve">P008</x:t>
        </x:is>
      </x:c>
      <x:c r="B93" s="5" t="inlineStr">
        <x:is>
          <x:t xml:space="preserve">5</x:t>
        </x:is>
      </x:c>
      <x:c r="C93" s="5" t="inlineStr">
        <x:is>
          <x:t xml:space="preserve">V02_study_recall</x:t>
        </x:is>
      </x:c>
      <x:c r="D93" s="5" t="inlineStr">
        <x:is>
          <x:t xml:space="preserve">heavy_bionic</x:t>
        </x:is>
      </x:c>
      <x:c r="E93" s="5" t="inlineStr">
        <x:is>
          <x:t xml:space="preserve">audio_on</x:t>
        </x:is>
      </x:c>
      <x:c r="F93" s="6" t="inlineStr">
        <x:is>
          <x:t xml:space="preserve"/>
        </x:is>
      </x:c>
      <x:c r="G93" s="6" t="inlineStr">
        <x:is>
          <x:t xml:space="preserve">6</x:t>
        </x:is>
      </x:c>
      <x:c r="H93" s="5" t="inlineStr">
        <x:is>
          <x:t xml:space="preserve"/>
        </x:is>
      </x:c>
      <x:c r="I93" s="5" t="inlineStr">
        <x:is>
          <x:t xml:space="preserve"/>
        </x:is>
      </x:c>
      <x:c r="J93" s="5" t="inlineStr">
        <x:is>
          <x:t xml:space="preserve"/>
        </x:is>
      </x:c>
      <x:c r="K93" s="5" t="inlineStr">
        <x:is>
          <x:t xml:space="preserve"/>
        </x:is>
      </x:c>
      <x:c r="L93" s="5" t="inlineStr">
        <x:is>
          <x:t xml:space="preserve"/>
        </x:is>
      </x:c>
      <x:c r="M93" s="5" t="inlineStr">
        <x:is>
          <x:t xml:space="preserve"/>
        </x:is>
      </x:c>
      <x:c r="N93" s="5" t="inlineStr">
        <x:is>
          <x:t xml:space="preserve"/>
        </x:is>
      </x:c>
      <x:c r="O93" s="5" t="inlineStr">
        <x:is>
          <x:t xml:space="preserve"/>
        </x:is>
      </x:c>
      <x:c r="P93" s="5" t="inlineStr">
        <x:is>
          <x:t xml:space="preserve"/>
        </x:is>
      </x:c>
      <x:c r="Q93" s="5" t="inlineStr">
        <x:is>
          <x:t xml:space="preserve"/>
        </x:is>
      </x:c>
      <x:c r="R93" s="5">
        <x:f>IF(OR(F93="",G93=""),"",IF(F93&gt;=0.95*G93,1,0))</x:f>
      </x:c>
      <x:c r="S93" s="7">
        <x:f>IFERROR((I93+J93+K93)/F93,"")</x:f>
      </x:c>
      <x:c r="T93" s="5">
        <x:f>IFERROR(I93+J93+K93,"")</x:f>
        <x:v>0</x:v>
      </x:c>
    </x:row>
    <x:row r="94" ht="22" customHeight="1">
      <x:c r="A94" s="5" t="inlineStr">
        <x:is>
          <x:t xml:space="preserve">P008</x:t>
        </x:is>
      </x:c>
      <x:c r="B94" s="5" t="inlineStr">
        <x:is>
          <x:t xml:space="preserve">6</x:t>
        </x:is>
      </x:c>
      <x:c r="C94" s="5" t="inlineStr">
        <x:is>
          <x:t xml:space="preserve">V03_fitness_setup</x:t>
        </x:is>
      </x:c>
      <x:c r="D94" s="5" t="inlineStr">
        <x:is>
          <x:t xml:space="preserve">full_transcript</x:t>
        </x:is>
      </x:c>
      <x:c r="E94" s="5" t="inlineStr">
        <x:is>
          <x:t xml:space="preserve">muted</x:t>
        </x:is>
      </x:c>
      <x:c r="F94" s="6" t="inlineStr">
        <x:is>
          <x:t xml:space="preserve"/>
        </x:is>
      </x:c>
      <x:c r="G94" s="6" t="inlineStr">
        <x:is>
          <x:t xml:space="preserve">6</x:t>
        </x:is>
      </x:c>
      <x:c r="H94" s="5" t="inlineStr">
        <x:is>
          <x:t xml:space="preserve"/>
        </x:is>
      </x:c>
      <x:c r="I94" s="5" t="inlineStr">
        <x:is>
          <x:t xml:space="preserve"/>
        </x:is>
      </x:c>
      <x:c r="J94" s="5" t="inlineStr">
        <x:is>
          <x:t xml:space="preserve"/>
        </x:is>
      </x:c>
      <x:c r="K94" s="5" t="inlineStr">
        <x:is>
          <x:t xml:space="preserve"/>
        </x:is>
      </x:c>
      <x:c r="L94" s="5" t="inlineStr">
        <x:is>
          <x:t xml:space="preserve"/>
        </x:is>
      </x:c>
      <x:c r="M94" s="5" t="inlineStr">
        <x:is>
          <x:t xml:space="preserve"/>
        </x:is>
      </x:c>
      <x:c r="N94" s="5" t="inlineStr">
        <x:is>
          <x:t xml:space="preserve"/>
        </x:is>
      </x:c>
      <x:c r="O94" s="5" t="inlineStr">
        <x:is>
          <x:t xml:space="preserve"/>
        </x:is>
      </x:c>
      <x:c r="P94" s="5" t="inlineStr">
        <x:is>
          <x:t xml:space="preserve"/>
        </x:is>
      </x:c>
      <x:c r="Q94" s="5" t="inlineStr">
        <x:is>
          <x:t xml:space="preserve"/>
        </x:is>
      </x:c>
      <x:c r="R94" s="5">
        <x:f>IF(OR(F94="",G94=""),"",IF(F94&gt;=0.95*G94,1,0))</x:f>
      </x:c>
      <x:c r="S94" s="7">
        <x:f>IFERROR((I94+J94+K94)/F94,"")</x:f>
      </x:c>
      <x:c r="T94" s="5">
        <x:f>IFERROR(I94+J94+K94,"")</x:f>
        <x:v>0</x:v>
      </x:c>
    </x:row>
    <x:row r="95" ht="22" customHeight="1">
      <x:c r="A95" s="5" t="inlineStr">
        <x:is>
          <x:t xml:space="preserve">P008</x:t>
        </x:is>
      </x:c>
      <x:c r="B95" s="5" t="inlineStr">
        <x:is>
          <x:t xml:space="preserve">7</x:t>
        </x:is>
      </x:c>
      <x:c r="C95" s="5" t="inlineStr">
        <x:is>
          <x:t xml:space="preserve">V09_nutrition_satiety</x:t>
        </x:is>
      </x:c>
      <x:c r="D95" s="5" t="inlineStr">
        <x:is>
          <x:t xml:space="preserve">keyword_highlight</x:t>
        </x:is>
      </x:c>
      <x:c r="E95" s="5" t="inlineStr">
        <x:is>
          <x:t xml:space="preserve">audio_on</x:t>
        </x:is>
      </x:c>
      <x:c r="F95" s="6" t="inlineStr">
        <x:is>
          <x:t xml:space="preserve"/>
        </x:is>
      </x:c>
      <x:c r="G95" s="6" t="inlineStr">
        <x:is>
          <x:t xml:space="preserve">6</x:t>
        </x:is>
      </x:c>
      <x:c r="H95" s="5" t="inlineStr">
        <x:is>
          <x:t xml:space="preserve"/>
        </x:is>
      </x:c>
      <x:c r="I95" s="5" t="inlineStr">
        <x:is>
          <x:t xml:space="preserve"/>
        </x:is>
      </x:c>
      <x:c r="J95" s="5" t="inlineStr">
        <x:is>
          <x:t xml:space="preserve"/>
        </x:is>
      </x:c>
      <x:c r="K95" s="5" t="inlineStr">
        <x:is>
          <x:t xml:space="preserve"/>
        </x:is>
      </x:c>
      <x:c r="L95" s="5" t="inlineStr">
        <x:is>
          <x:t xml:space="preserve"/>
        </x:is>
      </x:c>
      <x:c r="M95" s="5" t="inlineStr">
        <x:is>
          <x:t xml:space="preserve"/>
        </x:is>
      </x:c>
      <x:c r="N95" s="5" t="inlineStr">
        <x:is>
          <x:t xml:space="preserve"/>
        </x:is>
      </x:c>
      <x:c r="O95" s="5" t="inlineStr">
        <x:is>
          <x:t xml:space="preserve"/>
        </x:is>
      </x:c>
      <x:c r="P95" s="5" t="inlineStr">
        <x:is>
          <x:t xml:space="preserve"/>
        </x:is>
      </x:c>
      <x:c r="Q95" s="5" t="inlineStr">
        <x:is>
          <x:t xml:space="preserve"/>
        </x:is>
      </x:c>
      <x:c r="R95" s="5">
        <x:f>IF(OR(F95="",G95=""),"",IF(F95&gt;=0.95*G95,1,0))</x:f>
      </x:c>
      <x:c r="S95" s="7">
        <x:f>IFERROR((I95+J95+K95)/F95,"")</x:f>
      </x:c>
      <x:c r="T95" s="5">
        <x:f>IFERROR(I95+J95+K95,"")</x:f>
        <x:v>0</x:v>
      </x:c>
    </x:row>
    <x:row r="96" ht="22" customHeight="1">
      <x:c r="A96" s="5" t="inlineStr">
        <x:is>
          <x:t xml:space="preserve">P008</x:t>
        </x:is>
      </x:c>
      <x:c r="B96" s="5" t="inlineStr">
        <x:is>
          <x:t xml:space="preserve">8</x:t>
        </x:is>
      </x:c>
      <x:c r="C96" s="5" t="inlineStr">
        <x:is>
          <x:t xml:space="preserve">V08_calendar_system</x:t>
        </x:is>
      </x:c>
      <x:c r="D96" s="5" t="inlineStr">
        <x:is>
          <x:t xml:space="preserve">semantic_compression</x:t>
        </x:is>
      </x:c>
      <x:c r="E96" s="5" t="inlineStr">
        <x:is>
          <x:t xml:space="preserve">muted</x:t>
        </x:is>
      </x:c>
      <x:c r="F96" s="6" t="inlineStr">
        <x:is>
          <x:t xml:space="preserve"/>
        </x:is>
      </x:c>
      <x:c r="G96" s="6" t="inlineStr">
        <x:is>
          <x:t xml:space="preserve">6</x:t>
        </x:is>
      </x:c>
      <x:c r="H96" s="5" t="inlineStr">
        <x:is>
          <x:t xml:space="preserve"/>
        </x:is>
      </x:c>
      <x:c r="I96" s="5" t="inlineStr">
        <x:is>
          <x:t xml:space="preserve"/>
        </x:is>
      </x:c>
      <x:c r="J96" s="5" t="inlineStr">
        <x:is>
          <x:t xml:space="preserve"/>
        </x:is>
      </x:c>
      <x:c r="K96" s="5" t="inlineStr">
        <x:is>
          <x:t xml:space="preserve"/>
        </x:is>
      </x:c>
      <x:c r="L96" s="5" t="inlineStr">
        <x:is>
          <x:t xml:space="preserve"/>
        </x:is>
      </x:c>
      <x:c r="M96" s="5" t="inlineStr">
        <x:is>
          <x:t xml:space="preserve"/>
        </x:is>
      </x:c>
      <x:c r="N96" s="5" t="inlineStr">
        <x:is>
          <x:t xml:space="preserve"/>
        </x:is>
      </x:c>
      <x:c r="O96" s="5" t="inlineStr">
        <x:is>
          <x:t xml:space="preserve"/>
        </x:is>
      </x:c>
      <x:c r="P96" s="5" t="inlineStr">
        <x:is>
          <x:t xml:space="preserve"/>
        </x:is>
      </x:c>
      <x:c r="Q96" s="5" t="inlineStr">
        <x:is>
          <x:t xml:space="preserve"/>
        </x:is>
      </x:c>
      <x:c r="R96" s="5">
        <x:f>IF(OR(F96="",G96=""),"",IF(F96&gt;=0.95*G96,1,0))</x:f>
      </x:c>
      <x:c r="S96" s="7">
        <x:f>IFERROR((I96+J96+K96)/F96,"")</x:f>
      </x:c>
      <x:c r="T96" s="5">
        <x:f>IFERROR(I96+J96+K96,"")</x:f>
        <x:v>0</x:v>
      </x:c>
    </x:row>
    <x:row r="97" ht="22" customHeight="1">
      <x:c r="A97" s="5" t="inlineStr">
        <x:is>
          <x:t xml:space="preserve">P008</x:t>
        </x:is>
      </x:c>
      <x:c r="B97" s="5" t="inlineStr">
        <x:is>
          <x:t xml:space="preserve">9</x:t>
        </x:is>
      </x:c>
      <x:c r="C97" s="5" t="inlineStr">
        <x:is>
          <x:t xml:space="preserve">V07_business_clarity</x:t>
        </x:is>
      </x:c>
      <x:c r="D97" s="5" t="inlineStr">
        <x:is>
          <x:t xml:space="preserve">bcc</x:t>
        </x:is>
      </x:c>
      <x:c r="E97" s="5" t="inlineStr">
        <x:is>
          <x:t xml:space="preserve">audio_on</x:t>
        </x:is>
      </x:c>
      <x:c r="F97" s="6" t="inlineStr">
        <x:is>
          <x:t xml:space="preserve"/>
        </x:is>
      </x:c>
      <x:c r="G97" s="6" t="inlineStr">
        <x:is>
          <x:t xml:space="preserve">6</x:t>
        </x:is>
      </x:c>
      <x:c r="H97" s="5" t="inlineStr">
        <x:is>
          <x:t xml:space="preserve"/>
        </x:is>
      </x:c>
      <x:c r="I97" s="5" t="inlineStr">
        <x:is>
          <x:t xml:space="preserve"/>
        </x:is>
      </x:c>
      <x:c r="J97" s="5" t="inlineStr">
        <x:is>
          <x:t xml:space="preserve"/>
        </x:is>
      </x:c>
      <x:c r="K97" s="5" t="inlineStr">
        <x:is>
          <x:t xml:space="preserve"/>
        </x:is>
      </x:c>
      <x:c r="L97" s="5" t="inlineStr">
        <x:is>
          <x:t xml:space="preserve"/>
        </x:is>
      </x:c>
      <x:c r="M97" s="5" t="inlineStr">
        <x:is>
          <x:t xml:space="preserve"/>
        </x:is>
      </x:c>
      <x:c r="N97" s="5" t="inlineStr">
        <x:is>
          <x:t xml:space="preserve"/>
        </x:is>
      </x:c>
      <x:c r="O97" s="5" t="inlineStr">
        <x:is>
          <x:t xml:space="preserve"/>
        </x:is>
      </x:c>
      <x:c r="P97" s="5" t="inlineStr">
        <x:is>
          <x:t xml:space="preserve"/>
        </x:is>
      </x:c>
      <x:c r="Q97" s="5" t="inlineStr">
        <x:is>
          <x:t xml:space="preserve"/>
        </x:is>
      </x:c>
      <x:c r="R97" s="5">
        <x:f>IF(OR(F97="",G97=""),"",IF(F97&gt;=0.95*G97,1,0))</x:f>
      </x:c>
      <x:c r="S97" s="7">
        <x:f>IFERROR((I97+J97+K97)/F97,"")</x:f>
      </x:c>
      <x:c r="T97" s="5">
        <x:f>IFERROR(I97+J97+K97,"")</x:f>
        <x:v>0</x:v>
      </x:c>
    </x:row>
    <x:row r="98" ht="22" customHeight="1">
      <x:c r="A98" s="5" t="inlineStr">
        <x:is>
          <x:t xml:space="preserve">P008</x:t>
        </x:is>
      </x:c>
      <x:c r="B98" s="5" t="inlineStr">
        <x:is>
          <x:t xml:space="preserve">10</x:t>
        </x:is>
      </x:c>
      <x:c r="C98" s="5" t="inlineStr">
        <x:is>
          <x:t xml:space="preserve">V11_story_burnout</x:t>
        </x:is>
      </x:c>
      <x:c r="D98" s="5" t="inlineStr">
        <x:is>
          <x:t xml:space="preserve">bcc_plus</x:t>
        </x:is>
      </x:c>
      <x:c r="E98" s="5" t="inlineStr">
        <x:is>
          <x:t xml:space="preserve">muted</x:t>
        </x:is>
      </x:c>
      <x:c r="F98" s="6" t="inlineStr">
        <x:is>
          <x:t xml:space="preserve"/>
        </x:is>
      </x:c>
      <x:c r="G98" s="6" t="inlineStr">
        <x:is>
          <x:t xml:space="preserve">6</x:t>
        </x:is>
      </x:c>
      <x:c r="H98" s="5" t="inlineStr">
        <x:is>
          <x:t xml:space="preserve"/>
        </x:is>
      </x:c>
      <x:c r="I98" s="5" t="inlineStr">
        <x:is>
          <x:t xml:space="preserve"/>
        </x:is>
      </x:c>
      <x:c r="J98" s="5" t="inlineStr">
        <x:is>
          <x:t xml:space="preserve"/>
        </x:is>
      </x:c>
      <x:c r="K98" s="5" t="inlineStr">
        <x:is>
          <x:t xml:space="preserve"/>
        </x:is>
      </x:c>
      <x:c r="L98" s="5" t="inlineStr">
        <x:is>
          <x:t xml:space="preserve"/>
        </x:is>
      </x:c>
      <x:c r="M98" s="5" t="inlineStr">
        <x:is>
          <x:t xml:space="preserve"/>
        </x:is>
      </x:c>
      <x:c r="N98" s="5" t="inlineStr">
        <x:is>
          <x:t xml:space="preserve"/>
        </x:is>
      </x:c>
      <x:c r="O98" s="5" t="inlineStr">
        <x:is>
          <x:t xml:space="preserve"/>
        </x:is>
      </x:c>
      <x:c r="P98" s="5" t="inlineStr">
        <x:is>
          <x:t xml:space="preserve"/>
        </x:is>
      </x:c>
      <x:c r="Q98" s="5" t="inlineStr">
        <x:is>
          <x:t xml:space="preserve"/>
        </x:is>
      </x:c>
      <x:c r="R98" s="5">
        <x:f>IF(OR(F98="",G98=""),"",IF(F98&gt;=0.95*G98,1,0))</x:f>
      </x:c>
      <x:c r="S98" s="7">
        <x:f>IFERROR((I98+J98+K98)/F98,"")</x:f>
      </x:c>
      <x:c r="T98" s="5">
        <x:f>IFERROR(I98+J98+K98,"")</x:f>
        <x:v>0</x:v>
      </x:c>
    </x:row>
    <x:row r="99" ht="22" customHeight="1">
      <x:c r="A99" s="5" t="inlineStr">
        <x:is>
          <x:t xml:space="preserve">P008</x:t>
        </x:is>
      </x:c>
      <x:c r="B99" s="5" t="inlineStr">
        <x:is>
          <x:t xml:space="preserve">11</x:t>
        </x:is>
      </x:c>
      <x:c r="C99" s="5" t="inlineStr">
        <x:is>
          <x:t xml:space="preserve">V10_tutorial_ui</x:t>
        </x:is>
      </x:c>
      <x:c r="D99" s="5" t="inlineStr">
        <x:is>
          <x:t xml:space="preserve">heavy_bionic</x:t>
        </x:is>
      </x:c>
      <x:c r="E99" s="5" t="inlineStr">
        <x:is>
          <x:t xml:space="preserve">audio_on</x:t>
        </x:is>
      </x:c>
      <x:c r="F99" s="6" t="inlineStr">
        <x:is>
          <x:t xml:space="preserve"/>
        </x:is>
      </x:c>
      <x:c r="G99" s="6" t="inlineStr">
        <x:is>
          <x:t xml:space="preserve">6</x:t>
        </x:is>
      </x:c>
      <x:c r="H99" s="5" t="inlineStr">
        <x:is>
          <x:t xml:space="preserve"/>
        </x:is>
      </x:c>
      <x:c r="I99" s="5" t="inlineStr">
        <x:is>
          <x:t xml:space="preserve"/>
        </x:is>
      </x:c>
      <x:c r="J99" s="5" t="inlineStr">
        <x:is>
          <x:t xml:space="preserve"/>
        </x:is>
      </x:c>
      <x:c r="K99" s="5" t="inlineStr">
        <x:is>
          <x:t xml:space="preserve"/>
        </x:is>
      </x:c>
      <x:c r="L99" s="5" t="inlineStr">
        <x:is>
          <x:t xml:space="preserve"/>
        </x:is>
      </x:c>
      <x:c r="M99" s="5" t="inlineStr">
        <x:is>
          <x:t xml:space="preserve"/>
        </x:is>
      </x:c>
      <x:c r="N99" s="5" t="inlineStr">
        <x:is>
          <x:t xml:space="preserve"/>
        </x:is>
      </x:c>
      <x:c r="O99" s="5" t="inlineStr">
        <x:is>
          <x:t xml:space="preserve"/>
        </x:is>
      </x:c>
      <x:c r="P99" s="5" t="inlineStr">
        <x:is>
          <x:t xml:space="preserve"/>
        </x:is>
      </x:c>
      <x:c r="Q99" s="5" t="inlineStr">
        <x:is>
          <x:t xml:space="preserve"/>
        </x:is>
      </x:c>
      <x:c r="R99" s="5">
        <x:f>IF(OR(F99="",G99=""),"",IF(F99&gt;=0.95*G99,1,0))</x:f>
      </x:c>
      <x:c r="S99" s="7">
        <x:f>IFERROR((I99+J99+K99)/F99,"")</x:f>
      </x:c>
      <x:c r="T99" s="5">
        <x:f>IFERROR(I99+J99+K99,"")</x:f>
        <x:v>0</x:v>
      </x:c>
    </x:row>
    <x:row r="100" ht="22" customHeight="1">
      <x:c r="A100" s="5" t="inlineStr">
        <x:is>
          <x:t xml:space="preserve">P008</x:t>
        </x:is>
      </x:c>
      <x:c r="B100" s="5" t="inlineStr">
        <x:is>
          <x:t xml:space="preserve">12</x:t>
        </x:is>
      </x:c>
      <x:c r="C100" s="5" t="inlineStr">
        <x:is>
          <x:t xml:space="preserve">V04_money_visibility</x:t>
        </x:is>
      </x:c>
      <x:c r="D100" s="5" t="inlineStr">
        <x:is>
          <x:t xml:space="preserve">full_transcript</x:t>
        </x:is>
      </x:c>
      <x:c r="E100" s="5" t="inlineStr">
        <x:is>
          <x:t xml:space="preserve">muted</x:t>
        </x:is>
      </x:c>
      <x:c r="F100" s="6" t="inlineStr">
        <x:is>
          <x:t xml:space="preserve"/>
        </x:is>
      </x:c>
      <x:c r="G100" s="6" t="inlineStr">
        <x:is>
          <x:t xml:space="preserve">6</x:t>
        </x:is>
      </x:c>
      <x:c r="H100" s="5" t="inlineStr">
        <x:is>
          <x:t xml:space="preserve"/>
        </x:is>
      </x:c>
      <x:c r="I100" s="5" t="inlineStr">
        <x:is>
          <x:t xml:space="preserve"/>
        </x:is>
      </x:c>
      <x:c r="J100" s="5" t="inlineStr">
        <x:is>
          <x:t xml:space="preserve"/>
        </x:is>
      </x:c>
      <x:c r="K100" s="5" t="inlineStr">
        <x:is>
          <x:t xml:space="preserve"/>
        </x:is>
      </x:c>
      <x:c r="L100" s="5" t="inlineStr">
        <x:is>
          <x:t xml:space="preserve"/>
        </x:is>
      </x:c>
      <x:c r="M100" s="5" t="inlineStr">
        <x:is>
          <x:t xml:space="preserve"/>
        </x:is>
      </x:c>
      <x:c r="N100" s="5" t="inlineStr">
        <x:is>
          <x:t xml:space="preserve"/>
        </x:is>
      </x:c>
      <x:c r="O100" s="5" t="inlineStr">
        <x:is>
          <x:t xml:space="preserve"/>
        </x:is>
      </x:c>
      <x:c r="P100" s="5" t="inlineStr">
        <x:is>
          <x:t xml:space="preserve"/>
        </x:is>
      </x:c>
      <x:c r="Q100" s="5" t="inlineStr">
        <x:is>
          <x:t xml:space="preserve"/>
        </x:is>
      </x:c>
      <x:c r="R100" s="5">
        <x:f>IF(OR(F100="",G100=""),"",IF(F100&gt;=0.95*G100,1,0))</x:f>
      </x:c>
      <x:c r="S100" s="7">
        <x:f>IFERROR((I100+J100+K100)/F100,"")</x:f>
      </x:c>
      <x:c r="T100" s="5">
        <x:f>IFERROR(I100+J100+K100,"")</x:f>
        <x:v>0</x:v>
      </x:c>
    </x:row>
    <x:row r="101" ht="22" customHeight="1">
      <x:c r="A101" s="5" t="inlineStr">
        <x:is>
          <x:t xml:space="preserve">P009</x:t>
        </x:is>
      </x:c>
      <x:c r="B101" s="5" t="inlineStr">
        <x:is>
          <x:t xml:space="preserve">1</x:t>
        </x:is>
      </x:c>
      <x:c r="C101" s="5" t="inlineStr">
        <x:is>
          <x:t xml:space="preserve">V04_money_visibility</x:t>
        </x:is>
      </x:c>
      <x:c r="D101" s="5" t="inlineStr">
        <x:is>
          <x:t xml:space="preserve">semantic_compression</x:t>
        </x:is>
      </x:c>
      <x:c r="E101" s="5" t="inlineStr">
        <x:is>
          <x:t xml:space="preserve">muted</x:t>
        </x:is>
      </x:c>
      <x:c r="F101" s="6" t="inlineStr">
        <x:is>
          <x:t xml:space="preserve"/>
        </x:is>
      </x:c>
      <x:c r="G101" s="6" t="inlineStr">
        <x:is>
          <x:t xml:space="preserve">6</x:t>
        </x:is>
      </x:c>
      <x:c r="H101" s="5" t="inlineStr">
        <x:is>
          <x:t xml:space="preserve"/>
        </x:is>
      </x:c>
      <x:c r="I101" s="5" t="inlineStr">
        <x:is>
          <x:t xml:space="preserve"/>
        </x:is>
      </x:c>
      <x:c r="J101" s="5" t="inlineStr">
        <x:is>
          <x:t xml:space="preserve"/>
        </x:is>
      </x:c>
      <x:c r="K101" s="5" t="inlineStr">
        <x:is>
          <x:t xml:space="preserve"/>
        </x:is>
      </x:c>
      <x:c r="L101" s="5" t="inlineStr">
        <x:is>
          <x:t xml:space="preserve"/>
        </x:is>
      </x:c>
      <x:c r="M101" s="5" t="inlineStr">
        <x:is>
          <x:t xml:space="preserve"/>
        </x:is>
      </x:c>
      <x:c r="N101" s="5" t="inlineStr">
        <x:is>
          <x:t xml:space="preserve"/>
        </x:is>
      </x:c>
      <x:c r="O101" s="5" t="inlineStr">
        <x:is>
          <x:t xml:space="preserve"/>
        </x:is>
      </x:c>
      <x:c r="P101" s="5" t="inlineStr">
        <x:is>
          <x:t xml:space="preserve"/>
        </x:is>
      </x:c>
      <x:c r="Q101" s="5" t="inlineStr">
        <x:is>
          <x:t xml:space="preserve"/>
        </x:is>
      </x:c>
      <x:c r="R101" s="5">
        <x:f>IF(OR(F101="",G101=""),"",IF(F101&gt;=0.95*G101,1,0))</x:f>
      </x:c>
      <x:c r="S101" s="7">
        <x:f>IFERROR((I101+J101+K101)/F101,"")</x:f>
      </x:c>
      <x:c r="T101" s="5">
        <x:f>IFERROR(I101+J101+K101,"")</x:f>
        <x:v>0</x:v>
      </x:c>
    </x:row>
    <x:row r="102" ht="22" customHeight="1">
      <x:c r="A102" s="5" t="inlineStr">
        <x:is>
          <x:t xml:space="preserve">P009</x:t>
        </x:is>
      </x:c>
      <x:c r="B102" s="5" t="inlineStr">
        <x:is>
          <x:t xml:space="preserve">2</x:t>
        </x:is>
      </x:c>
      <x:c r="C102" s="5" t="inlineStr">
        <x:is>
          <x:t xml:space="preserve">V09_nutrition_satiety</x:t>
        </x:is>
      </x:c>
      <x:c r="D102" s="5" t="inlineStr">
        <x:is>
          <x:t xml:space="preserve">bcc</x:t>
        </x:is>
      </x:c>
      <x:c r="E102" s="5" t="inlineStr">
        <x:is>
          <x:t xml:space="preserve">audio_on</x:t>
        </x:is>
      </x:c>
      <x:c r="F102" s="6" t="inlineStr">
        <x:is>
          <x:t xml:space="preserve"/>
        </x:is>
      </x:c>
      <x:c r="G102" s="6" t="inlineStr">
        <x:is>
          <x:t xml:space="preserve">6</x:t>
        </x:is>
      </x:c>
      <x:c r="H102" s="5" t="inlineStr">
        <x:is>
          <x:t xml:space="preserve"/>
        </x:is>
      </x:c>
      <x:c r="I102" s="5" t="inlineStr">
        <x:is>
          <x:t xml:space="preserve"/>
        </x:is>
      </x:c>
      <x:c r="J102" s="5" t="inlineStr">
        <x:is>
          <x:t xml:space="preserve"/>
        </x:is>
      </x:c>
      <x:c r="K102" s="5" t="inlineStr">
        <x:is>
          <x:t xml:space="preserve"/>
        </x:is>
      </x:c>
      <x:c r="L102" s="5" t="inlineStr">
        <x:is>
          <x:t xml:space="preserve"/>
        </x:is>
      </x:c>
      <x:c r="M102" s="5" t="inlineStr">
        <x:is>
          <x:t xml:space="preserve"/>
        </x:is>
      </x:c>
      <x:c r="N102" s="5" t="inlineStr">
        <x:is>
          <x:t xml:space="preserve"/>
        </x:is>
      </x:c>
      <x:c r="O102" s="5" t="inlineStr">
        <x:is>
          <x:t xml:space="preserve"/>
        </x:is>
      </x:c>
      <x:c r="P102" s="5" t="inlineStr">
        <x:is>
          <x:t xml:space="preserve"/>
        </x:is>
      </x:c>
      <x:c r="Q102" s="5" t="inlineStr">
        <x:is>
          <x:t xml:space="preserve"/>
        </x:is>
      </x:c>
      <x:c r="R102" s="5">
        <x:f>IF(OR(F102="",G102=""),"",IF(F102&gt;=0.95*G102,1,0))</x:f>
      </x:c>
      <x:c r="S102" s="7">
        <x:f>IFERROR((I102+J102+K102)/F102,"")</x:f>
      </x:c>
      <x:c r="T102" s="5">
        <x:f>IFERROR(I102+J102+K102,"")</x:f>
        <x:v>0</x:v>
      </x:c>
    </x:row>
    <x:row r="103" ht="22" customHeight="1">
      <x:c r="A103" s="5" t="inlineStr">
        <x:is>
          <x:t xml:space="preserve">P009</x:t>
        </x:is>
      </x:c>
      <x:c r="B103" s="5" t="inlineStr">
        <x:is>
          <x:t xml:space="preserve">3</x:t>
        </x:is>
      </x:c>
      <x:c r="C103" s="5" t="inlineStr">
        <x:is>
          <x:t xml:space="preserve">V06_overload_open_loops</x:t>
        </x:is>
      </x:c>
      <x:c r="D103" s="5" t="inlineStr">
        <x:is>
          <x:t xml:space="preserve">bcc_plus</x:t>
        </x:is>
      </x:c>
      <x:c r="E103" s="5" t="inlineStr">
        <x:is>
          <x:t xml:space="preserve">muted</x:t>
        </x:is>
      </x:c>
      <x:c r="F103" s="6" t="inlineStr">
        <x:is>
          <x:t xml:space="preserve"/>
        </x:is>
      </x:c>
      <x:c r="G103" s="6" t="inlineStr">
        <x:is>
          <x:t xml:space="preserve">6</x:t>
        </x:is>
      </x:c>
      <x:c r="H103" s="5" t="inlineStr">
        <x:is>
          <x:t xml:space="preserve"/>
        </x:is>
      </x:c>
      <x:c r="I103" s="5" t="inlineStr">
        <x:is>
          <x:t xml:space="preserve"/>
        </x:is>
      </x:c>
      <x:c r="J103" s="5" t="inlineStr">
        <x:is>
          <x:t xml:space="preserve"/>
        </x:is>
      </x:c>
      <x:c r="K103" s="5" t="inlineStr">
        <x:is>
          <x:t xml:space="preserve"/>
        </x:is>
      </x:c>
      <x:c r="L103" s="5" t="inlineStr">
        <x:is>
          <x:t xml:space="preserve"/>
        </x:is>
      </x:c>
      <x:c r="M103" s="5" t="inlineStr">
        <x:is>
          <x:t xml:space="preserve"/>
        </x:is>
      </x:c>
      <x:c r="N103" s="5" t="inlineStr">
        <x:is>
          <x:t xml:space="preserve"/>
        </x:is>
      </x:c>
      <x:c r="O103" s="5" t="inlineStr">
        <x:is>
          <x:t xml:space="preserve"/>
        </x:is>
      </x:c>
      <x:c r="P103" s="5" t="inlineStr">
        <x:is>
          <x:t xml:space="preserve"/>
        </x:is>
      </x:c>
      <x:c r="Q103" s="5" t="inlineStr">
        <x:is>
          <x:t xml:space="preserve"/>
        </x:is>
      </x:c>
      <x:c r="R103" s="5">
        <x:f>IF(OR(F103="",G103=""),"",IF(F103&gt;=0.95*G103,1,0))</x:f>
      </x:c>
      <x:c r="S103" s="7">
        <x:f>IFERROR((I103+J103+K103)/F103,"")</x:f>
      </x:c>
      <x:c r="T103" s="5">
        <x:f>IFERROR(I103+J103+K103,"")</x:f>
        <x:v>0</x:v>
      </x:c>
    </x:row>
    <x:row r="104" ht="22" customHeight="1">
      <x:c r="A104" s="5" t="inlineStr">
        <x:is>
          <x:t xml:space="preserve">P009</x:t>
        </x:is>
      </x:c>
      <x:c r="B104" s="5" t="inlineStr">
        <x:is>
          <x:t xml:space="preserve">4</x:t>
        </x:is>
      </x:c>
      <x:c r="C104" s="5" t="inlineStr">
        <x:is>
          <x:t xml:space="preserve">V08_calendar_system</x:t>
        </x:is>
      </x:c>
      <x:c r="D104" s="5" t="inlineStr">
        <x:is>
          <x:t xml:space="preserve">heavy_bionic</x:t>
        </x:is>
      </x:c>
      <x:c r="E104" s="5" t="inlineStr">
        <x:is>
          <x:t xml:space="preserve">audio_on</x:t>
        </x:is>
      </x:c>
      <x:c r="F104" s="6" t="inlineStr">
        <x:is>
          <x:t xml:space="preserve"/>
        </x:is>
      </x:c>
      <x:c r="G104" s="6" t="inlineStr">
        <x:is>
          <x:t xml:space="preserve">6</x:t>
        </x:is>
      </x:c>
      <x:c r="H104" s="5" t="inlineStr">
        <x:is>
          <x:t xml:space="preserve"/>
        </x:is>
      </x:c>
      <x:c r="I104" s="5" t="inlineStr">
        <x:is>
          <x:t xml:space="preserve"/>
        </x:is>
      </x:c>
      <x:c r="J104" s="5" t="inlineStr">
        <x:is>
          <x:t xml:space="preserve"/>
        </x:is>
      </x:c>
      <x:c r="K104" s="5" t="inlineStr">
        <x:is>
          <x:t xml:space="preserve"/>
        </x:is>
      </x:c>
      <x:c r="L104" s="5" t="inlineStr">
        <x:is>
          <x:t xml:space="preserve"/>
        </x:is>
      </x:c>
      <x:c r="M104" s="5" t="inlineStr">
        <x:is>
          <x:t xml:space="preserve"/>
        </x:is>
      </x:c>
      <x:c r="N104" s="5" t="inlineStr">
        <x:is>
          <x:t xml:space="preserve"/>
        </x:is>
      </x:c>
      <x:c r="O104" s="5" t="inlineStr">
        <x:is>
          <x:t xml:space="preserve"/>
        </x:is>
      </x:c>
      <x:c r="P104" s="5" t="inlineStr">
        <x:is>
          <x:t xml:space="preserve"/>
        </x:is>
      </x:c>
      <x:c r="Q104" s="5" t="inlineStr">
        <x:is>
          <x:t xml:space="preserve"/>
        </x:is>
      </x:c>
      <x:c r="R104" s="5">
        <x:f>IF(OR(F104="",G104=""),"",IF(F104&gt;=0.95*G104,1,0))</x:f>
      </x:c>
      <x:c r="S104" s="7">
        <x:f>IFERROR((I104+J104+K104)/F104,"")</x:f>
      </x:c>
      <x:c r="T104" s="5">
        <x:f>IFERROR(I104+J104+K104,"")</x:f>
        <x:v>0</x:v>
      </x:c>
    </x:row>
    <x:row r="105" ht="22" customHeight="1">
      <x:c r="A105" s="5" t="inlineStr">
        <x:is>
          <x:t xml:space="preserve">P009</x:t>
        </x:is>
      </x:c>
      <x:c r="B105" s="5" t="inlineStr">
        <x:is>
          <x:t xml:space="preserve">5</x:t>
        </x:is>
      </x:c>
      <x:c r="C105" s="5" t="inlineStr">
        <x:is>
          <x:t xml:space="preserve">V12_creativity_constraints</x:t>
        </x:is>
      </x:c>
      <x:c r="D105" s="5" t="inlineStr">
        <x:is>
          <x:t xml:space="preserve">full_transcript</x:t>
        </x:is>
      </x:c>
      <x:c r="E105" s="5" t="inlineStr">
        <x:is>
          <x:t xml:space="preserve">muted</x:t>
        </x:is>
      </x:c>
      <x:c r="F105" s="6" t="inlineStr">
        <x:is>
          <x:t xml:space="preserve"/>
        </x:is>
      </x:c>
      <x:c r="G105" s="6" t="inlineStr">
        <x:is>
          <x:t xml:space="preserve">6</x:t>
        </x:is>
      </x:c>
      <x:c r="H105" s="5" t="inlineStr">
        <x:is>
          <x:t xml:space="preserve"/>
        </x:is>
      </x:c>
      <x:c r="I105" s="5" t="inlineStr">
        <x:is>
          <x:t xml:space="preserve"/>
        </x:is>
      </x:c>
      <x:c r="J105" s="5" t="inlineStr">
        <x:is>
          <x:t xml:space="preserve"/>
        </x:is>
      </x:c>
      <x:c r="K105" s="5" t="inlineStr">
        <x:is>
          <x:t xml:space="preserve"/>
        </x:is>
      </x:c>
      <x:c r="L105" s="5" t="inlineStr">
        <x:is>
          <x:t xml:space="preserve"/>
        </x:is>
      </x:c>
      <x:c r="M105" s="5" t="inlineStr">
        <x:is>
          <x:t xml:space="preserve"/>
        </x:is>
      </x:c>
      <x:c r="N105" s="5" t="inlineStr">
        <x:is>
          <x:t xml:space="preserve"/>
        </x:is>
      </x:c>
      <x:c r="O105" s="5" t="inlineStr">
        <x:is>
          <x:t xml:space="preserve"/>
        </x:is>
      </x:c>
      <x:c r="P105" s="5" t="inlineStr">
        <x:is>
          <x:t xml:space="preserve"/>
        </x:is>
      </x:c>
      <x:c r="Q105" s="5" t="inlineStr">
        <x:is>
          <x:t xml:space="preserve"/>
        </x:is>
      </x:c>
      <x:c r="R105" s="5">
        <x:f>IF(OR(F105="",G105=""),"",IF(F105&gt;=0.95*G105,1,0))</x:f>
      </x:c>
      <x:c r="S105" s="7">
        <x:f>IFERROR((I105+J105+K105)/F105,"")</x:f>
      </x:c>
      <x:c r="T105" s="5">
        <x:f>IFERROR(I105+J105+K105,"")</x:f>
        <x:v>0</x:v>
      </x:c>
    </x:row>
    <x:row r="106" ht="22" customHeight="1">
      <x:c r="A106" s="5" t="inlineStr">
        <x:is>
          <x:t xml:space="preserve">P009</x:t>
        </x:is>
      </x:c>
      <x:c r="B106" s="5" t="inlineStr">
        <x:is>
          <x:t xml:space="preserve">6</x:t>
        </x:is>
      </x:c>
      <x:c r="C106" s="5" t="inlineStr">
        <x:is>
          <x:t xml:space="preserve">V01_productivity_friction</x:t>
        </x:is>
      </x:c>
      <x:c r="D106" s="5" t="inlineStr">
        <x:is>
          <x:t xml:space="preserve">keyword_highlight</x:t>
        </x:is>
      </x:c>
      <x:c r="E106" s="5" t="inlineStr">
        <x:is>
          <x:t xml:space="preserve">audio_on</x:t>
        </x:is>
      </x:c>
      <x:c r="F106" s="6" t="inlineStr">
        <x:is>
          <x:t xml:space="preserve"/>
        </x:is>
      </x:c>
      <x:c r="G106" s="6" t="inlineStr">
        <x:is>
          <x:t xml:space="preserve">6</x:t>
        </x:is>
      </x:c>
      <x:c r="H106" s="5" t="inlineStr">
        <x:is>
          <x:t xml:space="preserve"/>
        </x:is>
      </x:c>
      <x:c r="I106" s="5" t="inlineStr">
        <x:is>
          <x:t xml:space="preserve"/>
        </x:is>
      </x:c>
      <x:c r="J106" s="5" t="inlineStr">
        <x:is>
          <x:t xml:space="preserve"/>
        </x:is>
      </x:c>
      <x:c r="K106" s="5" t="inlineStr">
        <x:is>
          <x:t xml:space="preserve"/>
        </x:is>
      </x:c>
      <x:c r="L106" s="5" t="inlineStr">
        <x:is>
          <x:t xml:space="preserve"/>
        </x:is>
      </x:c>
      <x:c r="M106" s="5" t="inlineStr">
        <x:is>
          <x:t xml:space="preserve"/>
        </x:is>
      </x:c>
      <x:c r="N106" s="5" t="inlineStr">
        <x:is>
          <x:t xml:space="preserve"/>
        </x:is>
      </x:c>
      <x:c r="O106" s="5" t="inlineStr">
        <x:is>
          <x:t xml:space="preserve"/>
        </x:is>
      </x:c>
      <x:c r="P106" s="5" t="inlineStr">
        <x:is>
          <x:t xml:space="preserve"/>
        </x:is>
      </x:c>
      <x:c r="Q106" s="5" t="inlineStr">
        <x:is>
          <x:t xml:space="preserve"/>
        </x:is>
      </x:c>
      <x:c r="R106" s="5">
        <x:f>IF(OR(F106="",G106=""),"",IF(F106&gt;=0.95*G106,1,0))</x:f>
      </x:c>
      <x:c r="S106" s="7">
        <x:f>IFERROR((I106+J106+K106)/F106,"")</x:f>
      </x:c>
      <x:c r="T106" s="5">
        <x:f>IFERROR(I106+J106+K106,"")</x:f>
        <x:v>0</x:v>
      </x:c>
    </x:row>
    <x:row r="107" ht="22" customHeight="1">
      <x:c r="A107" s="5" t="inlineStr">
        <x:is>
          <x:t xml:space="preserve">P009</x:t>
        </x:is>
      </x:c>
      <x:c r="B107" s="5" t="inlineStr">
        <x:is>
          <x:t xml:space="preserve">7</x:t>
        </x:is>
      </x:c>
      <x:c r="C107" s="5" t="inlineStr">
        <x:is>
          <x:t xml:space="preserve">V11_story_burnout</x:t>
        </x:is>
      </x:c>
      <x:c r="D107" s="5" t="inlineStr">
        <x:is>
          <x:t xml:space="preserve">semantic_compression</x:t>
        </x:is>
      </x:c>
      <x:c r="E107" s="5" t="inlineStr">
        <x:is>
          <x:t xml:space="preserve">muted</x:t>
        </x:is>
      </x:c>
      <x:c r="F107" s="6" t="inlineStr">
        <x:is>
          <x:t xml:space="preserve"/>
        </x:is>
      </x:c>
      <x:c r="G107" s="6" t="inlineStr">
        <x:is>
          <x:t xml:space="preserve">6</x:t>
        </x:is>
      </x:c>
      <x:c r="H107" s="5" t="inlineStr">
        <x:is>
          <x:t xml:space="preserve"/>
        </x:is>
      </x:c>
      <x:c r="I107" s="5" t="inlineStr">
        <x:is>
          <x:t xml:space="preserve"/>
        </x:is>
      </x:c>
      <x:c r="J107" s="5" t="inlineStr">
        <x:is>
          <x:t xml:space="preserve"/>
        </x:is>
      </x:c>
      <x:c r="K107" s="5" t="inlineStr">
        <x:is>
          <x:t xml:space="preserve"/>
        </x:is>
      </x:c>
      <x:c r="L107" s="5" t="inlineStr">
        <x:is>
          <x:t xml:space="preserve"/>
        </x:is>
      </x:c>
      <x:c r="M107" s="5" t="inlineStr">
        <x:is>
          <x:t xml:space="preserve"/>
        </x:is>
      </x:c>
      <x:c r="N107" s="5" t="inlineStr">
        <x:is>
          <x:t xml:space="preserve"/>
        </x:is>
      </x:c>
      <x:c r="O107" s="5" t="inlineStr">
        <x:is>
          <x:t xml:space="preserve"/>
        </x:is>
      </x:c>
      <x:c r="P107" s="5" t="inlineStr">
        <x:is>
          <x:t xml:space="preserve"/>
        </x:is>
      </x:c>
      <x:c r="Q107" s="5" t="inlineStr">
        <x:is>
          <x:t xml:space="preserve"/>
        </x:is>
      </x:c>
      <x:c r="R107" s="5">
        <x:f>IF(OR(F107="",G107=""),"",IF(F107&gt;=0.95*G107,1,0))</x:f>
      </x:c>
      <x:c r="S107" s="7">
        <x:f>IFERROR((I107+J107+K107)/F107,"")</x:f>
      </x:c>
      <x:c r="T107" s="5">
        <x:f>IFERROR(I107+J107+K107,"")</x:f>
        <x:v>0</x:v>
      </x:c>
    </x:row>
    <x:row r="108" ht="22" customHeight="1">
      <x:c r="A108" s="5" t="inlineStr">
        <x:is>
          <x:t xml:space="preserve">P009</x:t>
        </x:is>
      </x:c>
      <x:c r="B108" s="5" t="inlineStr">
        <x:is>
          <x:t xml:space="preserve">8</x:t>
        </x:is>
      </x:c>
      <x:c r="C108" s="5" t="inlineStr">
        <x:is>
          <x:t xml:space="preserve">V10_tutorial_ui</x:t>
        </x:is>
      </x:c>
      <x:c r="D108" s="5" t="inlineStr">
        <x:is>
          <x:t xml:space="preserve">bcc</x:t>
        </x:is>
      </x:c>
      <x:c r="E108" s="5" t="inlineStr">
        <x:is>
          <x:t xml:space="preserve">audio_on</x:t>
        </x:is>
      </x:c>
      <x:c r="F108" s="6" t="inlineStr">
        <x:is>
          <x:t xml:space="preserve"/>
        </x:is>
      </x:c>
      <x:c r="G108" s="6" t="inlineStr">
        <x:is>
          <x:t xml:space="preserve">6</x:t>
        </x:is>
      </x:c>
      <x:c r="H108" s="5" t="inlineStr">
        <x:is>
          <x:t xml:space="preserve"/>
        </x:is>
      </x:c>
      <x:c r="I108" s="5" t="inlineStr">
        <x:is>
          <x:t xml:space="preserve"/>
        </x:is>
      </x:c>
      <x:c r="J108" s="5" t="inlineStr">
        <x:is>
          <x:t xml:space="preserve"/>
        </x:is>
      </x:c>
      <x:c r="K108" s="5" t="inlineStr">
        <x:is>
          <x:t xml:space="preserve"/>
        </x:is>
      </x:c>
      <x:c r="L108" s="5" t="inlineStr">
        <x:is>
          <x:t xml:space="preserve"/>
        </x:is>
      </x:c>
      <x:c r="M108" s="5" t="inlineStr">
        <x:is>
          <x:t xml:space="preserve"/>
        </x:is>
      </x:c>
      <x:c r="N108" s="5" t="inlineStr">
        <x:is>
          <x:t xml:space="preserve"/>
        </x:is>
      </x:c>
      <x:c r="O108" s="5" t="inlineStr">
        <x:is>
          <x:t xml:space="preserve"/>
        </x:is>
      </x:c>
      <x:c r="P108" s="5" t="inlineStr">
        <x:is>
          <x:t xml:space="preserve"/>
        </x:is>
      </x:c>
      <x:c r="Q108" s="5" t="inlineStr">
        <x:is>
          <x:t xml:space="preserve"/>
        </x:is>
      </x:c>
      <x:c r="R108" s="5">
        <x:f>IF(OR(F108="",G108=""),"",IF(F108&gt;=0.95*G108,1,0))</x:f>
      </x:c>
      <x:c r="S108" s="7">
        <x:f>IFERROR((I108+J108+K108)/F108,"")</x:f>
      </x:c>
      <x:c r="T108" s="5">
        <x:f>IFERROR(I108+J108+K108,"")</x:f>
        <x:v>0</x:v>
      </x:c>
    </x:row>
    <x:row r="109" ht="22" customHeight="1">
      <x:c r="A109" s="5" t="inlineStr">
        <x:is>
          <x:t xml:space="preserve">P009</x:t>
        </x:is>
      </x:c>
      <x:c r="B109" s="5" t="inlineStr">
        <x:is>
          <x:t xml:space="preserve">9</x:t>
        </x:is>
      </x:c>
      <x:c r="C109" s="5" t="inlineStr">
        <x:is>
          <x:t xml:space="preserve">V05_coding_assumptions</x:t>
        </x:is>
      </x:c>
      <x:c r="D109" s="5" t="inlineStr">
        <x:is>
          <x:t xml:space="preserve">bcc_plus</x:t>
        </x:is>
      </x:c>
      <x:c r="E109" s="5" t="inlineStr">
        <x:is>
          <x:t xml:space="preserve">muted</x:t>
        </x:is>
      </x:c>
      <x:c r="F109" s="6" t="inlineStr">
        <x:is>
          <x:t xml:space="preserve"/>
        </x:is>
      </x:c>
      <x:c r="G109" s="6" t="inlineStr">
        <x:is>
          <x:t xml:space="preserve">6</x:t>
        </x:is>
      </x:c>
      <x:c r="H109" s="5" t="inlineStr">
        <x:is>
          <x:t xml:space="preserve"/>
        </x:is>
      </x:c>
      <x:c r="I109" s="5" t="inlineStr">
        <x:is>
          <x:t xml:space="preserve"/>
        </x:is>
      </x:c>
      <x:c r="J109" s="5" t="inlineStr">
        <x:is>
          <x:t xml:space="preserve"/>
        </x:is>
      </x:c>
      <x:c r="K109" s="5" t="inlineStr">
        <x:is>
          <x:t xml:space="preserve"/>
        </x:is>
      </x:c>
      <x:c r="L109" s="5" t="inlineStr">
        <x:is>
          <x:t xml:space="preserve"/>
        </x:is>
      </x:c>
      <x:c r="M109" s="5" t="inlineStr">
        <x:is>
          <x:t xml:space="preserve"/>
        </x:is>
      </x:c>
      <x:c r="N109" s="5" t="inlineStr">
        <x:is>
          <x:t xml:space="preserve"/>
        </x:is>
      </x:c>
      <x:c r="O109" s="5" t="inlineStr">
        <x:is>
          <x:t xml:space="preserve"/>
        </x:is>
      </x:c>
      <x:c r="P109" s="5" t="inlineStr">
        <x:is>
          <x:t xml:space="preserve"/>
        </x:is>
      </x:c>
      <x:c r="Q109" s="5" t="inlineStr">
        <x:is>
          <x:t xml:space="preserve"/>
        </x:is>
      </x:c>
      <x:c r="R109" s="5">
        <x:f>IF(OR(F109="",G109=""),"",IF(F109&gt;=0.95*G109,1,0))</x:f>
      </x:c>
      <x:c r="S109" s="7">
        <x:f>IFERROR((I109+J109+K109)/F109,"")</x:f>
      </x:c>
      <x:c r="T109" s="5">
        <x:f>IFERROR(I109+J109+K109,"")</x:f>
        <x:v>0</x:v>
      </x:c>
    </x:row>
    <x:row r="110" ht="22" customHeight="1">
      <x:c r="A110" s="5" t="inlineStr">
        <x:is>
          <x:t xml:space="preserve">P009</x:t>
        </x:is>
      </x:c>
      <x:c r="B110" s="5" t="inlineStr">
        <x:is>
          <x:t xml:space="preserve">10</x:t>
        </x:is>
      </x:c>
      <x:c r="C110" s="5" t="inlineStr">
        <x:is>
          <x:t xml:space="preserve">V07_business_clarity</x:t>
        </x:is>
      </x:c>
      <x:c r="D110" s="5" t="inlineStr">
        <x:is>
          <x:t xml:space="preserve">heavy_bionic</x:t>
        </x:is>
      </x:c>
      <x:c r="E110" s="5" t="inlineStr">
        <x:is>
          <x:t xml:space="preserve">audio_on</x:t>
        </x:is>
      </x:c>
      <x:c r="F110" s="6" t="inlineStr">
        <x:is>
          <x:t xml:space="preserve"/>
        </x:is>
      </x:c>
      <x:c r="G110" s="6" t="inlineStr">
        <x:is>
          <x:t xml:space="preserve">6</x:t>
        </x:is>
      </x:c>
      <x:c r="H110" s="5" t="inlineStr">
        <x:is>
          <x:t xml:space="preserve"/>
        </x:is>
      </x:c>
      <x:c r="I110" s="5" t="inlineStr">
        <x:is>
          <x:t xml:space="preserve"/>
        </x:is>
      </x:c>
      <x:c r="J110" s="5" t="inlineStr">
        <x:is>
          <x:t xml:space="preserve"/>
        </x:is>
      </x:c>
      <x:c r="K110" s="5" t="inlineStr">
        <x:is>
          <x:t xml:space="preserve"/>
        </x:is>
      </x:c>
      <x:c r="L110" s="5" t="inlineStr">
        <x:is>
          <x:t xml:space="preserve"/>
        </x:is>
      </x:c>
      <x:c r="M110" s="5" t="inlineStr">
        <x:is>
          <x:t xml:space="preserve"/>
        </x:is>
      </x:c>
      <x:c r="N110" s="5" t="inlineStr">
        <x:is>
          <x:t xml:space="preserve"/>
        </x:is>
      </x:c>
      <x:c r="O110" s="5" t="inlineStr">
        <x:is>
          <x:t xml:space="preserve"/>
        </x:is>
      </x:c>
      <x:c r="P110" s="5" t="inlineStr">
        <x:is>
          <x:t xml:space="preserve"/>
        </x:is>
      </x:c>
      <x:c r="Q110" s="5" t="inlineStr">
        <x:is>
          <x:t xml:space="preserve"/>
        </x:is>
      </x:c>
      <x:c r="R110" s="5">
        <x:f>IF(OR(F110="",G110=""),"",IF(F110&gt;=0.95*G110,1,0))</x:f>
      </x:c>
      <x:c r="S110" s="7">
        <x:f>IFERROR((I110+J110+K110)/F110,"")</x:f>
      </x:c>
      <x:c r="T110" s="5">
        <x:f>IFERROR(I110+J110+K110,"")</x:f>
        <x:v>0</x:v>
      </x:c>
    </x:row>
    <x:row r="111" ht="22" customHeight="1">
      <x:c r="A111" s="5" t="inlineStr">
        <x:is>
          <x:t xml:space="preserve">P009</x:t>
        </x:is>
      </x:c>
      <x:c r="B111" s="5" t="inlineStr">
        <x:is>
          <x:t xml:space="preserve">11</x:t>
        </x:is>
      </x:c>
      <x:c r="C111" s="5" t="inlineStr">
        <x:is>
          <x:t xml:space="preserve">V02_study_recall</x:t>
        </x:is>
      </x:c>
      <x:c r="D111" s="5" t="inlineStr">
        <x:is>
          <x:t xml:space="preserve">full_transcript</x:t>
        </x:is>
      </x:c>
      <x:c r="E111" s="5" t="inlineStr">
        <x:is>
          <x:t xml:space="preserve">muted</x:t>
        </x:is>
      </x:c>
      <x:c r="F111" s="6" t="inlineStr">
        <x:is>
          <x:t xml:space="preserve"/>
        </x:is>
      </x:c>
      <x:c r="G111" s="6" t="inlineStr">
        <x:is>
          <x:t xml:space="preserve">6</x:t>
        </x:is>
      </x:c>
      <x:c r="H111" s="5" t="inlineStr">
        <x:is>
          <x:t xml:space="preserve"/>
        </x:is>
      </x:c>
      <x:c r="I111" s="5" t="inlineStr">
        <x:is>
          <x:t xml:space="preserve"/>
        </x:is>
      </x:c>
      <x:c r="J111" s="5" t="inlineStr">
        <x:is>
          <x:t xml:space="preserve"/>
        </x:is>
      </x:c>
      <x:c r="K111" s="5" t="inlineStr">
        <x:is>
          <x:t xml:space="preserve"/>
        </x:is>
      </x:c>
      <x:c r="L111" s="5" t="inlineStr">
        <x:is>
          <x:t xml:space="preserve"/>
        </x:is>
      </x:c>
      <x:c r="M111" s="5" t="inlineStr">
        <x:is>
          <x:t xml:space="preserve"/>
        </x:is>
      </x:c>
      <x:c r="N111" s="5" t="inlineStr">
        <x:is>
          <x:t xml:space="preserve"/>
        </x:is>
      </x:c>
      <x:c r="O111" s="5" t="inlineStr">
        <x:is>
          <x:t xml:space="preserve"/>
        </x:is>
      </x:c>
      <x:c r="P111" s="5" t="inlineStr">
        <x:is>
          <x:t xml:space="preserve"/>
        </x:is>
      </x:c>
      <x:c r="Q111" s="5" t="inlineStr">
        <x:is>
          <x:t xml:space="preserve"/>
        </x:is>
      </x:c>
      <x:c r="R111" s="5">
        <x:f>IF(OR(F111="",G111=""),"",IF(F111&gt;=0.95*G111,1,0))</x:f>
      </x:c>
      <x:c r="S111" s="7">
        <x:f>IFERROR((I111+J111+K111)/F111,"")</x:f>
      </x:c>
      <x:c r="T111" s="5">
        <x:f>IFERROR(I111+J111+K111,"")</x:f>
        <x:v>0</x:v>
      </x:c>
    </x:row>
    <x:row r="112" ht="22" customHeight="1">
      <x:c r="A112" s="5" t="inlineStr">
        <x:is>
          <x:t xml:space="preserve">P009</x:t>
        </x:is>
      </x:c>
      <x:c r="B112" s="5" t="inlineStr">
        <x:is>
          <x:t xml:space="preserve">12</x:t>
        </x:is>
      </x:c>
      <x:c r="C112" s="5" t="inlineStr">
        <x:is>
          <x:t xml:space="preserve">V03_fitness_setup</x:t>
        </x:is>
      </x:c>
      <x:c r="D112" s="5" t="inlineStr">
        <x:is>
          <x:t xml:space="preserve">keyword_highlight</x:t>
        </x:is>
      </x:c>
      <x:c r="E112" s="5" t="inlineStr">
        <x:is>
          <x:t xml:space="preserve">audio_on</x:t>
        </x:is>
      </x:c>
      <x:c r="F112" s="6" t="inlineStr">
        <x:is>
          <x:t xml:space="preserve"/>
        </x:is>
      </x:c>
      <x:c r="G112" s="6" t="inlineStr">
        <x:is>
          <x:t xml:space="preserve">6</x:t>
        </x:is>
      </x:c>
      <x:c r="H112" s="5" t="inlineStr">
        <x:is>
          <x:t xml:space="preserve"/>
        </x:is>
      </x:c>
      <x:c r="I112" s="5" t="inlineStr">
        <x:is>
          <x:t xml:space="preserve"/>
        </x:is>
      </x:c>
      <x:c r="J112" s="5" t="inlineStr">
        <x:is>
          <x:t xml:space="preserve"/>
        </x:is>
      </x:c>
      <x:c r="K112" s="5" t="inlineStr">
        <x:is>
          <x:t xml:space="preserve"/>
        </x:is>
      </x:c>
      <x:c r="L112" s="5" t="inlineStr">
        <x:is>
          <x:t xml:space="preserve"/>
        </x:is>
      </x:c>
      <x:c r="M112" s="5" t="inlineStr">
        <x:is>
          <x:t xml:space="preserve"/>
        </x:is>
      </x:c>
      <x:c r="N112" s="5" t="inlineStr">
        <x:is>
          <x:t xml:space="preserve"/>
        </x:is>
      </x:c>
      <x:c r="O112" s="5" t="inlineStr">
        <x:is>
          <x:t xml:space="preserve"/>
        </x:is>
      </x:c>
      <x:c r="P112" s="5" t="inlineStr">
        <x:is>
          <x:t xml:space="preserve"/>
        </x:is>
      </x:c>
      <x:c r="Q112" s="5" t="inlineStr">
        <x:is>
          <x:t xml:space="preserve"/>
        </x:is>
      </x:c>
      <x:c r="R112" s="5">
        <x:f>IF(OR(F112="",G112=""),"",IF(F112&gt;=0.95*G112,1,0))</x:f>
      </x:c>
      <x:c r="S112" s="7">
        <x:f>IFERROR((I112+J112+K112)/F112,"")</x:f>
      </x:c>
      <x:c r="T112" s="5">
        <x:f>IFERROR(I112+J112+K112,"")</x:f>
        <x:v>0</x:v>
      </x:c>
    </x:row>
    <x:row r="113" ht="22" customHeight="1">
      <x:c r="A113" s="5" t="inlineStr">
        <x:is>
          <x:t xml:space="preserve">P010</x:t>
        </x:is>
      </x:c>
      <x:c r="B113" s="5" t="inlineStr">
        <x:is>
          <x:t xml:space="preserve">1</x:t>
        </x:is>
      </x:c>
      <x:c r="C113" s="5" t="inlineStr">
        <x:is>
          <x:t xml:space="preserve">V03_fitness_setup</x:t>
        </x:is>
      </x:c>
      <x:c r="D113" s="5" t="inlineStr">
        <x:is>
          <x:t xml:space="preserve">bcc</x:t>
        </x:is>
      </x:c>
      <x:c r="E113" s="5" t="inlineStr">
        <x:is>
          <x:t xml:space="preserve">audio_on</x:t>
        </x:is>
      </x:c>
      <x:c r="F113" s="6" t="inlineStr">
        <x:is>
          <x:t xml:space="preserve"/>
        </x:is>
      </x:c>
      <x:c r="G113" s="6" t="inlineStr">
        <x:is>
          <x:t xml:space="preserve">6</x:t>
        </x:is>
      </x:c>
      <x:c r="H113" s="5" t="inlineStr">
        <x:is>
          <x:t xml:space="preserve"/>
        </x:is>
      </x:c>
      <x:c r="I113" s="5" t="inlineStr">
        <x:is>
          <x:t xml:space="preserve"/>
        </x:is>
      </x:c>
      <x:c r="J113" s="5" t="inlineStr">
        <x:is>
          <x:t xml:space="preserve"/>
        </x:is>
      </x:c>
      <x:c r="K113" s="5" t="inlineStr">
        <x:is>
          <x:t xml:space="preserve"/>
        </x:is>
      </x:c>
      <x:c r="L113" s="5" t="inlineStr">
        <x:is>
          <x:t xml:space="preserve"/>
        </x:is>
      </x:c>
      <x:c r="M113" s="5" t="inlineStr">
        <x:is>
          <x:t xml:space="preserve"/>
        </x:is>
      </x:c>
      <x:c r="N113" s="5" t="inlineStr">
        <x:is>
          <x:t xml:space="preserve"/>
        </x:is>
      </x:c>
      <x:c r="O113" s="5" t="inlineStr">
        <x:is>
          <x:t xml:space="preserve"/>
        </x:is>
      </x:c>
      <x:c r="P113" s="5" t="inlineStr">
        <x:is>
          <x:t xml:space="preserve"/>
        </x:is>
      </x:c>
      <x:c r="Q113" s="5" t="inlineStr">
        <x:is>
          <x:t xml:space="preserve"/>
        </x:is>
      </x:c>
      <x:c r="R113" s="5">
        <x:f>IF(OR(F113="",G113=""),"",IF(F113&gt;=0.95*G113,1,0))</x:f>
      </x:c>
      <x:c r="S113" s="7">
        <x:f>IFERROR((I113+J113+K113)/F113,"")</x:f>
      </x:c>
      <x:c r="T113" s="5">
        <x:f>IFERROR(I113+J113+K113,"")</x:f>
        <x:v>0</x:v>
      </x:c>
    </x:row>
    <x:row r="114" ht="22" customHeight="1">
      <x:c r="A114" s="5" t="inlineStr">
        <x:is>
          <x:t xml:space="preserve">P010</x:t>
        </x:is>
      </x:c>
      <x:c r="B114" s="5" t="inlineStr">
        <x:is>
          <x:t xml:space="preserve">2</x:t>
        </x:is>
      </x:c>
      <x:c r="C114" s="5" t="inlineStr">
        <x:is>
          <x:t xml:space="preserve">V07_business_clarity</x:t>
        </x:is>
      </x:c>
      <x:c r="D114" s="5" t="inlineStr">
        <x:is>
          <x:t xml:space="preserve">bcc_plus</x:t>
        </x:is>
      </x:c>
      <x:c r="E114" s="5" t="inlineStr">
        <x:is>
          <x:t xml:space="preserve">muted</x:t>
        </x:is>
      </x:c>
      <x:c r="F114" s="6" t="inlineStr">
        <x:is>
          <x:t xml:space="preserve"/>
        </x:is>
      </x:c>
      <x:c r="G114" s="6" t="inlineStr">
        <x:is>
          <x:t xml:space="preserve">6</x:t>
        </x:is>
      </x:c>
      <x:c r="H114" s="5" t="inlineStr">
        <x:is>
          <x:t xml:space="preserve"/>
        </x:is>
      </x:c>
      <x:c r="I114" s="5" t="inlineStr">
        <x:is>
          <x:t xml:space="preserve"/>
        </x:is>
      </x:c>
      <x:c r="J114" s="5" t="inlineStr">
        <x:is>
          <x:t xml:space="preserve"/>
        </x:is>
      </x:c>
      <x:c r="K114" s="5" t="inlineStr">
        <x:is>
          <x:t xml:space="preserve"/>
        </x:is>
      </x:c>
      <x:c r="L114" s="5" t="inlineStr">
        <x:is>
          <x:t xml:space="preserve"/>
        </x:is>
      </x:c>
      <x:c r="M114" s="5" t="inlineStr">
        <x:is>
          <x:t xml:space="preserve"/>
        </x:is>
      </x:c>
      <x:c r="N114" s="5" t="inlineStr">
        <x:is>
          <x:t xml:space="preserve"/>
        </x:is>
      </x:c>
      <x:c r="O114" s="5" t="inlineStr">
        <x:is>
          <x:t xml:space="preserve"/>
        </x:is>
      </x:c>
      <x:c r="P114" s="5" t="inlineStr">
        <x:is>
          <x:t xml:space="preserve"/>
        </x:is>
      </x:c>
      <x:c r="Q114" s="5" t="inlineStr">
        <x:is>
          <x:t xml:space="preserve"/>
        </x:is>
      </x:c>
      <x:c r="R114" s="5">
        <x:f>IF(OR(F114="",G114=""),"",IF(F114&gt;=0.95*G114,1,0))</x:f>
      </x:c>
      <x:c r="S114" s="7">
        <x:f>IFERROR((I114+J114+K114)/F114,"")</x:f>
      </x:c>
      <x:c r="T114" s="5">
        <x:f>IFERROR(I114+J114+K114,"")</x:f>
        <x:v>0</x:v>
      </x:c>
    </x:row>
    <x:row r="115" ht="22" customHeight="1">
      <x:c r="A115" s="5" t="inlineStr">
        <x:is>
          <x:t xml:space="preserve">P010</x:t>
        </x:is>
      </x:c>
      <x:c r="B115" s="5" t="inlineStr">
        <x:is>
          <x:t xml:space="preserve">3</x:t>
        </x:is>
      </x:c>
      <x:c r="C115" s="5" t="inlineStr">
        <x:is>
          <x:t xml:space="preserve">V06_overload_open_loops</x:t>
        </x:is>
      </x:c>
      <x:c r="D115" s="5" t="inlineStr">
        <x:is>
          <x:t xml:space="preserve">heavy_bionic</x:t>
        </x:is>
      </x:c>
      <x:c r="E115" s="5" t="inlineStr">
        <x:is>
          <x:t xml:space="preserve">audio_on</x:t>
        </x:is>
      </x:c>
      <x:c r="F115" s="6" t="inlineStr">
        <x:is>
          <x:t xml:space="preserve"/>
        </x:is>
      </x:c>
      <x:c r="G115" s="6" t="inlineStr">
        <x:is>
          <x:t xml:space="preserve">6</x:t>
        </x:is>
      </x:c>
      <x:c r="H115" s="5" t="inlineStr">
        <x:is>
          <x:t xml:space="preserve"/>
        </x:is>
      </x:c>
      <x:c r="I115" s="5" t="inlineStr">
        <x:is>
          <x:t xml:space="preserve"/>
        </x:is>
      </x:c>
      <x:c r="J115" s="5" t="inlineStr">
        <x:is>
          <x:t xml:space="preserve"/>
        </x:is>
      </x:c>
      <x:c r="K115" s="5" t="inlineStr">
        <x:is>
          <x:t xml:space="preserve"/>
        </x:is>
      </x:c>
      <x:c r="L115" s="5" t="inlineStr">
        <x:is>
          <x:t xml:space="preserve"/>
        </x:is>
      </x:c>
      <x:c r="M115" s="5" t="inlineStr">
        <x:is>
          <x:t xml:space="preserve"/>
        </x:is>
      </x:c>
      <x:c r="N115" s="5" t="inlineStr">
        <x:is>
          <x:t xml:space="preserve"/>
        </x:is>
      </x:c>
      <x:c r="O115" s="5" t="inlineStr">
        <x:is>
          <x:t xml:space="preserve"/>
        </x:is>
      </x:c>
      <x:c r="P115" s="5" t="inlineStr">
        <x:is>
          <x:t xml:space="preserve"/>
        </x:is>
      </x:c>
      <x:c r="Q115" s="5" t="inlineStr">
        <x:is>
          <x:t xml:space="preserve"/>
        </x:is>
      </x:c>
      <x:c r="R115" s="5">
        <x:f>IF(OR(F115="",G115=""),"",IF(F115&gt;=0.95*G115,1,0))</x:f>
      </x:c>
      <x:c r="S115" s="7">
        <x:f>IFERROR((I115+J115+K115)/F115,"")</x:f>
      </x:c>
      <x:c r="T115" s="5">
        <x:f>IFERROR(I115+J115+K115,"")</x:f>
        <x:v>0</x:v>
      </x:c>
    </x:row>
    <x:row r="116" ht="22" customHeight="1">
      <x:c r="A116" s="5" t="inlineStr">
        <x:is>
          <x:t xml:space="preserve">P010</x:t>
        </x:is>
      </x:c>
      <x:c r="B116" s="5" t="inlineStr">
        <x:is>
          <x:t xml:space="preserve">4</x:t>
        </x:is>
      </x:c>
      <x:c r="C116" s="5" t="inlineStr">
        <x:is>
          <x:t xml:space="preserve">V11_story_burnout</x:t>
        </x:is>
      </x:c>
      <x:c r="D116" s="5" t="inlineStr">
        <x:is>
          <x:t xml:space="preserve">full_transcript</x:t>
        </x:is>
      </x:c>
      <x:c r="E116" s="5" t="inlineStr">
        <x:is>
          <x:t xml:space="preserve">muted</x:t>
        </x:is>
      </x:c>
      <x:c r="F116" s="6" t="inlineStr">
        <x:is>
          <x:t xml:space="preserve"/>
        </x:is>
      </x:c>
      <x:c r="G116" s="6" t="inlineStr">
        <x:is>
          <x:t xml:space="preserve">6</x:t>
        </x:is>
      </x:c>
      <x:c r="H116" s="5" t="inlineStr">
        <x:is>
          <x:t xml:space="preserve"/>
        </x:is>
      </x:c>
      <x:c r="I116" s="5" t="inlineStr">
        <x:is>
          <x:t xml:space="preserve"/>
        </x:is>
      </x:c>
      <x:c r="J116" s="5" t="inlineStr">
        <x:is>
          <x:t xml:space="preserve"/>
        </x:is>
      </x:c>
      <x:c r="K116" s="5" t="inlineStr">
        <x:is>
          <x:t xml:space="preserve"/>
        </x:is>
      </x:c>
      <x:c r="L116" s="5" t="inlineStr">
        <x:is>
          <x:t xml:space="preserve"/>
        </x:is>
      </x:c>
      <x:c r="M116" s="5" t="inlineStr">
        <x:is>
          <x:t xml:space="preserve"/>
        </x:is>
      </x:c>
      <x:c r="N116" s="5" t="inlineStr">
        <x:is>
          <x:t xml:space="preserve"/>
        </x:is>
      </x:c>
      <x:c r="O116" s="5" t="inlineStr">
        <x:is>
          <x:t xml:space="preserve"/>
        </x:is>
      </x:c>
      <x:c r="P116" s="5" t="inlineStr">
        <x:is>
          <x:t xml:space="preserve"/>
        </x:is>
      </x:c>
      <x:c r="Q116" s="5" t="inlineStr">
        <x:is>
          <x:t xml:space="preserve"/>
        </x:is>
      </x:c>
      <x:c r="R116" s="5">
        <x:f>IF(OR(F116="",G116=""),"",IF(F116&gt;=0.95*G116,1,0))</x:f>
      </x:c>
      <x:c r="S116" s="7">
        <x:f>IFERROR((I116+J116+K116)/F116,"")</x:f>
      </x:c>
      <x:c r="T116" s="5">
        <x:f>IFERROR(I116+J116+K116,"")</x:f>
        <x:v>0</x:v>
      </x:c>
    </x:row>
    <x:row r="117" ht="22" customHeight="1">
      <x:c r="A117" s="5" t="inlineStr">
        <x:is>
          <x:t xml:space="preserve">P010</x:t>
        </x:is>
      </x:c>
      <x:c r="B117" s="5" t="inlineStr">
        <x:is>
          <x:t xml:space="preserve">5</x:t>
        </x:is>
      </x:c>
      <x:c r="C117" s="5" t="inlineStr">
        <x:is>
          <x:t xml:space="preserve">V12_creativity_constraints</x:t>
        </x:is>
      </x:c>
      <x:c r="D117" s="5" t="inlineStr">
        <x:is>
          <x:t xml:space="preserve">keyword_highlight</x:t>
        </x:is>
      </x:c>
      <x:c r="E117" s="5" t="inlineStr">
        <x:is>
          <x:t xml:space="preserve">audio_on</x:t>
        </x:is>
      </x:c>
      <x:c r="F117" s="6" t="inlineStr">
        <x:is>
          <x:t xml:space="preserve"/>
        </x:is>
      </x:c>
      <x:c r="G117" s="6" t="inlineStr">
        <x:is>
          <x:t xml:space="preserve">6</x:t>
        </x:is>
      </x:c>
      <x:c r="H117" s="5" t="inlineStr">
        <x:is>
          <x:t xml:space="preserve"/>
        </x:is>
      </x:c>
      <x:c r="I117" s="5" t="inlineStr">
        <x:is>
          <x:t xml:space="preserve"/>
        </x:is>
      </x:c>
      <x:c r="J117" s="5" t="inlineStr">
        <x:is>
          <x:t xml:space="preserve"/>
        </x:is>
      </x:c>
      <x:c r="K117" s="5" t="inlineStr">
        <x:is>
          <x:t xml:space="preserve"/>
        </x:is>
      </x:c>
      <x:c r="L117" s="5" t="inlineStr">
        <x:is>
          <x:t xml:space="preserve"/>
        </x:is>
      </x:c>
      <x:c r="M117" s="5" t="inlineStr">
        <x:is>
          <x:t xml:space="preserve"/>
        </x:is>
      </x:c>
      <x:c r="N117" s="5" t="inlineStr">
        <x:is>
          <x:t xml:space="preserve"/>
        </x:is>
      </x:c>
      <x:c r="O117" s="5" t="inlineStr">
        <x:is>
          <x:t xml:space="preserve"/>
        </x:is>
      </x:c>
      <x:c r="P117" s="5" t="inlineStr">
        <x:is>
          <x:t xml:space="preserve"/>
        </x:is>
      </x:c>
      <x:c r="Q117" s="5" t="inlineStr">
        <x:is>
          <x:t xml:space="preserve"/>
        </x:is>
      </x:c>
      <x:c r="R117" s="5">
        <x:f>IF(OR(F117="",G117=""),"",IF(F117&gt;=0.95*G117,1,0))</x:f>
      </x:c>
      <x:c r="S117" s="7">
        <x:f>IFERROR((I117+J117+K117)/F117,"")</x:f>
      </x:c>
      <x:c r="T117" s="5">
        <x:f>IFERROR(I117+J117+K117,"")</x:f>
        <x:v>0</x:v>
      </x:c>
    </x:row>
    <x:row r="118" ht="22" customHeight="1">
      <x:c r="A118" s="5" t="inlineStr">
        <x:is>
          <x:t xml:space="preserve">P010</x:t>
        </x:is>
      </x:c>
      <x:c r="B118" s="5" t="inlineStr">
        <x:is>
          <x:t xml:space="preserve">6</x:t>
        </x:is>
      </x:c>
      <x:c r="C118" s="5" t="inlineStr">
        <x:is>
          <x:t xml:space="preserve">V02_study_recall</x:t>
        </x:is>
      </x:c>
      <x:c r="D118" s="5" t="inlineStr">
        <x:is>
          <x:t xml:space="preserve">semantic_compression</x:t>
        </x:is>
      </x:c>
      <x:c r="E118" s="5" t="inlineStr">
        <x:is>
          <x:t xml:space="preserve">muted</x:t>
        </x:is>
      </x:c>
      <x:c r="F118" s="6" t="inlineStr">
        <x:is>
          <x:t xml:space="preserve"/>
        </x:is>
      </x:c>
      <x:c r="G118" s="6" t="inlineStr">
        <x:is>
          <x:t xml:space="preserve">6</x:t>
        </x:is>
      </x:c>
      <x:c r="H118" s="5" t="inlineStr">
        <x:is>
          <x:t xml:space="preserve"/>
        </x:is>
      </x:c>
      <x:c r="I118" s="5" t="inlineStr">
        <x:is>
          <x:t xml:space="preserve"/>
        </x:is>
      </x:c>
      <x:c r="J118" s="5" t="inlineStr">
        <x:is>
          <x:t xml:space="preserve"/>
        </x:is>
      </x:c>
      <x:c r="K118" s="5" t="inlineStr">
        <x:is>
          <x:t xml:space="preserve"/>
        </x:is>
      </x:c>
      <x:c r="L118" s="5" t="inlineStr">
        <x:is>
          <x:t xml:space="preserve"/>
        </x:is>
      </x:c>
      <x:c r="M118" s="5" t="inlineStr">
        <x:is>
          <x:t xml:space="preserve"/>
        </x:is>
      </x:c>
      <x:c r="N118" s="5" t="inlineStr">
        <x:is>
          <x:t xml:space="preserve"/>
        </x:is>
      </x:c>
      <x:c r="O118" s="5" t="inlineStr">
        <x:is>
          <x:t xml:space="preserve"/>
        </x:is>
      </x:c>
      <x:c r="P118" s="5" t="inlineStr">
        <x:is>
          <x:t xml:space="preserve"/>
        </x:is>
      </x:c>
      <x:c r="Q118" s="5" t="inlineStr">
        <x:is>
          <x:t xml:space="preserve"/>
        </x:is>
      </x:c>
      <x:c r="R118" s="5">
        <x:f>IF(OR(F118="",G118=""),"",IF(F118&gt;=0.95*G118,1,0))</x:f>
      </x:c>
      <x:c r="S118" s="7">
        <x:f>IFERROR((I118+J118+K118)/F118,"")</x:f>
      </x:c>
      <x:c r="T118" s="5">
        <x:f>IFERROR(I118+J118+K118,"")</x:f>
        <x:v>0</x:v>
      </x:c>
    </x:row>
    <x:row r="119" ht="22" customHeight="1">
      <x:c r="A119" s="5" t="inlineStr">
        <x:is>
          <x:t xml:space="preserve">P010</x:t>
        </x:is>
      </x:c>
      <x:c r="B119" s="5" t="inlineStr">
        <x:is>
          <x:t xml:space="preserve">7</x:t>
        </x:is>
      </x:c>
      <x:c r="C119" s="5" t="inlineStr">
        <x:is>
          <x:t xml:space="preserve">V09_nutrition_satiety</x:t>
        </x:is>
      </x:c>
      <x:c r="D119" s="5" t="inlineStr">
        <x:is>
          <x:t xml:space="preserve">bcc</x:t>
        </x:is>
      </x:c>
      <x:c r="E119" s="5" t="inlineStr">
        <x:is>
          <x:t xml:space="preserve">audio_on</x:t>
        </x:is>
      </x:c>
      <x:c r="F119" s="6" t="inlineStr">
        <x:is>
          <x:t xml:space="preserve"/>
        </x:is>
      </x:c>
      <x:c r="G119" s="6" t="inlineStr">
        <x:is>
          <x:t xml:space="preserve">6</x:t>
        </x:is>
      </x:c>
      <x:c r="H119" s="5" t="inlineStr">
        <x:is>
          <x:t xml:space="preserve"/>
        </x:is>
      </x:c>
      <x:c r="I119" s="5" t="inlineStr">
        <x:is>
          <x:t xml:space="preserve"/>
        </x:is>
      </x:c>
      <x:c r="J119" s="5" t="inlineStr">
        <x:is>
          <x:t xml:space="preserve"/>
        </x:is>
      </x:c>
      <x:c r="K119" s="5" t="inlineStr">
        <x:is>
          <x:t xml:space="preserve"/>
        </x:is>
      </x:c>
      <x:c r="L119" s="5" t="inlineStr">
        <x:is>
          <x:t xml:space="preserve"/>
        </x:is>
      </x:c>
      <x:c r="M119" s="5" t="inlineStr">
        <x:is>
          <x:t xml:space="preserve"/>
        </x:is>
      </x:c>
      <x:c r="N119" s="5" t="inlineStr">
        <x:is>
          <x:t xml:space="preserve"/>
        </x:is>
      </x:c>
      <x:c r="O119" s="5" t="inlineStr">
        <x:is>
          <x:t xml:space="preserve"/>
        </x:is>
      </x:c>
      <x:c r="P119" s="5" t="inlineStr">
        <x:is>
          <x:t xml:space="preserve"/>
        </x:is>
      </x:c>
      <x:c r="Q119" s="5" t="inlineStr">
        <x:is>
          <x:t xml:space="preserve"/>
        </x:is>
      </x:c>
      <x:c r="R119" s="5">
        <x:f>IF(OR(F119="",G119=""),"",IF(F119&gt;=0.95*G119,1,0))</x:f>
      </x:c>
      <x:c r="S119" s="7">
        <x:f>IFERROR((I119+J119+K119)/F119,"")</x:f>
      </x:c>
      <x:c r="T119" s="5">
        <x:f>IFERROR(I119+J119+K119,"")</x:f>
        <x:v>0</x:v>
      </x:c>
    </x:row>
    <x:row r="120" ht="22" customHeight="1">
      <x:c r="A120" s="5" t="inlineStr">
        <x:is>
          <x:t xml:space="preserve">P010</x:t>
        </x:is>
      </x:c>
      <x:c r="B120" s="5" t="inlineStr">
        <x:is>
          <x:t xml:space="preserve">8</x:t>
        </x:is>
      </x:c>
      <x:c r="C120" s="5" t="inlineStr">
        <x:is>
          <x:t xml:space="preserve">V01_productivity_friction</x:t>
        </x:is>
      </x:c>
      <x:c r="D120" s="5" t="inlineStr">
        <x:is>
          <x:t xml:space="preserve">bcc_plus</x:t>
        </x:is>
      </x:c>
      <x:c r="E120" s="5" t="inlineStr">
        <x:is>
          <x:t xml:space="preserve">muted</x:t>
        </x:is>
      </x:c>
      <x:c r="F120" s="6" t="inlineStr">
        <x:is>
          <x:t xml:space="preserve"/>
        </x:is>
      </x:c>
      <x:c r="G120" s="6" t="inlineStr">
        <x:is>
          <x:t xml:space="preserve">6</x:t>
        </x:is>
      </x:c>
      <x:c r="H120" s="5" t="inlineStr">
        <x:is>
          <x:t xml:space="preserve"/>
        </x:is>
      </x:c>
      <x:c r="I120" s="5" t="inlineStr">
        <x:is>
          <x:t xml:space="preserve"/>
        </x:is>
      </x:c>
      <x:c r="J120" s="5" t="inlineStr">
        <x:is>
          <x:t xml:space="preserve"/>
        </x:is>
      </x:c>
      <x:c r="K120" s="5" t="inlineStr">
        <x:is>
          <x:t xml:space="preserve"/>
        </x:is>
      </x:c>
      <x:c r="L120" s="5" t="inlineStr">
        <x:is>
          <x:t xml:space="preserve"/>
        </x:is>
      </x:c>
      <x:c r="M120" s="5" t="inlineStr">
        <x:is>
          <x:t xml:space="preserve"/>
        </x:is>
      </x:c>
      <x:c r="N120" s="5" t="inlineStr">
        <x:is>
          <x:t xml:space="preserve"/>
        </x:is>
      </x:c>
      <x:c r="O120" s="5" t="inlineStr">
        <x:is>
          <x:t xml:space="preserve"/>
        </x:is>
      </x:c>
      <x:c r="P120" s="5" t="inlineStr">
        <x:is>
          <x:t xml:space="preserve"/>
        </x:is>
      </x:c>
      <x:c r="Q120" s="5" t="inlineStr">
        <x:is>
          <x:t xml:space="preserve"/>
        </x:is>
      </x:c>
      <x:c r="R120" s="5">
        <x:f>IF(OR(F120="",G120=""),"",IF(F120&gt;=0.95*G120,1,0))</x:f>
      </x:c>
      <x:c r="S120" s="7">
        <x:f>IFERROR((I120+J120+K120)/F120,"")</x:f>
      </x:c>
      <x:c r="T120" s="5">
        <x:f>IFERROR(I120+J120+K120,"")</x:f>
        <x:v>0</x:v>
      </x:c>
    </x:row>
    <x:row r="121" ht="22" customHeight="1">
      <x:c r="A121" s="5" t="inlineStr">
        <x:is>
          <x:t xml:space="preserve">P010</x:t>
        </x:is>
      </x:c>
      <x:c r="B121" s="5" t="inlineStr">
        <x:is>
          <x:t xml:space="preserve">9</x:t>
        </x:is>
      </x:c>
      <x:c r="C121" s="5" t="inlineStr">
        <x:is>
          <x:t xml:space="preserve">V10_tutorial_ui</x:t>
        </x:is>
      </x:c>
      <x:c r="D121" s="5" t="inlineStr">
        <x:is>
          <x:t xml:space="preserve">heavy_bionic</x:t>
        </x:is>
      </x:c>
      <x:c r="E121" s="5" t="inlineStr">
        <x:is>
          <x:t xml:space="preserve">audio_on</x:t>
        </x:is>
      </x:c>
      <x:c r="F121" s="6" t="inlineStr">
        <x:is>
          <x:t xml:space="preserve"/>
        </x:is>
      </x:c>
      <x:c r="G121" s="6" t="inlineStr">
        <x:is>
          <x:t xml:space="preserve">6</x:t>
        </x:is>
      </x:c>
      <x:c r="H121" s="5" t="inlineStr">
        <x:is>
          <x:t xml:space="preserve"/>
        </x:is>
      </x:c>
      <x:c r="I121" s="5" t="inlineStr">
        <x:is>
          <x:t xml:space="preserve"/>
        </x:is>
      </x:c>
      <x:c r="J121" s="5" t="inlineStr">
        <x:is>
          <x:t xml:space="preserve"/>
        </x:is>
      </x:c>
      <x:c r="K121" s="5" t="inlineStr">
        <x:is>
          <x:t xml:space="preserve"/>
        </x:is>
      </x:c>
      <x:c r="L121" s="5" t="inlineStr">
        <x:is>
          <x:t xml:space="preserve"/>
        </x:is>
      </x:c>
      <x:c r="M121" s="5" t="inlineStr">
        <x:is>
          <x:t xml:space="preserve"/>
        </x:is>
      </x:c>
      <x:c r="N121" s="5" t="inlineStr">
        <x:is>
          <x:t xml:space="preserve"/>
        </x:is>
      </x:c>
      <x:c r="O121" s="5" t="inlineStr">
        <x:is>
          <x:t xml:space="preserve"/>
        </x:is>
      </x:c>
      <x:c r="P121" s="5" t="inlineStr">
        <x:is>
          <x:t xml:space="preserve"/>
        </x:is>
      </x:c>
      <x:c r="Q121" s="5" t="inlineStr">
        <x:is>
          <x:t xml:space="preserve"/>
        </x:is>
      </x:c>
      <x:c r="R121" s="5">
        <x:f>IF(OR(F121="",G121=""),"",IF(F121&gt;=0.95*G121,1,0))</x:f>
      </x:c>
      <x:c r="S121" s="7">
        <x:f>IFERROR((I121+J121+K121)/F121,"")</x:f>
      </x:c>
      <x:c r="T121" s="5">
        <x:f>IFERROR(I121+J121+K121,"")</x:f>
        <x:v>0</x:v>
      </x:c>
    </x:row>
    <x:row r="122" ht="22" customHeight="1">
      <x:c r="A122" s="5" t="inlineStr">
        <x:is>
          <x:t xml:space="preserve">P010</x:t>
        </x:is>
      </x:c>
      <x:c r="B122" s="5" t="inlineStr">
        <x:is>
          <x:t xml:space="preserve">10</x:t>
        </x:is>
      </x:c>
      <x:c r="C122" s="5" t="inlineStr">
        <x:is>
          <x:t xml:space="preserve">V08_calendar_system</x:t>
        </x:is>
      </x:c>
      <x:c r="D122" s="5" t="inlineStr">
        <x:is>
          <x:t xml:space="preserve">full_transcript</x:t>
        </x:is>
      </x:c>
      <x:c r="E122" s="5" t="inlineStr">
        <x:is>
          <x:t xml:space="preserve">muted</x:t>
        </x:is>
      </x:c>
      <x:c r="F122" s="6" t="inlineStr">
        <x:is>
          <x:t xml:space="preserve"/>
        </x:is>
      </x:c>
      <x:c r="G122" s="6" t="inlineStr">
        <x:is>
          <x:t xml:space="preserve">6</x:t>
        </x:is>
      </x:c>
      <x:c r="H122" s="5" t="inlineStr">
        <x:is>
          <x:t xml:space="preserve"/>
        </x:is>
      </x:c>
      <x:c r="I122" s="5" t="inlineStr">
        <x:is>
          <x:t xml:space="preserve"/>
        </x:is>
      </x:c>
      <x:c r="J122" s="5" t="inlineStr">
        <x:is>
          <x:t xml:space="preserve"/>
        </x:is>
      </x:c>
      <x:c r="K122" s="5" t="inlineStr">
        <x:is>
          <x:t xml:space="preserve"/>
        </x:is>
      </x:c>
      <x:c r="L122" s="5" t="inlineStr">
        <x:is>
          <x:t xml:space="preserve"/>
        </x:is>
      </x:c>
      <x:c r="M122" s="5" t="inlineStr">
        <x:is>
          <x:t xml:space="preserve"/>
        </x:is>
      </x:c>
      <x:c r="N122" s="5" t="inlineStr">
        <x:is>
          <x:t xml:space="preserve"/>
        </x:is>
      </x:c>
      <x:c r="O122" s="5" t="inlineStr">
        <x:is>
          <x:t xml:space="preserve"/>
        </x:is>
      </x:c>
      <x:c r="P122" s="5" t="inlineStr">
        <x:is>
          <x:t xml:space="preserve"/>
        </x:is>
      </x:c>
      <x:c r="Q122" s="5" t="inlineStr">
        <x:is>
          <x:t xml:space="preserve"/>
        </x:is>
      </x:c>
      <x:c r="R122" s="5">
        <x:f>IF(OR(F122="",G122=""),"",IF(F122&gt;=0.95*G122,1,0))</x:f>
      </x:c>
      <x:c r="S122" s="7">
        <x:f>IFERROR((I122+J122+K122)/F122,"")</x:f>
      </x:c>
      <x:c r="T122" s="5">
        <x:f>IFERROR(I122+J122+K122,"")</x:f>
        <x:v>0</x:v>
      </x:c>
    </x:row>
    <x:row r="123" ht="22" customHeight="1">
      <x:c r="A123" s="5" t="inlineStr">
        <x:is>
          <x:t xml:space="preserve">P010</x:t>
        </x:is>
      </x:c>
      <x:c r="B123" s="5" t="inlineStr">
        <x:is>
          <x:t xml:space="preserve">11</x:t>
        </x:is>
      </x:c>
      <x:c r="C123" s="5" t="inlineStr">
        <x:is>
          <x:t xml:space="preserve">V04_money_visibility</x:t>
        </x:is>
      </x:c>
      <x:c r="D123" s="5" t="inlineStr">
        <x:is>
          <x:t xml:space="preserve">keyword_highlight</x:t>
        </x:is>
      </x:c>
      <x:c r="E123" s="5" t="inlineStr">
        <x:is>
          <x:t xml:space="preserve">audio_on</x:t>
        </x:is>
      </x:c>
      <x:c r="F123" s="6" t="inlineStr">
        <x:is>
          <x:t xml:space="preserve"/>
        </x:is>
      </x:c>
      <x:c r="G123" s="6" t="inlineStr">
        <x:is>
          <x:t xml:space="preserve">6</x:t>
        </x:is>
      </x:c>
      <x:c r="H123" s="5" t="inlineStr">
        <x:is>
          <x:t xml:space="preserve"/>
        </x:is>
      </x:c>
      <x:c r="I123" s="5" t="inlineStr">
        <x:is>
          <x:t xml:space="preserve"/>
        </x:is>
      </x:c>
      <x:c r="J123" s="5" t="inlineStr">
        <x:is>
          <x:t xml:space="preserve"/>
        </x:is>
      </x:c>
      <x:c r="K123" s="5" t="inlineStr">
        <x:is>
          <x:t xml:space="preserve"/>
        </x:is>
      </x:c>
      <x:c r="L123" s="5" t="inlineStr">
        <x:is>
          <x:t xml:space="preserve"/>
        </x:is>
      </x:c>
      <x:c r="M123" s="5" t="inlineStr">
        <x:is>
          <x:t xml:space="preserve"/>
        </x:is>
      </x:c>
      <x:c r="N123" s="5" t="inlineStr">
        <x:is>
          <x:t xml:space="preserve"/>
        </x:is>
      </x:c>
      <x:c r="O123" s="5" t="inlineStr">
        <x:is>
          <x:t xml:space="preserve"/>
        </x:is>
      </x:c>
      <x:c r="P123" s="5" t="inlineStr">
        <x:is>
          <x:t xml:space="preserve"/>
        </x:is>
      </x:c>
      <x:c r="Q123" s="5" t="inlineStr">
        <x:is>
          <x:t xml:space="preserve"/>
        </x:is>
      </x:c>
      <x:c r="R123" s="5">
        <x:f>IF(OR(F123="",G123=""),"",IF(F123&gt;=0.95*G123,1,0))</x:f>
      </x:c>
      <x:c r="S123" s="7">
        <x:f>IFERROR((I123+J123+K123)/F123,"")</x:f>
      </x:c>
      <x:c r="T123" s="5">
        <x:f>IFERROR(I123+J123+K123,"")</x:f>
        <x:v>0</x:v>
      </x:c>
    </x:row>
    <x:row r="124" ht="22" customHeight="1">
      <x:c r="A124" s="5" t="inlineStr">
        <x:is>
          <x:t xml:space="preserve">P010</x:t>
        </x:is>
      </x:c>
      <x:c r="B124" s="5" t="inlineStr">
        <x:is>
          <x:t xml:space="preserve">12</x:t>
        </x:is>
      </x:c>
      <x:c r="C124" s="5" t="inlineStr">
        <x:is>
          <x:t xml:space="preserve">V05_coding_assumptions</x:t>
        </x:is>
      </x:c>
      <x:c r="D124" s="5" t="inlineStr">
        <x:is>
          <x:t xml:space="preserve">semantic_compression</x:t>
        </x:is>
      </x:c>
      <x:c r="E124" s="5" t="inlineStr">
        <x:is>
          <x:t xml:space="preserve">muted</x:t>
        </x:is>
      </x:c>
      <x:c r="F124" s="6" t="inlineStr">
        <x:is>
          <x:t xml:space="preserve"/>
        </x:is>
      </x:c>
      <x:c r="G124" s="6" t="inlineStr">
        <x:is>
          <x:t xml:space="preserve">6</x:t>
        </x:is>
      </x:c>
      <x:c r="H124" s="5" t="inlineStr">
        <x:is>
          <x:t xml:space="preserve"/>
        </x:is>
      </x:c>
      <x:c r="I124" s="5" t="inlineStr">
        <x:is>
          <x:t xml:space="preserve"/>
        </x:is>
      </x:c>
      <x:c r="J124" s="5" t="inlineStr">
        <x:is>
          <x:t xml:space="preserve"/>
        </x:is>
      </x:c>
      <x:c r="K124" s="5" t="inlineStr">
        <x:is>
          <x:t xml:space="preserve"/>
        </x:is>
      </x:c>
      <x:c r="L124" s="5" t="inlineStr">
        <x:is>
          <x:t xml:space="preserve"/>
        </x:is>
      </x:c>
      <x:c r="M124" s="5" t="inlineStr">
        <x:is>
          <x:t xml:space="preserve"/>
        </x:is>
      </x:c>
      <x:c r="N124" s="5" t="inlineStr">
        <x:is>
          <x:t xml:space="preserve"/>
        </x:is>
      </x:c>
      <x:c r="O124" s="5" t="inlineStr">
        <x:is>
          <x:t xml:space="preserve"/>
        </x:is>
      </x:c>
      <x:c r="P124" s="5" t="inlineStr">
        <x:is>
          <x:t xml:space="preserve"/>
        </x:is>
      </x:c>
      <x:c r="Q124" s="5" t="inlineStr">
        <x:is>
          <x:t xml:space="preserve"/>
        </x:is>
      </x:c>
      <x:c r="R124" s="5">
        <x:f>IF(OR(F124="",G124=""),"",IF(F124&gt;=0.95*G124,1,0))</x:f>
      </x:c>
      <x:c r="S124" s="7">
        <x:f>IFERROR((I124+J124+K124)/F124,"")</x:f>
      </x:c>
      <x:c r="T124" s="5">
        <x:f>IFERROR(I124+J124+K124,"")</x:f>
        <x:v>0</x:v>
      </x:c>
    </x:row>
    <x:row r="125" ht="22" customHeight="1">
      <x:c r="A125" s="5" t="inlineStr">
        <x:is>
          <x:t xml:space="preserve">P011</x:t>
        </x:is>
      </x:c>
      <x:c r="B125" s="5" t="inlineStr">
        <x:is>
          <x:t xml:space="preserve">1</x:t>
        </x:is>
      </x:c>
      <x:c r="C125" s="5" t="inlineStr">
        <x:is>
          <x:t xml:space="preserve">V11_story_burnout</x:t>
        </x:is>
      </x:c>
      <x:c r="D125" s="5" t="inlineStr">
        <x:is>
          <x:t xml:space="preserve">bcc_plus</x:t>
        </x:is>
      </x:c>
      <x:c r="E125" s="5" t="inlineStr">
        <x:is>
          <x:t xml:space="preserve">muted</x:t>
        </x:is>
      </x:c>
      <x:c r="F125" s="6" t="inlineStr">
        <x:is>
          <x:t xml:space="preserve"/>
        </x:is>
      </x:c>
      <x:c r="G125" s="6" t="inlineStr">
        <x:is>
          <x:t xml:space="preserve">6</x:t>
        </x:is>
      </x:c>
      <x:c r="H125" s="5" t="inlineStr">
        <x:is>
          <x:t xml:space="preserve"/>
        </x:is>
      </x:c>
      <x:c r="I125" s="5" t="inlineStr">
        <x:is>
          <x:t xml:space="preserve"/>
        </x:is>
      </x:c>
      <x:c r="J125" s="5" t="inlineStr">
        <x:is>
          <x:t xml:space="preserve"/>
        </x:is>
      </x:c>
      <x:c r="K125" s="5" t="inlineStr">
        <x:is>
          <x:t xml:space="preserve"/>
        </x:is>
      </x:c>
      <x:c r="L125" s="5" t="inlineStr">
        <x:is>
          <x:t xml:space="preserve"/>
        </x:is>
      </x:c>
      <x:c r="M125" s="5" t="inlineStr">
        <x:is>
          <x:t xml:space="preserve"/>
        </x:is>
      </x:c>
      <x:c r="N125" s="5" t="inlineStr">
        <x:is>
          <x:t xml:space="preserve"/>
        </x:is>
      </x:c>
      <x:c r="O125" s="5" t="inlineStr">
        <x:is>
          <x:t xml:space="preserve"/>
        </x:is>
      </x:c>
      <x:c r="P125" s="5" t="inlineStr">
        <x:is>
          <x:t xml:space="preserve"/>
        </x:is>
      </x:c>
      <x:c r="Q125" s="5" t="inlineStr">
        <x:is>
          <x:t xml:space="preserve"/>
        </x:is>
      </x:c>
      <x:c r="R125" s="5">
        <x:f>IF(OR(F125="",G125=""),"",IF(F125&gt;=0.95*G125,1,0))</x:f>
      </x:c>
      <x:c r="S125" s="7">
        <x:f>IFERROR((I125+J125+K125)/F125,"")</x:f>
      </x:c>
      <x:c r="T125" s="5">
        <x:f>IFERROR(I125+J125+K125,"")</x:f>
        <x:v>0</x:v>
      </x:c>
    </x:row>
    <x:row r="126" ht="22" customHeight="1">
      <x:c r="A126" s="5" t="inlineStr">
        <x:is>
          <x:t xml:space="preserve">P011</x:t>
        </x:is>
      </x:c>
      <x:c r="B126" s="5" t="inlineStr">
        <x:is>
          <x:t xml:space="preserve">2</x:t>
        </x:is>
      </x:c>
      <x:c r="C126" s="5" t="inlineStr">
        <x:is>
          <x:t xml:space="preserve">V02_study_recall</x:t>
        </x:is>
      </x:c>
      <x:c r="D126" s="5" t="inlineStr">
        <x:is>
          <x:t xml:space="preserve">heavy_bionic</x:t>
        </x:is>
      </x:c>
      <x:c r="E126" s="5" t="inlineStr">
        <x:is>
          <x:t xml:space="preserve">audio_on</x:t>
        </x:is>
      </x:c>
      <x:c r="F126" s="6" t="inlineStr">
        <x:is>
          <x:t xml:space="preserve"/>
        </x:is>
      </x:c>
      <x:c r="G126" s="6" t="inlineStr">
        <x:is>
          <x:t xml:space="preserve">6</x:t>
        </x:is>
      </x:c>
      <x:c r="H126" s="5" t="inlineStr">
        <x:is>
          <x:t xml:space="preserve"/>
        </x:is>
      </x:c>
      <x:c r="I126" s="5" t="inlineStr">
        <x:is>
          <x:t xml:space="preserve"/>
        </x:is>
      </x:c>
      <x:c r="J126" s="5" t="inlineStr">
        <x:is>
          <x:t xml:space="preserve"/>
        </x:is>
      </x:c>
      <x:c r="K126" s="5" t="inlineStr">
        <x:is>
          <x:t xml:space="preserve"/>
        </x:is>
      </x:c>
      <x:c r="L126" s="5" t="inlineStr">
        <x:is>
          <x:t xml:space="preserve"/>
        </x:is>
      </x:c>
      <x:c r="M126" s="5" t="inlineStr">
        <x:is>
          <x:t xml:space="preserve"/>
        </x:is>
      </x:c>
      <x:c r="N126" s="5" t="inlineStr">
        <x:is>
          <x:t xml:space="preserve"/>
        </x:is>
      </x:c>
      <x:c r="O126" s="5" t="inlineStr">
        <x:is>
          <x:t xml:space="preserve"/>
        </x:is>
      </x:c>
      <x:c r="P126" s="5" t="inlineStr">
        <x:is>
          <x:t xml:space="preserve"/>
        </x:is>
      </x:c>
      <x:c r="Q126" s="5" t="inlineStr">
        <x:is>
          <x:t xml:space="preserve"/>
        </x:is>
      </x:c>
      <x:c r="R126" s="5">
        <x:f>IF(OR(F126="",G126=""),"",IF(F126&gt;=0.95*G126,1,0))</x:f>
      </x:c>
      <x:c r="S126" s="7">
        <x:f>IFERROR((I126+J126+K126)/F126,"")</x:f>
      </x:c>
      <x:c r="T126" s="5">
        <x:f>IFERROR(I126+J126+K126,"")</x:f>
        <x:v>0</x:v>
      </x:c>
    </x:row>
    <x:row r="127" ht="22" customHeight="1">
      <x:c r="A127" s="5" t="inlineStr">
        <x:is>
          <x:t xml:space="preserve">P011</x:t>
        </x:is>
      </x:c>
      <x:c r="B127" s="5" t="inlineStr">
        <x:is>
          <x:t xml:space="preserve">3</x:t>
        </x:is>
      </x:c>
      <x:c r="C127" s="5" t="inlineStr">
        <x:is>
          <x:t xml:space="preserve">V09_nutrition_satiety</x:t>
        </x:is>
      </x:c>
      <x:c r="D127" s="5" t="inlineStr">
        <x:is>
          <x:t xml:space="preserve">full_transcript</x:t>
        </x:is>
      </x:c>
      <x:c r="E127" s="5" t="inlineStr">
        <x:is>
          <x:t xml:space="preserve">muted</x:t>
        </x:is>
      </x:c>
      <x:c r="F127" s="6" t="inlineStr">
        <x:is>
          <x:t xml:space="preserve"/>
        </x:is>
      </x:c>
      <x:c r="G127" s="6" t="inlineStr">
        <x:is>
          <x:t xml:space="preserve">6</x:t>
        </x:is>
      </x:c>
      <x:c r="H127" s="5" t="inlineStr">
        <x:is>
          <x:t xml:space="preserve"/>
        </x:is>
      </x:c>
      <x:c r="I127" s="5" t="inlineStr">
        <x:is>
          <x:t xml:space="preserve"/>
        </x:is>
      </x:c>
      <x:c r="J127" s="5" t="inlineStr">
        <x:is>
          <x:t xml:space="preserve"/>
        </x:is>
      </x:c>
      <x:c r="K127" s="5" t="inlineStr">
        <x:is>
          <x:t xml:space="preserve"/>
        </x:is>
      </x:c>
      <x:c r="L127" s="5" t="inlineStr">
        <x:is>
          <x:t xml:space="preserve"/>
        </x:is>
      </x:c>
      <x:c r="M127" s="5" t="inlineStr">
        <x:is>
          <x:t xml:space="preserve"/>
        </x:is>
      </x:c>
      <x:c r="N127" s="5" t="inlineStr">
        <x:is>
          <x:t xml:space="preserve"/>
        </x:is>
      </x:c>
      <x:c r="O127" s="5" t="inlineStr">
        <x:is>
          <x:t xml:space="preserve"/>
        </x:is>
      </x:c>
      <x:c r="P127" s="5" t="inlineStr">
        <x:is>
          <x:t xml:space="preserve"/>
        </x:is>
      </x:c>
      <x:c r="Q127" s="5" t="inlineStr">
        <x:is>
          <x:t xml:space="preserve"/>
        </x:is>
      </x:c>
      <x:c r="R127" s="5">
        <x:f>IF(OR(F127="",G127=""),"",IF(F127&gt;=0.95*G127,1,0))</x:f>
      </x:c>
      <x:c r="S127" s="7">
        <x:f>IFERROR((I127+J127+K127)/F127,"")</x:f>
      </x:c>
      <x:c r="T127" s="5">
        <x:f>IFERROR(I127+J127+K127,"")</x:f>
        <x:v>0</x:v>
      </x:c>
    </x:row>
    <x:row r="128" ht="22" customHeight="1">
      <x:c r="A128" s="5" t="inlineStr">
        <x:is>
          <x:t xml:space="preserve">P011</x:t>
        </x:is>
      </x:c>
      <x:c r="B128" s="5" t="inlineStr">
        <x:is>
          <x:t xml:space="preserve">4</x:t>
        </x:is>
      </x:c>
      <x:c r="C128" s="5" t="inlineStr">
        <x:is>
          <x:t xml:space="preserve">V01_productivity_friction</x:t>
        </x:is>
      </x:c>
      <x:c r="D128" s="5" t="inlineStr">
        <x:is>
          <x:t xml:space="preserve">keyword_highlight</x:t>
        </x:is>
      </x:c>
      <x:c r="E128" s="5" t="inlineStr">
        <x:is>
          <x:t xml:space="preserve">audio_on</x:t>
        </x:is>
      </x:c>
      <x:c r="F128" s="6" t="inlineStr">
        <x:is>
          <x:t xml:space="preserve"/>
        </x:is>
      </x:c>
      <x:c r="G128" s="6" t="inlineStr">
        <x:is>
          <x:t xml:space="preserve">6</x:t>
        </x:is>
      </x:c>
      <x:c r="H128" s="5" t="inlineStr">
        <x:is>
          <x:t xml:space="preserve"/>
        </x:is>
      </x:c>
      <x:c r="I128" s="5" t="inlineStr">
        <x:is>
          <x:t xml:space="preserve"/>
        </x:is>
      </x:c>
      <x:c r="J128" s="5" t="inlineStr">
        <x:is>
          <x:t xml:space="preserve"/>
        </x:is>
      </x:c>
      <x:c r="K128" s="5" t="inlineStr">
        <x:is>
          <x:t xml:space="preserve"/>
        </x:is>
      </x:c>
      <x:c r="L128" s="5" t="inlineStr">
        <x:is>
          <x:t xml:space="preserve"/>
        </x:is>
      </x:c>
      <x:c r="M128" s="5" t="inlineStr">
        <x:is>
          <x:t xml:space="preserve"/>
        </x:is>
      </x:c>
      <x:c r="N128" s="5" t="inlineStr">
        <x:is>
          <x:t xml:space="preserve"/>
        </x:is>
      </x:c>
      <x:c r="O128" s="5" t="inlineStr">
        <x:is>
          <x:t xml:space="preserve"/>
        </x:is>
      </x:c>
      <x:c r="P128" s="5" t="inlineStr">
        <x:is>
          <x:t xml:space="preserve"/>
        </x:is>
      </x:c>
      <x:c r="Q128" s="5" t="inlineStr">
        <x:is>
          <x:t xml:space="preserve"/>
        </x:is>
      </x:c>
      <x:c r="R128" s="5">
        <x:f>IF(OR(F128="",G128=""),"",IF(F128&gt;=0.95*G128,1,0))</x:f>
      </x:c>
      <x:c r="S128" s="7">
        <x:f>IFERROR((I128+J128+K128)/F128,"")</x:f>
      </x:c>
      <x:c r="T128" s="5">
        <x:f>IFERROR(I128+J128+K128,"")</x:f>
        <x:v>0</x:v>
      </x:c>
    </x:row>
    <x:row r="129" ht="22" customHeight="1">
      <x:c r="A129" s="5" t="inlineStr">
        <x:is>
          <x:t xml:space="preserve">P011</x:t>
        </x:is>
      </x:c>
      <x:c r="B129" s="5" t="inlineStr">
        <x:is>
          <x:t xml:space="preserve">5</x:t>
        </x:is>
      </x:c>
      <x:c r="C129" s="5" t="inlineStr">
        <x:is>
          <x:t xml:space="preserve">V05_coding_assumptions</x:t>
        </x:is>
      </x:c>
      <x:c r="D129" s="5" t="inlineStr">
        <x:is>
          <x:t xml:space="preserve">semantic_compression</x:t>
        </x:is>
      </x:c>
      <x:c r="E129" s="5" t="inlineStr">
        <x:is>
          <x:t xml:space="preserve">muted</x:t>
        </x:is>
      </x:c>
      <x:c r="F129" s="6" t="inlineStr">
        <x:is>
          <x:t xml:space="preserve"/>
        </x:is>
      </x:c>
      <x:c r="G129" s="6" t="inlineStr">
        <x:is>
          <x:t xml:space="preserve">6</x:t>
        </x:is>
      </x:c>
      <x:c r="H129" s="5" t="inlineStr">
        <x:is>
          <x:t xml:space="preserve"/>
        </x:is>
      </x:c>
      <x:c r="I129" s="5" t="inlineStr">
        <x:is>
          <x:t xml:space="preserve"/>
        </x:is>
      </x:c>
      <x:c r="J129" s="5" t="inlineStr">
        <x:is>
          <x:t xml:space="preserve"/>
        </x:is>
      </x:c>
      <x:c r="K129" s="5" t="inlineStr">
        <x:is>
          <x:t xml:space="preserve"/>
        </x:is>
      </x:c>
      <x:c r="L129" s="5" t="inlineStr">
        <x:is>
          <x:t xml:space="preserve"/>
        </x:is>
      </x:c>
      <x:c r="M129" s="5" t="inlineStr">
        <x:is>
          <x:t xml:space="preserve"/>
        </x:is>
      </x:c>
      <x:c r="N129" s="5" t="inlineStr">
        <x:is>
          <x:t xml:space="preserve"/>
        </x:is>
      </x:c>
      <x:c r="O129" s="5" t="inlineStr">
        <x:is>
          <x:t xml:space="preserve"/>
        </x:is>
      </x:c>
      <x:c r="P129" s="5" t="inlineStr">
        <x:is>
          <x:t xml:space="preserve"/>
        </x:is>
      </x:c>
      <x:c r="Q129" s="5" t="inlineStr">
        <x:is>
          <x:t xml:space="preserve"/>
        </x:is>
      </x:c>
      <x:c r="R129" s="5">
        <x:f>IF(OR(F129="",G129=""),"",IF(F129&gt;=0.95*G129,1,0))</x:f>
      </x:c>
      <x:c r="S129" s="7">
        <x:f>IFERROR((I129+J129+K129)/F129,"")</x:f>
      </x:c>
      <x:c r="T129" s="5">
        <x:f>IFERROR(I129+J129+K129,"")</x:f>
        <x:v>0</x:v>
      </x:c>
    </x:row>
    <x:row r="130" ht="22" customHeight="1">
      <x:c r="A130" s="5" t="inlineStr">
        <x:is>
          <x:t xml:space="preserve">P011</x:t>
        </x:is>
      </x:c>
      <x:c r="B130" s="5" t="inlineStr">
        <x:is>
          <x:t xml:space="preserve">6</x:t>
        </x:is>
      </x:c>
      <x:c r="C130" s="5" t="inlineStr">
        <x:is>
          <x:t xml:space="preserve">V03_fitness_setup</x:t>
        </x:is>
      </x:c>
      <x:c r="D130" s="5" t="inlineStr">
        <x:is>
          <x:t xml:space="preserve">bcc</x:t>
        </x:is>
      </x:c>
      <x:c r="E130" s="5" t="inlineStr">
        <x:is>
          <x:t xml:space="preserve">audio_on</x:t>
        </x:is>
      </x:c>
      <x:c r="F130" s="6" t="inlineStr">
        <x:is>
          <x:t xml:space="preserve"/>
        </x:is>
      </x:c>
      <x:c r="G130" s="6" t="inlineStr">
        <x:is>
          <x:t xml:space="preserve">6</x:t>
        </x:is>
      </x:c>
      <x:c r="H130" s="5" t="inlineStr">
        <x:is>
          <x:t xml:space="preserve"/>
        </x:is>
      </x:c>
      <x:c r="I130" s="5" t="inlineStr">
        <x:is>
          <x:t xml:space="preserve"/>
        </x:is>
      </x:c>
      <x:c r="J130" s="5" t="inlineStr">
        <x:is>
          <x:t xml:space="preserve"/>
        </x:is>
      </x:c>
      <x:c r="K130" s="5" t="inlineStr">
        <x:is>
          <x:t xml:space="preserve"/>
        </x:is>
      </x:c>
      <x:c r="L130" s="5" t="inlineStr">
        <x:is>
          <x:t xml:space="preserve"/>
        </x:is>
      </x:c>
      <x:c r="M130" s="5" t="inlineStr">
        <x:is>
          <x:t xml:space="preserve"/>
        </x:is>
      </x:c>
      <x:c r="N130" s="5" t="inlineStr">
        <x:is>
          <x:t xml:space="preserve"/>
        </x:is>
      </x:c>
      <x:c r="O130" s="5" t="inlineStr">
        <x:is>
          <x:t xml:space="preserve"/>
        </x:is>
      </x:c>
      <x:c r="P130" s="5" t="inlineStr">
        <x:is>
          <x:t xml:space="preserve"/>
        </x:is>
      </x:c>
      <x:c r="Q130" s="5" t="inlineStr">
        <x:is>
          <x:t xml:space="preserve"/>
        </x:is>
      </x:c>
      <x:c r="R130" s="5">
        <x:f>IF(OR(F130="",G130=""),"",IF(F130&gt;=0.95*G130,1,0))</x:f>
      </x:c>
      <x:c r="S130" s="7">
        <x:f>IFERROR((I130+J130+K130)/F130,"")</x:f>
      </x:c>
      <x:c r="T130" s="5">
        <x:f>IFERROR(I130+J130+K130,"")</x:f>
        <x:v>0</x:v>
      </x:c>
    </x:row>
    <x:row r="131" ht="22" customHeight="1">
      <x:c r="A131" s="5" t="inlineStr">
        <x:is>
          <x:t xml:space="preserve">P011</x:t>
        </x:is>
      </x:c>
      <x:c r="B131" s="5" t="inlineStr">
        <x:is>
          <x:t xml:space="preserve">7</x:t>
        </x:is>
      </x:c>
      <x:c r="C131" s="5" t="inlineStr">
        <x:is>
          <x:t xml:space="preserve">V06_overload_open_loops</x:t>
        </x:is>
      </x:c>
      <x:c r="D131" s="5" t="inlineStr">
        <x:is>
          <x:t xml:space="preserve">bcc_plus</x:t>
        </x:is>
      </x:c>
      <x:c r="E131" s="5" t="inlineStr">
        <x:is>
          <x:t xml:space="preserve">muted</x:t>
        </x:is>
      </x:c>
      <x:c r="F131" s="6" t="inlineStr">
        <x:is>
          <x:t xml:space="preserve"/>
        </x:is>
      </x:c>
      <x:c r="G131" s="6" t="inlineStr">
        <x:is>
          <x:t xml:space="preserve">6</x:t>
        </x:is>
      </x:c>
      <x:c r="H131" s="5" t="inlineStr">
        <x:is>
          <x:t xml:space="preserve"/>
        </x:is>
      </x:c>
      <x:c r="I131" s="5" t="inlineStr">
        <x:is>
          <x:t xml:space="preserve"/>
        </x:is>
      </x:c>
      <x:c r="J131" s="5" t="inlineStr">
        <x:is>
          <x:t xml:space="preserve"/>
        </x:is>
      </x:c>
      <x:c r="K131" s="5" t="inlineStr">
        <x:is>
          <x:t xml:space="preserve"/>
        </x:is>
      </x:c>
      <x:c r="L131" s="5" t="inlineStr">
        <x:is>
          <x:t xml:space="preserve"/>
        </x:is>
      </x:c>
      <x:c r="M131" s="5" t="inlineStr">
        <x:is>
          <x:t xml:space="preserve"/>
        </x:is>
      </x:c>
      <x:c r="N131" s="5" t="inlineStr">
        <x:is>
          <x:t xml:space="preserve"/>
        </x:is>
      </x:c>
      <x:c r="O131" s="5" t="inlineStr">
        <x:is>
          <x:t xml:space="preserve"/>
        </x:is>
      </x:c>
      <x:c r="P131" s="5" t="inlineStr">
        <x:is>
          <x:t xml:space="preserve"/>
        </x:is>
      </x:c>
      <x:c r="Q131" s="5" t="inlineStr">
        <x:is>
          <x:t xml:space="preserve"/>
        </x:is>
      </x:c>
      <x:c r="R131" s="5">
        <x:f>IF(OR(F131="",G131=""),"",IF(F131&gt;=0.95*G131,1,0))</x:f>
      </x:c>
      <x:c r="S131" s="7">
        <x:f>IFERROR((I131+J131+K131)/F131,"")</x:f>
      </x:c>
      <x:c r="T131" s="5">
        <x:f>IFERROR(I131+J131+K131,"")</x:f>
        <x:v>0</x:v>
      </x:c>
    </x:row>
    <x:row r="132" ht="22" customHeight="1">
      <x:c r="A132" s="5" t="inlineStr">
        <x:is>
          <x:t xml:space="preserve">P011</x:t>
        </x:is>
      </x:c>
      <x:c r="B132" s="5" t="inlineStr">
        <x:is>
          <x:t xml:space="preserve">8</x:t>
        </x:is>
      </x:c>
      <x:c r="C132" s="5" t="inlineStr">
        <x:is>
          <x:t xml:space="preserve">V08_calendar_system</x:t>
        </x:is>
      </x:c>
      <x:c r="D132" s="5" t="inlineStr">
        <x:is>
          <x:t xml:space="preserve">heavy_bionic</x:t>
        </x:is>
      </x:c>
      <x:c r="E132" s="5" t="inlineStr">
        <x:is>
          <x:t xml:space="preserve">audio_on</x:t>
        </x:is>
      </x:c>
      <x:c r="F132" s="6" t="inlineStr">
        <x:is>
          <x:t xml:space="preserve"/>
        </x:is>
      </x:c>
      <x:c r="G132" s="6" t="inlineStr">
        <x:is>
          <x:t xml:space="preserve">6</x:t>
        </x:is>
      </x:c>
      <x:c r="H132" s="5" t="inlineStr">
        <x:is>
          <x:t xml:space="preserve"/>
        </x:is>
      </x:c>
      <x:c r="I132" s="5" t="inlineStr">
        <x:is>
          <x:t xml:space="preserve"/>
        </x:is>
      </x:c>
      <x:c r="J132" s="5" t="inlineStr">
        <x:is>
          <x:t xml:space="preserve"/>
        </x:is>
      </x:c>
      <x:c r="K132" s="5" t="inlineStr">
        <x:is>
          <x:t xml:space="preserve"/>
        </x:is>
      </x:c>
      <x:c r="L132" s="5" t="inlineStr">
        <x:is>
          <x:t xml:space="preserve"/>
        </x:is>
      </x:c>
      <x:c r="M132" s="5" t="inlineStr">
        <x:is>
          <x:t xml:space="preserve"/>
        </x:is>
      </x:c>
      <x:c r="N132" s="5" t="inlineStr">
        <x:is>
          <x:t xml:space="preserve"/>
        </x:is>
      </x:c>
      <x:c r="O132" s="5" t="inlineStr">
        <x:is>
          <x:t xml:space="preserve"/>
        </x:is>
      </x:c>
      <x:c r="P132" s="5" t="inlineStr">
        <x:is>
          <x:t xml:space="preserve"/>
        </x:is>
      </x:c>
      <x:c r="Q132" s="5" t="inlineStr">
        <x:is>
          <x:t xml:space="preserve"/>
        </x:is>
      </x:c>
      <x:c r="R132" s="5">
        <x:f>IF(OR(F132="",G132=""),"",IF(F132&gt;=0.95*G132,1,0))</x:f>
      </x:c>
      <x:c r="S132" s="7">
        <x:f>IFERROR((I132+J132+K132)/F132,"")</x:f>
      </x:c>
      <x:c r="T132" s="5">
        <x:f>IFERROR(I132+J132+K132,"")</x:f>
        <x:v>0</x:v>
      </x:c>
    </x:row>
    <x:row r="133" ht="22" customHeight="1">
      <x:c r="A133" s="5" t="inlineStr">
        <x:is>
          <x:t xml:space="preserve">P011</x:t>
        </x:is>
      </x:c>
      <x:c r="B133" s="5" t="inlineStr">
        <x:is>
          <x:t xml:space="preserve">9</x:t>
        </x:is>
      </x:c>
      <x:c r="C133" s="5" t="inlineStr">
        <x:is>
          <x:t xml:space="preserve">V12_creativity_constraints</x:t>
        </x:is>
      </x:c>
      <x:c r="D133" s="5" t="inlineStr">
        <x:is>
          <x:t xml:space="preserve">full_transcript</x:t>
        </x:is>
      </x:c>
      <x:c r="E133" s="5" t="inlineStr">
        <x:is>
          <x:t xml:space="preserve">muted</x:t>
        </x:is>
      </x:c>
      <x:c r="F133" s="6" t="inlineStr">
        <x:is>
          <x:t xml:space="preserve"/>
        </x:is>
      </x:c>
      <x:c r="G133" s="6" t="inlineStr">
        <x:is>
          <x:t xml:space="preserve">6</x:t>
        </x:is>
      </x:c>
      <x:c r="H133" s="5" t="inlineStr">
        <x:is>
          <x:t xml:space="preserve"/>
        </x:is>
      </x:c>
      <x:c r="I133" s="5" t="inlineStr">
        <x:is>
          <x:t xml:space="preserve"/>
        </x:is>
      </x:c>
      <x:c r="J133" s="5" t="inlineStr">
        <x:is>
          <x:t xml:space="preserve"/>
        </x:is>
      </x:c>
      <x:c r="K133" s="5" t="inlineStr">
        <x:is>
          <x:t xml:space="preserve"/>
        </x:is>
      </x:c>
      <x:c r="L133" s="5" t="inlineStr">
        <x:is>
          <x:t xml:space="preserve"/>
        </x:is>
      </x:c>
      <x:c r="M133" s="5" t="inlineStr">
        <x:is>
          <x:t xml:space="preserve"/>
        </x:is>
      </x:c>
      <x:c r="N133" s="5" t="inlineStr">
        <x:is>
          <x:t xml:space="preserve"/>
        </x:is>
      </x:c>
      <x:c r="O133" s="5" t="inlineStr">
        <x:is>
          <x:t xml:space="preserve"/>
        </x:is>
      </x:c>
      <x:c r="P133" s="5" t="inlineStr">
        <x:is>
          <x:t xml:space="preserve"/>
        </x:is>
      </x:c>
      <x:c r="Q133" s="5" t="inlineStr">
        <x:is>
          <x:t xml:space="preserve"/>
        </x:is>
      </x:c>
      <x:c r="R133" s="5">
        <x:f>IF(OR(F133="",G133=""),"",IF(F133&gt;=0.95*G133,1,0))</x:f>
      </x:c>
      <x:c r="S133" s="7">
        <x:f>IFERROR((I133+J133+K133)/F133,"")</x:f>
      </x:c>
      <x:c r="T133" s="5">
        <x:f>IFERROR(I133+J133+K133,"")</x:f>
        <x:v>0</x:v>
      </x:c>
    </x:row>
    <x:row r="134" ht="22" customHeight="1">
      <x:c r="A134" s="5" t="inlineStr">
        <x:is>
          <x:t xml:space="preserve">P011</x:t>
        </x:is>
      </x:c>
      <x:c r="B134" s="5" t="inlineStr">
        <x:is>
          <x:t xml:space="preserve">10</x:t>
        </x:is>
      </x:c>
      <x:c r="C134" s="5" t="inlineStr">
        <x:is>
          <x:t xml:space="preserve">V04_money_visibility</x:t>
        </x:is>
      </x:c>
      <x:c r="D134" s="5" t="inlineStr">
        <x:is>
          <x:t xml:space="preserve">keyword_highlight</x:t>
        </x:is>
      </x:c>
      <x:c r="E134" s="5" t="inlineStr">
        <x:is>
          <x:t xml:space="preserve">audio_on</x:t>
        </x:is>
      </x:c>
      <x:c r="F134" s="6" t="inlineStr">
        <x:is>
          <x:t xml:space="preserve"/>
        </x:is>
      </x:c>
      <x:c r="G134" s="6" t="inlineStr">
        <x:is>
          <x:t xml:space="preserve">6</x:t>
        </x:is>
      </x:c>
      <x:c r="H134" s="5" t="inlineStr">
        <x:is>
          <x:t xml:space="preserve"/>
        </x:is>
      </x:c>
      <x:c r="I134" s="5" t="inlineStr">
        <x:is>
          <x:t xml:space="preserve"/>
        </x:is>
      </x:c>
      <x:c r="J134" s="5" t="inlineStr">
        <x:is>
          <x:t xml:space="preserve"/>
        </x:is>
      </x:c>
      <x:c r="K134" s="5" t="inlineStr">
        <x:is>
          <x:t xml:space="preserve"/>
        </x:is>
      </x:c>
      <x:c r="L134" s="5" t="inlineStr">
        <x:is>
          <x:t xml:space="preserve"/>
        </x:is>
      </x:c>
      <x:c r="M134" s="5" t="inlineStr">
        <x:is>
          <x:t xml:space="preserve"/>
        </x:is>
      </x:c>
      <x:c r="N134" s="5" t="inlineStr">
        <x:is>
          <x:t xml:space="preserve"/>
        </x:is>
      </x:c>
      <x:c r="O134" s="5" t="inlineStr">
        <x:is>
          <x:t xml:space="preserve"/>
        </x:is>
      </x:c>
      <x:c r="P134" s="5" t="inlineStr">
        <x:is>
          <x:t xml:space="preserve"/>
        </x:is>
      </x:c>
      <x:c r="Q134" s="5" t="inlineStr">
        <x:is>
          <x:t xml:space="preserve"/>
        </x:is>
      </x:c>
      <x:c r="R134" s="5">
        <x:f>IF(OR(F134="",G134=""),"",IF(F134&gt;=0.95*G134,1,0))</x:f>
      </x:c>
      <x:c r="S134" s="7">
        <x:f>IFERROR((I134+J134+K134)/F134,"")</x:f>
      </x:c>
      <x:c r="T134" s="5">
        <x:f>IFERROR(I134+J134+K134,"")</x:f>
        <x:v>0</x:v>
      </x:c>
    </x:row>
    <x:row r="135" ht="22" customHeight="1">
      <x:c r="A135" s="5" t="inlineStr">
        <x:is>
          <x:t xml:space="preserve">P011</x:t>
        </x:is>
      </x:c>
      <x:c r="B135" s="5" t="inlineStr">
        <x:is>
          <x:t xml:space="preserve">11</x:t>
        </x:is>
      </x:c>
      <x:c r="C135" s="5" t="inlineStr">
        <x:is>
          <x:t xml:space="preserve">V10_tutorial_ui</x:t>
        </x:is>
      </x:c>
      <x:c r="D135" s="5" t="inlineStr">
        <x:is>
          <x:t xml:space="preserve">semantic_compression</x:t>
        </x:is>
      </x:c>
      <x:c r="E135" s="5" t="inlineStr">
        <x:is>
          <x:t xml:space="preserve">muted</x:t>
        </x:is>
      </x:c>
      <x:c r="F135" s="6" t="inlineStr">
        <x:is>
          <x:t xml:space="preserve"/>
        </x:is>
      </x:c>
      <x:c r="G135" s="6" t="inlineStr">
        <x:is>
          <x:t xml:space="preserve">6</x:t>
        </x:is>
      </x:c>
      <x:c r="H135" s="5" t="inlineStr">
        <x:is>
          <x:t xml:space="preserve"/>
        </x:is>
      </x:c>
      <x:c r="I135" s="5" t="inlineStr">
        <x:is>
          <x:t xml:space="preserve"/>
        </x:is>
      </x:c>
      <x:c r="J135" s="5" t="inlineStr">
        <x:is>
          <x:t xml:space="preserve"/>
        </x:is>
      </x:c>
      <x:c r="K135" s="5" t="inlineStr">
        <x:is>
          <x:t xml:space="preserve"/>
        </x:is>
      </x:c>
      <x:c r="L135" s="5" t="inlineStr">
        <x:is>
          <x:t xml:space="preserve"/>
        </x:is>
      </x:c>
      <x:c r="M135" s="5" t="inlineStr">
        <x:is>
          <x:t xml:space="preserve"/>
        </x:is>
      </x:c>
      <x:c r="N135" s="5" t="inlineStr">
        <x:is>
          <x:t xml:space="preserve"/>
        </x:is>
      </x:c>
      <x:c r="O135" s="5" t="inlineStr">
        <x:is>
          <x:t xml:space="preserve"/>
        </x:is>
      </x:c>
      <x:c r="P135" s="5" t="inlineStr">
        <x:is>
          <x:t xml:space="preserve"/>
        </x:is>
      </x:c>
      <x:c r="Q135" s="5" t="inlineStr">
        <x:is>
          <x:t xml:space="preserve"/>
        </x:is>
      </x:c>
      <x:c r="R135" s="5">
        <x:f>IF(OR(F135="",G135=""),"",IF(F135&gt;=0.95*G135,1,0))</x:f>
      </x:c>
      <x:c r="S135" s="7">
        <x:f>IFERROR((I135+J135+K135)/F135,"")</x:f>
      </x:c>
      <x:c r="T135" s="5">
        <x:f>IFERROR(I135+J135+K135,"")</x:f>
        <x:v>0</x:v>
      </x:c>
    </x:row>
    <x:row r="136" ht="22" customHeight="1">
      <x:c r="A136" s="5" t="inlineStr">
        <x:is>
          <x:t xml:space="preserve">P011</x:t>
        </x:is>
      </x:c>
      <x:c r="B136" s="5" t="inlineStr">
        <x:is>
          <x:t xml:space="preserve">12</x:t>
        </x:is>
      </x:c>
      <x:c r="C136" s="5" t="inlineStr">
        <x:is>
          <x:t xml:space="preserve">V07_business_clarity</x:t>
        </x:is>
      </x:c>
      <x:c r="D136" s="5" t="inlineStr">
        <x:is>
          <x:t xml:space="preserve">bcc</x:t>
        </x:is>
      </x:c>
      <x:c r="E136" s="5" t="inlineStr">
        <x:is>
          <x:t xml:space="preserve">audio_on</x:t>
        </x:is>
      </x:c>
      <x:c r="F136" s="6" t="inlineStr">
        <x:is>
          <x:t xml:space="preserve"/>
        </x:is>
      </x:c>
      <x:c r="G136" s="6" t="inlineStr">
        <x:is>
          <x:t xml:space="preserve">6</x:t>
        </x:is>
      </x:c>
      <x:c r="H136" s="5" t="inlineStr">
        <x:is>
          <x:t xml:space="preserve"/>
        </x:is>
      </x:c>
      <x:c r="I136" s="5" t="inlineStr">
        <x:is>
          <x:t xml:space="preserve"/>
        </x:is>
      </x:c>
      <x:c r="J136" s="5" t="inlineStr">
        <x:is>
          <x:t xml:space="preserve"/>
        </x:is>
      </x:c>
      <x:c r="K136" s="5" t="inlineStr">
        <x:is>
          <x:t xml:space="preserve"/>
        </x:is>
      </x:c>
      <x:c r="L136" s="5" t="inlineStr">
        <x:is>
          <x:t xml:space="preserve"/>
        </x:is>
      </x:c>
      <x:c r="M136" s="5" t="inlineStr">
        <x:is>
          <x:t xml:space="preserve"/>
        </x:is>
      </x:c>
      <x:c r="N136" s="5" t="inlineStr">
        <x:is>
          <x:t xml:space="preserve"/>
        </x:is>
      </x:c>
      <x:c r="O136" s="5" t="inlineStr">
        <x:is>
          <x:t xml:space="preserve"/>
        </x:is>
      </x:c>
      <x:c r="P136" s="5" t="inlineStr">
        <x:is>
          <x:t xml:space="preserve"/>
        </x:is>
      </x:c>
      <x:c r="Q136" s="5" t="inlineStr">
        <x:is>
          <x:t xml:space="preserve"/>
        </x:is>
      </x:c>
      <x:c r="R136" s="5">
        <x:f>IF(OR(F136="",G136=""),"",IF(F136&gt;=0.95*G136,1,0))</x:f>
      </x:c>
      <x:c r="S136" s="7">
        <x:f>IFERROR((I136+J136+K136)/F136,"")</x:f>
      </x:c>
      <x:c r="T136" s="5">
        <x:f>IFERROR(I136+J136+K136,"")</x:f>
        <x:v>0</x:v>
      </x:c>
    </x:row>
    <x:row r="137" ht="22" customHeight="1">
      <x:c r="A137" s="5" t="inlineStr">
        <x:is>
          <x:t xml:space="preserve">P012</x:t>
        </x:is>
      </x:c>
      <x:c r="B137" s="5" t="inlineStr">
        <x:is>
          <x:t xml:space="preserve">1</x:t>
        </x:is>
      </x:c>
      <x:c r="C137" s="5" t="inlineStr">
        <x:is>
          <x:t xml:space="preserve">V01_productivity_friction</x:t>
        </x:is>
      </x:c>
      <x:c r="D137" s="5" t="inlineStr">
        <x:is>
          <x:t xml:space="preserve">heavy_bionic</x:t>
        </x:is>
      </x:c>
      <x:c r="E137" s="5" t="inlineStr">
        <x:is>
          <x:t xml:space="preserve">audio_on</x:t>
        </x:is>
      </x:c>
      <x:c r="F137" s="6" t="inlineStr">
        <x:is>
          <x:t xml:space="preserve"/>
        </x:is>
      </x:c>
      <x:c r="G137" s="6" t="inlineStr">
        <x:is>
          <x:t xml:space="preserve">6</x:t>
        </x:is>
      </x:c>
      <x:c r="H137" s="5" t="inlineStr">
        <x:is>
          <x:t xml:space="preserve"/>
        </x:is>
      </x:c>
      <x:c r="I137" s="5" t="inlineStr">
        <x:is>
          <x:t xml:space="preserve"/>
        </x:is>
      </x:c>
      <x:c r="J137" s="5" t="inlineStr">
        <x:is>
          <x:t xml:space="preserve"/>
        </x:is>
      </x:c>
      <x:c r="K137" s="5" t="inlineStr">
        <x:is>
          <x:t xml:space="preserve"/>
        </x:is>
      </x:c>
      <x:c r="L137" s="5" t="inlineStr">
        <x:is>
          <x:t xml:space="preserve"/>
        </x:is>
      </x:c>
      <x:c r="M137" s="5" t="inlineStr">
        <x:is>
          <x:t xml:space="preserve"/>
        </x:is>
      </x:c>
      <x:c r="N137" s="5" t="inlineStr">
        <x:is>
          <x:t xml:space="preserve"/>
        </x:is>
      </x:c>
      <x:c r="O137" s="5" t="inlineStr">
        <x:is>
          <x:t xml:space="preserve"/>
        </x:is>
      </x:c>
      <x:c r="P137" s="5" t="inlineStr">
        <x:is>
          <x:t xml:space="preserve"/>
        </x:is>
      </x:c>
      <x:c r="Q137" s="5" t="inlineStr">
        <x:is>
          <x:t xml:space="preserve"/>
        </x:is>
      </x:c>
      <x:c r="R137" s="5">
        <x:f>IF(OR(F137="",G137=""),"",IF(F137&gt;=0.95*G137,1,0))</x:f>
      </x:c>
      <x:c r="S137" s="7">
        <x:f>IFERROR((I137+J137+K137)/F137,"")</x:f>
      </x:c>
      <x:c r="T137" s="5">
        <x:f>IFERROR(I137+J137+K137,"")</x:f>
        <x:v>0</x:v>
      </x:c>
    </x:row>
    <x:row r="138" ht="22" customHeight="1">
      <x:c r="A138" s="5" t="inlineStr">
        <x:is>
          <x:t xml:space="preserve">P012</x:t>
        </x:is>
      </x:c>
      <x:c r="B138" s="5" t="inlineStr">
        <x:is>
          <x:t xml:space="preserve">2</x:t>
        </x:is>
      </x:c>
      <x:c r="C138" s="5" t="inlineStr">
        <x:is>
          <x:t xml:space="preserve">V10_tutorial_ui</x:t>
        </x:is>
      </x:c>
      <x:c r="D138" s="5" t="inlineStr">
        <x:is>
          <x:t xml:space="preserve">full_transcript</x:t>
        </x:is>
      </x:c>
      <x:c r="E138" s="5" t="inlineStr">
        <x:is>
          <x:t xml:space="preserve">muted</x:t>
        </x:is>
      </x:c>
      <x:c r="F138" s="6" t="inlineStr">
        <x:is>
          <x:t xml:space="preserve"/>
        </x:is>
      </x:c>
      <x:c r="G138" s="6" t="inlineStr">
        <x:is>
          <x:t xml:space="preserve">6</x:t>
        </x:is>
      </x:c>
      <x:c r="H138" s="5" t="inlineStr">
        <x:is>
          <x:t xml:space="preserve"/>
        </x:is>
      </x:c>
      <x:c r="I138" s="5" t="inlineStr">
        <x:is>
          <x:t xml:space="preserve"/>
        </x:is>
      </x:c>
      <x:c r="J138" s="5" t="inlineStr">
        <x:is>
          <x:t xml:space="preserve"/>
        </x:is>
      </x:c>
      <x:c r="K138" s="5" t="inlineStr">
        <x:is>
          <x:t xml:space="preserve"/>
        </x:is>
      </x:c>
      <x:c r="L138" s="5" t="inlineStr">
        <x:is>
          <x:t xml:space="preserve"/>
        </x:is>
      </x:c>
      <x:c r="M138" s="5" t="inlineStr">
        <x:is>
          <x:t xml:space="preserve"/>
        </x:is>
      </x:c>
      <x:c r="N138" s="5" t="inlineStr">
        <x:is>
          <x:t xml:space="preserve"/>
        </x:is>
      </x:c>
      <x:c r="O138" s="5" t="inlineStr">
        <x:is>
          <x:t xml:space="preserve"/>
        </x:is>
      </x:c>
      <x:c r="P138" s="5" t="inlineStr">
        <x:is>
          <x:t xml:space="preserve"/>
        </x:is>
      </x:c>
      <x:c r="Q138" s="5" t="inlineStr">
        <x:is>
          <x:t xml:space="preserve"/>
        </x:is>
      </x:c>
      <x:c r="R138" s="5">
        <x:f>IF(OR(F138="",G138=""),"",IF(F138&gt;=0.95*G138,1,0))</x:f>
      </x:c>
      <x:c r="S138" s="7">
        <x:f>IFERROR((I138+J138+K138)/F138,"")</x:f>
      </x:c>
      <x:c r="T138" s="5">
        <x:f>IFERROR(I138+J138+K138,"")</x:f>
        <x:v>0</x:v>
      </x:c>
    </x:row>
    <x:row r="139" ht="22" customHeight="1">
      <x:c r="A139" s="5" t="inlineStr">
        <x:is>
          <x:t xml:space="preserve">P012</x:t>
        </x:is>
      </x:c>
      <x:c r="B139" s="5" t="inlineStr">
        <x:is>
          <x:t xml:space="preserve">3</x:t>
        </x:is>
      </x:c>
      <x:c r="C139" s="5" t="inlineStr">
        <x:is>
          <x:t xml:space="preserve">V03_fitness_setup</x:t>
        </x:is>
      </x:c>
      <x:c r="D139" s="5" t="inlineStr">
        <x:is>
          <x:t xml:space="preserve">keyword_highlight</x:t>
        </x:is>
      </x:c>
      <x:c r="E139" s="5" t="inlineStr">
        <x:is>
          <x:t xml:space="preserve">audio_on</x:t>
        </x:is>
      </x:c>
      <x:c r="F139" s="6" t="inlineStr">
        <x:is>
          <x:t xml:space="preserve"/>
        </x:is>
      </x:c>
      <x:c r="G139" s="6" t="inlineStr">
        <x:is>
          <x:t xml:space="preserve">6</x:t>
        </x:is>
      </x:c>
      <x:c r="H139" s="5" t="inlineStr">
        <x:is>
          <x:t xml:space="preserve"/>
        </x:is>
      </x:c>
      <x:c r="I139" s="5" t="inlineStr">
        <x:is>
          <x:t xml:space="preserve"/>
        </x:is>
      </x:c>
      <x:c r="J139" s="5" t="inlineStr">
        <x:is>
          <x:t xml:space="preserve"/>
        </x:is>
      </x:c>
      <x:c r="K139" s="5" t="inlineStr">
        <x:is>
          <x:t xml:space="preserve"/>
        </x:is>
      </x:c>
      <x:c r="L139" s="5" t="inlineStr">
        <x:is>
          <x:t xml:space="preserve"/>
        </x:is>
      </x:c>
      <x:c r="M139" s="5" t="inlineStr">
        <x:is>
          <x:t xml:space="preserve"/>
        </x:is>
      </x:c>
      <x:c r="N139" s="5" t="inlineStr">
        <x:is>
          <x:t xml:space="preserve"/>
        </x:is>
      </x:c>
      <x:c r="O139" s="5" t="inlineStr">
        <x:is>
          <x:t xml:space="preserve"/>
        </x:is>
      </x:c>
      <x:c r="P139" s="5" t="inlineStr">
        <x:is>
          <x:t xml:space="preserve"/>
        </x:is>
      </x:c>
      <x:c r="Q139" s="5" t="inlineStr">
        <x:is>
          <x:t xml:space="preserve"/>
        </x:is>
      </x:c>
      <x:c r="R139" s="5">
        <x:f>IF(OR(F139="",G139=""),"",IF(F139&gt;=0.95*G139,1,0))</x:f>
      </x:c>
      <x:c r="S139" s="7">
        <x:f>IFERROR((I139+J139+K139)/F139,"")</x:f>
      </x:c>
      <x:c r="T139" s="5">
        <x:f>IFERROR(I139+J139+K139,"")</x:f>
        <x:v>0</x:v>
      </x:c>
    </x:row>
    <x:row r="140" ht="22" customHeight="1">
      <x:c r="A140" s="5" t="inlineStr">
        <x:is>
          <x:t xml:space="preserve">P012</x:t>
        </x:is>
      </x:c>
      <x:c r="B140" s="5" t="inlineStr">
        <x:is>
          <x:t xml:space="preserve">4</x:t>
        </x:is>
      </x:c>
      <x:c r="C140" s="5" t="inlineStr">
        <x:is>
          <x:t xml:space="preserve">V11_story_burnout</x:t>
        </x:is>
      </x:c>
      <x:c r="D140" s="5" t="inlineStr">
        <x:is>
          <x:t xml:space="preserve">semantic_compression</x:t>
        </x:is>
      </x:c>
      <x:c r="E140" s="5" t="inlineStr">
        <x:is>
          <x:t xml:space="preserve">muted</x:t>
        </x:is>
      </x:c>
      <x:c r="F140" s="6" t="inlineStr">
        <x:is>
          <x:t xml:space="preserve"/>
        </x:is>
      </x:c>
      <x:c r="G140" s="6" t="inlineStr">
        <x:is>
          <x:t xml:space="preserve">6</x:t>
        </x:is>
      </x:c>
      <x:c r="H140" s="5" t="inlineStr">
        <x:is>
          <x:t xml:space="preserve"/>
        </x:is>
      </x:c>
      <x:c r="I140" s="5" t="inlineStr">
        <x:is>
          <x:t xml:space="preserve"/>
        </x:is>
      </x:c>
      <x:c r="J140" s="5" t="inlineStr">
        <x:is>
          <x:t xml:space="preserve"/>
        </x:is>
      </x:c>
      <x:c r="K140" s="5" t="inlineStr">
        <x:is>
          <x:t xml:space="preserve"/>
        </x:is>
      </x:c>
      <x:c r="L140" s="5" t="inlineStr">
        <x:is>
          <x:t xml:space="preserve"/>
        </x:is>
      </x:c>
      <x:c r="M140" s="5" t="inlineStr">
        <x:is>
          <x:t xml:space="preserve"/>
        </x:is>
      </x:c>
      <x:c r="N140" s="5" t="inlineStr">
        <x:is>
          <x:t xml:space="preserve"/>
        </x:is>
      </x:c>
      <x:c r="O140" s="5" t="inlineStr">
        <x:is>
          <x:t xml:space="preserve"/>
        </x:is>
      </x:c>
      <x:c r="P140" s="5" t="inlineStr">
        <x:is>
          <x:t xml:space="preserve"/>
        </x:is>
      </x:c>
      <x:c r="Q140" s="5" t="inlineStr">
        <x:is>
          <x:t xml:space="preserve"/>
        </x:is>
      </x:c>
      <x:c r="R140" s="5">
        <x:f>IF(OR(F140="",G140=""),"",IF(F140&gt;=0.95*G140,1,0))</x:f>
      </x:c>
      <x:c r="S140" s="7">
        <x:f>IFERROR((I140+J140+K140)/F140,"")</x:f>
      </x:c>
      <x:c r="T140" s="5">
        <x:f>IFERROR(I140+J140+K140,"")</x:f>
        <x:v>0</x:v>
      </x:c>
    </x:row>
    <x:row r="141" ht="22" customHeight="1">
      <x:c r="A141" s="5" t="inlineStr">
        <x:is>
          <x:t xml:space="preserve">P012</x:t>
        </x:is>
      </x:c>
      <x:c r="B141" s="5" t="inlineStr">
        <x:is>
          <x:t xml:space="preserve">5</x:t>
        </x:is>
      </x:c>
      <x:c r="C141" s="5" t="inlineStr">
        <x:is>
          <x:t xml:space="preserve">V02_study_recall</x:t>
        </x:is>
      </x:c>
      <x:c r="D141" s="5" t="inlineStr">
        <x:is>
          <x:t xml:space="preserve">bcc</x:t>
        </x:is>
      </x:c>
      <x:c r="E141" s="5" t="inlineStr">
        <x:is>
          <x:t xml:space="preserve">audio_on</x:t>
        </x:is>
      </x:c>
      <x:c r="F141" s="6" t="inlineStr">
        <x:is>
          <x:t xml:space="preserve"/>
        </x:is>
      </x:c>
      <x:c r="G141" s="6" t="inlineStr">
        <x:is>
          <x:t xml:space="preserve">6</x:t>
        </x:is>
      </x:c>
      <x:c r="H141" s="5" t="inlineStr">
        <x:is>
          <x:t xml:space="preserve"/>
        </x:is>
      </x:c>
      <x:c r="I141" s="5" t="inlineStr">
        <x:is>
          <x:t xml:space="preserve"/>
        </x:is>
      </x:c>
      <x:c r="J141" s="5" t="inlineStr">
        <x:is>
          <x:t xml:space="preserve"/>
        </x:is>
      </x:c>
      <x:c r="K141" s="5" t="inlineStr">
        <x:is>
          <x:t xml:space="preserve"/>
        </x:is>
      </x:c>
      <x:c r="L141" s="5" t="inlineStr">
        <x:is>
          <x:t xml:space="preserve"/>
        </x:is>
      </x:c>
      <x:c r="M141" s="5" t="inlineStr">
        <x:is>
          <x:t xml:space="preserve"/>
        </x:is>
      </x:c>
      <x:c r="N141" s="5" t="inlineStr">
        <x:is>
          <x:t xml:space="preserve"/>
        </x:is>
      </x:c>
      <x:c r="O141" s="5" t="inlineStr">
        <x:is>
          <x:t xml:space="preserve"/>
        </x:is>
      </x:c>
      <x:c r="P141" s="5" t="inlineStr">
        <x:is>
          <x:t xml:space="preserve"/>
        </x:is>
      </x:c>
      <x:c r="Q141" s="5" t="inlineStr">
        <x:is>
          <x:t xml:space="preserve"/>
        </x:is>
      </x:c>
      <x:c r="R141" s="5">
        <x:f>IF(OR(F141="",G141=""),"",IF(F141&gt;=0.95*G141,1,0))</x:f>
      </x:c>
      <x:c r="S141" s="7">
        <x:f>IFERROR((I141+J141+K141)/F141,"")</x:f>
      </x:c>
      <x:c r="T141" s="5">
        <x:f>IFERROR(I141+J141+K141,"")</x:f>
        <x:v>0</x:v>
      </x:c>
    </x:row>
    <x:row r="142" ht="22" customHeight="1">
      <x:c r="A142" s="5" t="inlineStr">
        <x:is>
          <x:t xml:space="preserve">P012</x:t>
        </x:is>
      </x:c>
      <x:c r="B142" s="5" t="inlineStr">
        <x:is>
          <x:t xml:space="preserve">6</x:t>
        </x:is>
      </x:c>
      <x:c r="C142" s="5" t="inlineStr">
        <x:is>
          <x:t xml:space="preserve">V05_coding_assumptions</x:t>
        </x:is>
      </x:c>
      <x:c r="D142" s="5" t="inlineStr">
        <x:is>
          <x:t xml:space="preserve">bcc_plus</x:t>
        </x:is>
      </x:c>
      <x:c r="E142" s="5" t="inlineStr">
        <x:is>
          <x:t xml:space="preserve">muted</x:t>
        </x:is>
      </x:c>
      <x:c r="F142" s="6" t="inlineStr">
        <x:is>
          <x:t xml:space="preserve"/>
        </x:is>
      </x:c>
      <x:c r="G142" s="6" t="inlineStr">
        <x:is>
          <x:t xml:space="preserve">6</x:t>
        </x:is>
      </x:c>
      <x:c r="H142" s="5" t="inlineStr">
        <x:is>
          <x:t xml:space="preserve"/>
        </x:is>
      </x:c>
      <x:c r="I142" s="5" t="inlineStr">
        <x:is>
          <x:t xml:space="preserve"/>
        </x:is>
      </x:c>
      <x:c r="J142" s="5" t="inlineStr">
        <x:is>
          <x:t xml:space="preserve"/>
        </x:is>
      </x:c>
      <x:c r="K142" s="5" t="inlineStr">
        <x:is>
          <x:t xml:space="preserve"/>
        </x:is>
      </x:c>
      <x:c r="L142" s="5" t="inlineStr">
        <x:is>
          <x:t xml:space="preserve"/>
        </x:is>
      </x:c>
      <x:c r="M142" s="5" t="inlineStr">
        <x:is>
          <x:t xml:space="preserve"/>
        </x:is>
      </x:c>
      <x:c r="N142" s="5" t="inlineStr">
        <x:is>
          <x:t xml:space="preserve"/>
        </x:is>
      </x:c>
      <x:c r="O142" s="5" t="inlineStr">
        <x:is>
          <x:t xml:space="preserve"/>
        </x:is>
      </x:c>
      <x:c r="P142" s="5" t="inlineStr">
        <x:is>
          <x:t xml:space="preserve"/>
        </x:is>
      </x:c>
      <x:c r="Q142" s="5" t="inlineStr">
        <x:is>
          <x:t xml:space="preserve"/>
        </x:is>
      </x:c>
      <x:c r="R142" s="5">
        <x:f>IF(OR(F142="",G142=""),"",IF(F142&gt;=0.95*G142,1,0))</x:f>
      </x:c>
      <x:c r="S142" s="7">
        <x:f>IFERROR((I142+J142+K142)/F142,"")</x:f>
      </x:c>
      <x:c r="T142" s="5">
        <x:f>IFERROR(I142+J142+K142,"")</x:f>
        <x:v>0</x:v>
      </x:c>
    </x:row>
    <x:row r="143" ht="22" customHeight="1">
      <x:c r="A143" s="5" t="inlineStr">
        <x:is>
          <x:t xml:space="preserve">P012</x:t>
        </x:is>
      </x:c>
      <x:c r="B143" s="5" t="inlineStr">
        <x:is>
          <x:t xml:space="preserve">7</x:t>
        </x:is>
      </x:c>
      <x:c r="C143" s="5" t="inlineStr">
        <x:is>
          <x:t xml:space="preserve">V09_nutrition_satiety</x:t>
        </x:is>
      </x:c>
      <x:c r="D143" s="5" t="inlineStr">
        <x:is>
          <x:t xml:space="preserve">heavy_bionic</x:t>
        </x:is>
      </x:c>
      <x:c r="E143" s="5" t="inlineStr">
        <x:is>
          <x:t xml:space="preserve">audio_on</x:t>
        </x:is>
      </x:c>
      <x:c r="F143" s="6" t="inlineStr">
        <x:is>
          <x:t xml:space="preserve"/>
        </x:is>
      </x:c>
      <x:c r="G143" s="6" t="inlineStr">
        <x:is>
          <x:t xml:space="preserve">6</x:t>
        </x:is>
      </x:c>
      <x:c r="H143" s="5" t="inlineStr">
        <x:is>
          <x:t xml:space="preserve"/>
        </x:is>
      </x:c>
      <x:c r="I143" s="5" t="inlineStr">
        <x:is>
          <x:t xml:space="preserve"/>
        </x:is>
      </x:c>
      <x:c r="J143" s="5" t="inlineStr">
        <x:is>
          <x:t xml:space="preserve"/>
        </x:is>
      </x:c>
      <x:c r="K143" s="5" t="inlineStr">
        <x:is>
          <x:t xml:space="preserve"/>
        </x:is>
      </x:c>
      <x:c r="L143" s="5" t="inlineStr">
        <x:is>
          <x:t xml:space="preserve"/>
        </x:is>
      </x:c>
      <x:c r="M143" s="5" t="inlineStr">
        <x:is>
          <x:t xml:space="preserve"/>
        </x:is>
      </x:c>
      <x:c r="N143" s="5" t="inlineStr">
        <x:is>
          <x:t xml:space="preserve"/>
        </x:is>
      </x:c>
      <x:c r="O143" s="5" t="inlineStr">
        <x:is>
          <x:t xml:space="preserve"/>
        </x:is>
      </x:c>
      <x:c r="P143" s="5" t="inlineStr">
        <x:is>
          <x:t xml:space="preserve"/>
        </x:is>
      </x:c>
      <x:c r="Q143" s="5" t="inlineStr">
        <x:is>
          <x:t xml:space="preserve"/>
        </x:is>
      </x:c>
      <x:c r="R143" s="5">
        <x:f>IF(OR(F143="",G143=""),"",IF(F143&gt;=0.95*G143,1,0))</x:f>
      </x:c>
      <x:c r="S143" s="7">
        <x:f>IFERROR((I143+J143+K143)/F143,"")</x:f>
      </x:c>
      <x:c r="T143" s="5">
        <x:f>IFERROR(I143+J143+K143,"")</x:f>
        <x:v>0</x:v>
      </x:c>
    </x:row>
    <x:row r="144" ht="22" customHeight="1">
      <x:c r="A144" s="5" t="inlineStr">
        <x:is>
          <x:t xml:space="preserve">P012</x:t>
        </x:is>
      </x:c>
      <x:c r="B144" s="5" t="inlineStr">
        <x:is>
          <x:t xml:space="preserve">8</x:t>
        </x:is>
      </x:c>
      <x:c r="C144" s="5" t="inlineStr">
        <x:is>
          <x:t xml:space="preserve">V07_business_clarity</x:t>
        </x:is>
      </x:c>
      <x:c r="D144" s="5" t="inlineStr">
        <x:is>
          <x:t xml:space="preserve">full_transcript</x:t>
        </x:is>
      </x:c>
      <x:c r="E144" s="5" t="inlineStr">
        <x:is>
          <x:t xml:space="preserve">muted</x:t>
        </x:is>
      </x:c>
      <x:c r="F144" s="6" t="inlineStr">
        <x:is>
          <x:t xml:space="preserve"/>
        </x:is>
      </x:c>
      <x:c r="G144" s="6" t="inlineStr">
        <x:is>
          <x:t xml:space="preserve">6</x:t>
        </x:is>
      </x:c>
      <x:c r="H144" s="5" t="inlineStr">
        <x:is>
          <x:t xml:space="preserve"/>
        </x:is>
      </x:c>
      <x:c r="I144" s="5" t="inlineStr">
        <x:is>
          <x:t xml:space="preserve"/>
        </x:is>
      </x:c>
      <x:c r="J144" s="5" t="inlineStr">
        <x:is>
          <x:t xml:space="preserve"/>
        </x:is>
      </x:c>
      <x:c r="K144" s="5" t="inlineStr">
        <x:is>
          <x:t xml:space="preserve"/>
        </x:is>
      </x:c>
      <x:c r="L144" s="5" t="inlineStr">
        <x:is>
          <x:t xml:space="preserve"/>
        </x:is>
      </x:c>
      <x:c r="M144" s="5" t="inlineStr">
        <x:is>
          <x:t xml:space="preserve"/>
        </x:is>
      </x:c>
      <x:c r="N144" s="5" t="inlineStr">
        <x:is>
          <x:t xml:space="preserve"/>
        </x:is>
      </x:c>
      <x:c r="O144" s="5" t="inlineStr">
        <x:is>
          <x:t xml:space="preserve"/>
        </x:is>
      </x:c>
      <x:c r="P144" s="5" t="inlineStr">
        <x:is>
          <x:t xml:space="preserve"/>
        </x:is>
      </x:c>
      <x:c r="Q144" s="5" t="inlineStr">
        <x:is>
          <x:t xml:space="preserve"/>
        </x:is>
      </x:c>
      <x:c r="R144" s="5">
        <x:f>IF(OR(F144="",G144=""),"",IF(F144&gt;=0.95*G144,1,0))</x:f>
      </x:c>
      <x:c r="S144" s="7">
        <x:f>IFERROR((I144+J144+K144)/F144,"")</x:f>
      </x:c>
      <x:c r="T144" s="5">
        <x:f>IFERROR(I144+J144+K144,"")</x:f>
        <x:v>0</x:v>
      </x:c>
    </x:row>
    <x:row r="145" ht="22" customHeight="1">
      <x:c r="A145" s="5" t="inlineStr">
        <x:is>
          <x:t xml:space="preserve">P012</x:t>
        </x:is>
      </x:c>
      <x:c r="B145" s="5" t="inlineStr">
        <x:is>
          <x:t xml:space="preserve">9</x:t>
        </x:is>
      </x:c>
      <x:c r="C145" s="5" t="inlineStr">
        <x:is>
          <x:t xml:space="preserve">V12_creativity_constraints</x:t>
        </x:is>
      </x:c>
      <x:c r="D145" s="5" t="inlineStr">
        <x:is>
          <x:t xml:space="preserve">keyword_highlight</x:t>
        </x:is>
      </x:c>
      <x:c r="E145" s="5" t="inlineStr">
        <x:is>
          <x:t xml:space="preserve">audio_on</x:t>
        </x:is>
      </x:c>
      <x:c r="F145" s="6" t="inlineStr">
        <x:is>
          <x:t xml:space="preserve"/>
        </x:is>
      </x:c>
      <x:c r="G145" s="6" t="inlineStr">
        <x:is>
          <x:t xml:space="preserve">6</x:t>
        </x:is>
      </x:c>
      <x:c r="H145" s="5" t="inlineStr">
        <x:is>
          <x:t xml:space="preserve"/>
        </x:is>
      </x:c>
      <x:c r="I145" s="5" t="inlineStr">
        <x:is>
          <x:t xml:space="preserve"/>
        </x:is>
      </x:c>
      <x:c r="J145" s="5" t="inlineStr">
        <x:is>
          <x:t xml:space="preserve"/>
        </x:is>
      </x:c>
      <x:c r="K145" s="5" t="inlineStr">
        <x:is>
          <x:t xml:space="preserve"/>
        </x:is>
      </x:c>
      <x:c r="L145" s="5" t="inlineStr">
        <x:is>
          <x:t xml:space="preserve"/>
        </x:is>
      </x:c>
      <x:c r="M145" s="5" t="inlineStr">
        <x:is>
          <x:t xml:space="preserve"/>
        </x:is>
      </x:c>
      <x:c r="N145" s="5" t="inlineStr">
        <x:is>
          <x:t xml:space="preserve"/>
        </x:is>
      </x:c>
      <x:c r="O145" s="5" t="inlineStr">
        <x:is>
          <x:t xml:space="preserve"/>
        </x:is>
      </x:c>
      <x:c r="P145" s="5" t="inlineStr">
        <x:is>
          <x:t xml:space="preserve"/>
        </x:is>
      </x:c>
      <x:c r="Q145" s="5" t="inlineStr">
        <x:is>
          <x:t xml:space="preserve"/>
        </x:is>
      </x:c>
      <x:c r="R145" s="5">
        <x:f>IF(OR(F145="",G145=""),"",IF(F145&gt;=0.95*G145,1,0))</x:f>
      </x:c>
      <x:c r="S145" s="7">
        <x:f>IFERROR((I145+J145+K145)/F145,"")</x:f>
      </x:c>
      <x:c r="T145" s="5">
        <x:f>IFERROR(I145+J145+K145,"")</x:f>
        <x:v>0</x:v>
      </x:c>
    </x:row>
    <x:row r="146" ht="22" customHeight="1">
      <x:c r="A146" s="5" t="inlineStr">
        <x:is>
          <x:t xml:space="preserve">P012</x:t>
        </x:is>
      </x:c>
      <x:c r="B146" s="5" t="inlineStr">
        <x:is>
          <x:t xml:space="preserve">10</x:t>
        </x:is>
      </x:c>
      <x:c r="C146" s="5" t="inlineStr">
        <x:is>
          <x:t xml:space="preserve">V08_calendar_system</x:t>
        </x:is>
      </x:c>
      <x:c r="D146" s="5" t="inlineStr">
        <x:is>
          <x:t xml:space="preserve">semantic_compression</x:t>
        </x:is>
      </x:c>
      <x:c r="E146" s="5" t="inlineStr">
        <x:is>
          <x:t xml:space="preserve">muted</x:t>
        </x:is>
      </x:c>
      <x:c r="F146" s="6" t="inlineStr">
        <x:is>
          <x:t xml:space="preserve"/>
        </x:is>
      </x:c>
      <x:c r="G146" s="6" t="inlineStr">
        <x:is>
          <x:t xml:space="preserve">6</x:t>
        </x:is>
      </x:c>
      <x:c r="H146" s="5" t="inlineStr">
        <x:is>
          <x:t xml:space="preserve"/>
        </x:is>
      </x:c>
      <x:c r="I146" s="5" t="inlineStr">
        <x:is>
          <x:t xml:space="preserve"/>
        </x:is>
      </x:c>
      <x:c r="J146" s="5" t="inlineStr">
        <x:is>
          <x:t xml:space="preserve"/>
        </x:is>
      </x:c>
      <x:c r="K146" s="5" t="inlineStr">
        <x:is>
          <x:t xml:space="preserve"/>
        </x:is>
      </x:c>
      <x:c r="L146" s="5" t="inlineStr">
        <x:is>
          <x:t xml:space="preserve"/>
        </x:is>
      </x:c>
      <x:c r="M146" s="5" t="inlineStr">
        <x:is>
          <x:t xml:space="preserve"/>
        </x:is>
      </x:c>
      <x:c r="N146" s="5" t="inlineStr">
        <x:is>
          <x:t xml:space="preserve"/>
        </x:is>
      </x:c>
      <x:c r="O146" s="5" t="inlineStr">
        <x:is>
          <x:t xml:space="preserve"/>
        </x:is>
      </x:c>
      <x:c r="P146" s="5" t="inlineStr">
        <x:is>
          <x:t xml:space="preserve"/>
        </x:is>
      </x:c>
      <x:c r="Q146" s="5" t="inlineStr">
        <x:is>
          <x:t xml:space="preserve"/>
        </x:is>
      </x:c>
      <x:c r="R146" s="5">
        <x:f>IF(OR(F146="",G146=""),"",IF(F146&gt;=0.95*G146,1,0))</x:f>
      </x:c>
      <x:c r="S146" s="7">
        <x:f>IFERROR((I146+J146+K146)/F146,"")</x:f>
      </x:c>
      <x:c r="T146" s="5">
        <x:f>IFERROR(I146+J146+K146,"")</x:f>
        <x:v>0</x:v>
      </x:c>
    </x:row>
    <x:row r="147" ht="22" customHeight="1">
      <x:c r="A147" s="5" t="inlineStr">
        <x:is>
          <x:t xml:space="preserve">P012</x:t>
        </x:is>
      </x:c>
      <x:c r="B147" s="5" t="inlineStr">
        <x:is>
          <x:t xml:space="preserve">11</x:t>
        </x:is>
      </x:c>
      <x:c r="C147" s="5" t="inlineStr">
        <x:is>
          <x:t xml:space="preserve">V06_overload_open_loops</x:t>
        </x:is>
      </x:c>
      <x:c r="D147" s="5" t="inlineStr">
        <x:is>
          <x:t xml:space="preserve">bcc</x:t>
        </x:is>
      </x:c>
      <x:c r="E147" s="5" t="inlineStr">
        <x:is>
          <x:t xml:space="preserve">audio_on</x:t>
        </x:is>
      </x:c>
      <x:c r="F147" s="6" t="inlineStr">
        <x:is>
          <x:t xml:space="preserve"/>
        </x:is>
      </x:c>
      <x:c r="G147" s="6" t="inlineStr">
        <x:is>
          <x:t xml:space="preserve">6</x:t>
        </x:is>
      </x:c>
      <x:c r="H147" s="5" t="inlineStr">
        <x:is>
          <x:t xml:space="preserve"/>
        </x:is>
      </x:c>
      <x:c r="I147" s="5" t="inlineStr">
        <x:is>
          <x:t xml:space="preserve"/>
        </x:is>
      </x:c>
      <x:c r="J147" s="5" t="inlineStr">
        <x:is>
          <x:t xml:space="preserve"/>
        </x:is>
      </x:c>
      <x:c r="K147" s="5" t="inlineStr">
        <x:is>
          <x:t xml:space="preserve"/>
        </x:is>
      </x:c>
      <x:c r="L147" s="5" t="inlineStr">
        <x:is>
          <x:t xml:space="preserve"/>
        </x:is>
      </x:c>
      <x:c r="M147" s="5" t="inlineStr">
        <x:is>
          <x:t xml:space="preserve"/>
        </x:is>
      </x:c>
      <x:c r="N147" s="5" t="inlineStr">
        <x:is>
          <x:t xml:space="preserve"/>
        </x:is>
      </x:c>
      <x:c r="O147" s="5" t="inlineStr">
        <x:is>
          <x:t xml:space="preserve"/>
        </x:is>
      </x:c>
      <x:c r="P147" s="5" t="inlineStr">
        <x:is>
          <x:t xml:space="preserve"/>
        </x:is>
      </x:c>
      <x:c r="Q147" s="5" t="inlineStr">
        <x:is>
          <x:t xml:space="preserve"/>
        </x:is>
      </x:c>
      <x:c r="R147" s="5">
        <x:f>IF(OR(F147="",G147=""),"",IF(F147&gt;=0.95*G147,1,0))</x:f>
      </x:c>
      <x:c r="S147" s="7">
        <x:f>IFERROR((I147+J147+K147)/F147,"")</x:f>
      </x:c>
      <x:c r="T147" s="5">
        <x:f>IFERROR(I147+J147+K147,"")</x:f>
        <x:v>0</x:v>
      </x:c>
    </x:row>
    <x:row r="148" ht="22" customHeight="1">
      <x:c r="A148" s="5" t="inlineStr">
        <x:is>
          <x:t xml:space="preserve">P012</x:t>
        </x:is>
      </x:c>
      <x:c r="B148" s="5" t="inlineStr">
        <x:is>
          <x:t xml:space="preserve">12</x:t>
        </x:is>
      </x:c>
      <x:c r="C148" s="5" t="inlineStr">
        <x:is>
          <x:t xml:space="preserve">V04_money_visibility</x:t>
        </x:is>
      </x:c>
      <x:c r="D148" s="5" t="inlineStr">
        <x:is>
          <x:t xml:space="preserve">bcc_plus</x:t>
        </x:is>
      </x:c>
      <x:c r="E148" s="5" t="inlineStr">
        <x:is>
          <x:t xml:space="preserve">muted</x:t>
        </x:is>
      </x:c>
      <x:c r="F148" s="6" t="inlineStr">
        <x:is>
          <x:t xml:space="preserve"/>
        </x:is>
      </x:c>
      <x:c r="G148" s="6" t="inlineStr">
        <x:is>
          <x:t xml:space="preserve">6</x:t>
        </x:is>
      </x:c>
      <x:c r="H148" s="5" t="inlineStr">
        <x:is>
          <x:t xml:space="preserve"/>
        </x:is>
      </x:c>
      <x:c r="I148" s="5" t="inlineStr">
        <x:is>
          <x:t xml:space="preserve"/>
        </x:is>
      </x:c>
      <x:c r="J148" s="5" t="inlineStr">
        <x:is>
          <x:t xml:space="preserve"/>
        </x:is>
      </x:c>
      <x:c r="K148" s="5" t="inlineStr">
        <x:is>
          <x:t xml:space="preserve"/>
        </x:is>
      </x:c>
      <x:c r="L148" s="5" t="inlineStr">
        <x:is>
          <x:t xml:space="preserve"/>
        </x:is>
      </x:c>
      <x:c r="M148" s="5" t="inlineStr">
        <x:is>
          <x:t xml:space="preserve"/>
        </x:is>
      </x:c>
      <x:c r="N148" s="5" t="inlineStr">
        <x:is>
          <x:t xml:space="preserve"/>
        </x:is>
      </x:c>
      <x:c r="O148" s="5" t="inlineStr">
        <x:is>
          <x:t xml:space="preserve"/>
        </x:is>
      </x:c>
      <x:c r="P148" s="5" t="inlineStr">
        <x:is>
          <x:t xml:space="preserve"/>
        </x:is>
      </x:c>
      <x:c r="Q148" s="5" t="inlineStr">
        <x:is>
          <x:t xml:space="preserve"/>
        </x:is>
      </x:c>
      <x:c r="R148" s="5">
        <x:f>IF(OR(F148="",G148=""),"",IF(F148&gt;=0.95*G148,1,0))</x:f>
      </x:c>
      <x:c r="S148" s="7">
        <x:f>IFERROR((I148+J148+K148)/F148,"")</x:f>
      </x:c>
      <x:c r="T148" s="5">
        <x:f>IFERROR(I148+J148+K148,"")</x:f>
        <x:v>0</x:v>
      </x:c>
    </x:row>
    <x:row r="149" ht="22" customHeight="1">
      <x:c r="A149" s="5" t="inlineStr">
        <x:is>
          <x:t xml:space="preserve">P013</x:t>
        </x:is>
      </x:c>
      <x:c r="B149" s="5" t="inlineStr">
        <x:is>
          <x:t xml:space="preserve">1</x:t>
        </x:is>
      </x:c>
      <x:c r="C149" s="5" t="inlineStr">
        <x:is>
          <x:t xml:space="preserve">V07_business_clarity</x:t>
        </x:is>
      </x:c>
      <x:c r="D149" s="5" t="inlineStr">
        <x:is>
          <x:t xml:space="preserve">full_transcript</x:t>
        </x:is>
      </x:c>
      <x:c r="E149" s="5" t="inlineStr">
        <x:is>
          <x:t xml:space="preserve">muted</x:t>
        </x:is>
      </x:c>
      <x:c r="F149" s="6" t="inlineStr">
        <x:is>
          <x:t xml:space="preserve"/>
        </x:is>
      </x:c>
      <x:c r="G149" s="6" t="inlineStr">
        <x:is>
          <x:t xml:space="preserve">6</x:t>
        </x:is>
      </x:c>
      <x:c r="H149" s="5" t="inlineStr">
        <x:is>
          <x:t xml:space="preserve"/>
        </x:is>
      </x:c>
      <x:c r="I149" s="5" t="inlineStr">
        <x:is>
          <x:t xml:space="preserve"/>
        </x:is>
      </x:c>
      <x:c r="J149" s="5" t="inlineStr">
        <x:is>
          <x:t xml:space="preserve"/>
        </x:is>
      </x:c>
      <x:c r="K149" s="5" t="inlineStr">
        <x:is>
          <x:t xml:space="preserve"/>
        </x:is>
      </x:c>
      <x:c r="L149" s="5" t="inlineStr">
        <x:is>
          <x:t xml:space="preserve"/>
        </x:is>
      </x:c>
      <x:c r="M149" s="5" t="inlineStr">
        <x:is>
          <x:t xml:space="preserve"/>
        </x:is>
      </x:c>
      <x:c r="N149" s="5" t="inlineStr">
        <x:is>
          <x:t xml:space="preserve"/>
        </x:is>
      </x:c>
      <x:c r="O149" s="5" t="inlineStr">
        <x:is>
          <x:t xml:space="preserve"/>
        </x:is>
      </x:c>
      <x:c r="P149" s="5" t="inlineStr">
        <x:is>
          <x:t xml:space="preserve"/>
        </x:is>
      </x:c>
      <x:c r="Q149" s="5" t="inlineStr">
        <x:is>
          <x:t xml:space="preserve"/>
        </x:is>
      </x:c>
      <x:c r="R149" s="5">
        <x:f>IF(OR(F149="",G149=""),"",IF(F149&gt;=0.95*G149,1,0))</x:f>
      </x:c>
      <x:c r="S149" s="7">
        <x:f>IFERROR((I149+J149+K149)/F149,"")</x:f>
      </x:c>
      <x:c r="T149" s="5">
        <x:f>IFERROR(I149+J149+K149,"")</x:f>
        <x:v>0</x:v>
      </x:c>
    </x:row>
    <x:row r="150" ht="22" customHeight="1">
      <x:c r="A150" s="5" t="inlineStr">
        <x:is>
          <x:t xml:space="preserve">P013</x:t>
        </x:is>
      </x:c>
      <x:c r="B150" s="5" t="inlineStr">
        <x:is>
          <x:t xml:space="preserve">2</x:t>
        </x:is>
      </x:c>
      <x:c r="C150" s="5" t="inlineStr">
        <x:is>
          <x:t xml:space="preserve">V09_nutrition_satiety</x:t>
        </x:is>
      </x:c>
      <x:c r="D150" s="5" t="inlineStr">
        <x:is>
          <x:t xml:space="preserve">keyword_highlight</x:t>
        </x:is>
      </x:c>
      <x:c r="E150" s="5" t="inlineStr">
        <x:is>
          <x:t xml:space="preserve">audio_on</x:t>
        </x:is>
      </x:c>
      <x:c r="F150" s="6" t="inlineStr">
        <x:is>
          <x:t xml:space="preserve"/>
        </x:is>
      </x:c>
      <x:c r="G150" s="6" t="inlineStr">
        <x:is>
          <x:t xml:space="preserve">6</x:t>
        </x:is>
      </x:c>
      <x:c r="H150" s="5" t="inlineStr">
        <x:is>
          <x:t xml:space="preserve"/>
        </x:is>
      </x:c>
      <x:c r="I150" s="5" t="inlineStr">
        <x:is>
          <x:t xml:space="preserve"/>
        </x:is>
      </x:c>
      <x:c r="J150" s="5" t="inlineStr">
        <x:is>
          <x:t xml:space="preserve"/>
        </x:is>
      </x:c>
      <x:c r="K150" s="5" t="inlineStr">
        <x:is>
          <x:t xml:space="preserve"/>
        </x:is>
      </x:c>
      <x:c r="L150" s="5" t="inlineStr">
        <x:is>
          <x:t xml:space="preserve"/>
        </x:is>
      </x:c>
      <x:c r="M150" s="5" t="inlineStr">
        <x:is>
          <x:t xml:space="preserve"/>
        </x:is>
      </x:c>
      <x:c r="N150" s="5" t="inlineStr">
        <x:is>
          <x:t xml:space="preserve"/>
        </x:is>
      </x:c>
      <x:c r="O150" s="5" t="inlineStr">
        <x:is>
          <x:t xml:space="preserve"/>
        </x:is>
      </x:c>
      <x:c r="P150" s="5" t="inlineStr">
        <x:is>
          <x:t xml:space="preserve"/>
        </x:is>
      </x:c>
      <x:c r="Q150" s="5" t="inlineStr">
        <x:is>
          <x:t xml:space="preserve"/>
        </x:is>
      </x:c>
      <x:c r="R150" s="5">
        <x:f>IF(OR(F150="",G150=""),"",IF(F150&gt;=0.95*G150,1,0))</x:f>
      </x:c>
      <x:c r="S150" s="7">
        <x:f>IFERROR((I150+J150+K150)/F150,"")</x:f>
      </x:c>
      <x:c r="T150" s="5">
        <x:f>IFERROR(I150+J150+K150,"")</x:f>
        <x:v>0</x:v>
      </x:c>
    </x:row>
    <x:row r="151" ht="22" customHeight="1">
      <x:c r="A151" s="5" t="inlineStr">
        <x:is>
          <x:t xml:space="preserve">P013</x:t>
        </x:is>
      </x:c>
      <x:c r="B151" s="5" t="inlineStr">
        <x:is>
          <x:t xml:space="preserve">3</x:t>
        </x:is>
      </x:c>
      <x:c r="C151" s="5" t="inlineStr">
        <x:is>
          <x:t xml:space="preserve">V01_productivity_friction</x:t>
        </x:is>
      </x:c>
      <x:c r="D151" s="5" t="inlineStr">
        <x:is>
          <x:t xml:space="preserve">semantic_compression</x:t>
        </x:is>
      </x:c>
      <x:c r="E151" s="5" t="inlineStr">
        <x:is>
          <x:t xml:space="preserve">muted</x:t>
        </x:is>
      </x:c>
      <x:c r="F151" s="6" t="inlineStr">
        <x:is>
          <x:t xml:space="preserve"/>
        </x:is>
      </x:c>
      <x:c r="G151" s="6" t="inlineStr">
        <x:is>
          <x:t xml:space="preserve">6</x:t>
        </x:is>
      </x:c>
      <x:c r="H151" s="5" t="inlineStr">
        <x:is>
          <x:t xml:space="preserve"/>
        </x:is>
      </x:c>
      <x:c r="I151" s="5" t="inlineStr">
        <x:is>
          <x:t xml:space="preserve"/>
        </x:is>
      </x:c>
      <x:c r="J151" s="5" t="inlineStr">
        <x:is>
          <x:t xml:space="preserve"/>
        </x:is>
      </x:c>
      <x:c r="K151" s="5" t="inlineStr">
        <x:is>
          <x:t xml:space="preserve"/>
        </x:is>
      </x:c>
      <x:c r="L151" s="5" t="inlineStr">
        <x:is>
          <x:t xml:space="preserve"/>
        </x:is>
      </x:c>
      <x:c r="M151" s="5" t="inlineStr">
        <x:is>
          <x:t xml:space="preserve"/>
        </x:is>
      </x:c>
      <x:c r="N151" s="5" t="inlineStr">
        <x:is>
          <x:t xml:space="preserve"/>
        </x:is>
      </x:c>
      <x:c r="O151" s="5" t="inlineStr">
        <x:is>
          <x:t xml:space="preserve"/>
        </x:is>
      </x:c>
      <x:c r="P151" s="5" t="inlineStr">
        <x:is>
          <x:t xml:space="preserve"/>
        </x:is>
      </x:c>
      <x:c r="Q151" s="5" t="inlineStr">
        <x:is>
          <x:t xml:space="preserve"/>
        </x:is>
      </x:c>
      <x:c r="R151" s="5">
        <x:f>IF(OR(F151="",G151=""),"",IF(F151&gt;=0.95*G151,1,0))</x:f>
      </x:c>
      <x:c r="S151" s="7">
        <x:f>IFERROR((I151+J151+K151)/F151,"")</x:f>
      </x:c>
      <x:c r="T151" s="5">
        <x:f>IFERROR(I151+J151+K151,"")</x:f>
        <x:v>0</x:v>
      </x:c>
    </x:row>
    <x:row r="152" ht="22" customHeight="1">
      <x:c r="A152" s="5" t="inlineStr">
        <x:is>
          <x:t xml:space="preserve">P013</x:t>
        </x:is>
      </x:c>
      <x:c r="B152" s="5" t="inlineStr">
        <x:is>
          <x:t xml:space="preserve">4</x:t>
        </x:is>
      </x:c>
      <x:c r="C152" s="5" t="inlineStr">
        <x:is>
          <x:t xml:space="preserve">V03_fitness_setup</x:t>
        </x:is>
      </x:c>
      <x:c r="D152" s="5" t="inlineStr">
        <x:is>
          <x:t xml:space="preserve">bcc</x:t>
        </x:is>
      </x:c>
      <x:c r="E152" s="5" t="inlineStr">
        <x:is>
          <x:t xml:space="preserve">audio_on</x:t>
        </x:is>
      </x:c>
      <x:c r="F152" s="6" t="inlineStr">
        <x:is>
          <x:t xml:space="preserve"/>
        </x:is>
      </x:c>
      <x:c r="G152" s="6" t="inlineStr">
        <x:is>
          <x:t xml:space="preserve">6</x:t>
        </x:is>
      </x:c>
      <x:c r="H152" s="5" t="inlineStr">
        <x:is>
          <x:t xml:space="preserve"/>
        </x:is>
      </x:c>
      <x:c r="I152" s="5" t="inlineStr">
        <x:is>
          <x:t xml:space="preserve"/>
        </x:is>
      </x:c>
      <x:c r="J152" s="5" t="inlineStr">
        <x:is>
          <x:t xml:space="preserve"/>
        </x:is>
      </x:c>
      <x:c r="K152" s="5" t="inlineStr">
        <x:is>
          <x:t xml:space="preserve"/>
        </x:is>
      </x:c>
      <x:c r="L152" s="5" t="inlineStr">
        <x:is>
          <x:t xml:space="preserve"/>
        </x:is>
      </x:c>
      <x:c r="M152" s="5" t="inlineStr">
        <x:is>
          <x:t xml:space="preserve"/>
        </x:is>
      </x:c>
      <x:c r="N152" s="5" t="inlineStr">
        <x:is>
          <x:t xml:space="preserve"/>
        </x:is>
      </x:c>
      <x:c r="O152" s="5" t="inlineStr">
        <x:is>
          <x:t xml:space="preserve"/>
        </x:is>
      </x:c>
      <x:c r="P152" s="5" t="inlineStr">
        <x:is>
          <x:t xml:space="preserve"/>
        </x:is>
      </x:c>
      <x:c r="Q152" s="5" t="inlineStr">
        <x:is>
          <x:t xml:space="preserve"/>
        </x:is>
      </x:c>
      <x:c r="R152" s="5">
        <x:f>IF(OR(F152="",G152=""),"",IF(F152&gt;=0.95*G152,1,0))</x:f>
      </x:c>
      <x:c r="S152" s="7">
        <x:f>IFERROR((I152+J152+K152)/F152,"")</x:f>
      </x:c>
      <x:c r="T152" s="5">
        <x:f>IFERROR(I152+J152+K152,"")</x:f>
        <x:v>0</x:v>
      </x:c>
    </x:row>
    <x:row r="153" ht="22" customHeight="1">
      <x:c r="A153" s="5" t="inlineStr">
        <x:is>
          <x:t xml:space="preserve">P013</x:t>
        </x:is>
      </x:c>
      <x:c r="B153" s="5" t="inlineStr">
        <x:is>
          <x:t xml:space="preserve">5</x:t>
        </x:is>
      </x:c>
      <x:c r="C153" s="5" t="inlineStr">
        <x:is>
          <x:t xml:space="preserve">V02_study_recall</x:t>
        </x:is>
      </x:c>
      <x:c r="D153" s="5" t="inlineStr">
        <x:is>
          <x:t xml:space="preserve">bcc_plus</x:t>
        </x:is>
      </x:c>
      <x:c r="E153" s="5" t="inlineStr">
        <x:is>
          <x:t xml:space="preserve">muted</x:t>
        </x:is>
      </x:c>
      <x:c r="F153" s="6" t="inlineStr">
        <x:is>
          <x:t xml:space="preserve"/>
        </x:is>
      </x:c>
      <x:c r="G153" s="6" t="inlineStr">
        <x:is>
          <x:t xml:space="preserve">6</x:t>
        </x:is>
      </x:c>
      <x:c r="H153" s="5" t="inlineStr">
        <x:is>
          <x:t xml:space="preserve"/>
        </x:is>
      </x:c>
      <x:c r="I153" s="5" t="inlineStr">
        <x:is>
          <x:t xml:space="preserve"/>
        </x:is>
      </x:c>
      <x:c r="J153" s="5" t="inlineStr">
        <x:is>
          <x:t xml:space="preserve"/>
        </x:is>
      </x:c>
      <x:c r="K153" s="5" t="inlineStr">
        <x:is>
          <x:t xml:space="preserve"/>
        </x:is>
      </x:c>
      <x:c r="L153" s="5" t="inlineStr">
        <x:is>
          <x:t xml:space="preserve"/>
        </x:is>
      </x:c>
      <x:c r="M153" s="5" t="inlineStr">
        <x:is>
          <x:t xml:space="preserve"/>
        </x:is>
      </x:c>
      <x:c r="N153" s="5" t="inlineStr">
        <x:is>
          <x:t xml:space="preserve"/>
        </x:is>
      </x:c>
      <x:c r="O153" s="5" t="inlineStr">
        <x:is>
          <x:t xml:space="preserve"/>
        </x:is>
      </x:c>
      <x:c r="P153" s="5" t="inlineStr">
        <x:is>
          <x:t xml:space="preserve"/>
        </x:is>
      </x:c>
      <x:c r="Q153" s="5" t="inlineStr">
        <x:is>
          <x:t xml:space="preserve"/>
        </x:is>
      </x:c>
      <x:c r="R153" s="5">
        <x:f>IF(OR(F153="",G153=""),"",IF(F153&gt;=0.95*G153,1,0))</x:f>
      </x:c>
      <x:c r="S153" s="7">
        <x:f>IFERROR((I153+J153+K153)/F153,"")</x:f>
      </x:c>
      <x:c r="T153" s="5">
        <x:f>IFERROR(I153+J153+K153,"")</x:f>
        <x:v>0</x:v>
      </x:c>
    </x:row>
    <x:row r="154" ht="22" customHeight="1">
      <x:c r="A154" s="5" t="inlineStr">
        <x:is>
          <x:t xml:space="preserve">P013</x:t>
        </x:is>
      </x:c>
      <x:c r="B154" s="5" t="inlineStr">
        <x:is>
          <x:t xml:space="preserve">6</x:t>
        </x:is>
      </x:c>
      <x:c r="C154" s="5" t="inlineStr">
        <x:is>
          <x:t xml:space="preserve">V06_overload_open_loops</x:t>
        </x:is>
      </x:c>
      <x:c r="D154" s="5" t="inlineStr">
        <x:is>
          <x:t xml:space="preserve">heavy_bionic</x:t>
        </x:is>
      </x:c>
      <x:c r="E154" s="5" t="inlineStr">
        <x:is>
          <x:t xml:space="preserve">audio_on</x:t>
        </x:is>
      </x:c>
      <x:c r="F154" s="6" t="inlineStr">
        <x:is>
          <x:t xml:space="preserve"/>
        </x:is>
      </x:c>
      <x:c r="G154" s="6" t="inlineStr">
        <x:is>
          <x:t xml:space="preserve">6</x:t>
        </x:is>
      </x:c>
      <x:c r="H154" s="5" t="inlineStr">
        <x:is>
          <x:t xml:space="preserve"/>
        </x:is>
      </x:c>
      <x:c r="I154" s="5" t="inlineStr">
        <x:is>
          <x:t xml:space="preserve"/>
        </x:is>
      </x:c>
      <x:c r="J154" s="5" t="inlineStr">
        <x:is>
          <x:t xml:space="preserve"/>
        </x:is>
      </x:c>
      <x:c r="K154" s="5" t="inlineStr">
        <x:is>
          <x:t xml:space="preserve"/>
        </x:is>
      </x:c>
      <x:c r="L154" s="5" t="inlineStr">
        <x:is>
          <x:t xml:space="preserve"/>
        </x:is>
      </x:c>
      <x:c r="M154" s="5" t="inlineStr">
        <x:is>
          <x:t xml:space="preserve"/>
        </x:is>
      </x:c>
      <x:c r="N154" s="5" t="inlineStr">
        <x:is>
          <x:t xml:space="preserve"/>
        </x:is>
      </x:c>
      <x:c r="O154" s="5" t="inlineStr">
        <x:is>
          <x:t xml:space="preserve"/>
        </x:is>
      </x:c>
      <x:c r="P154" s="5" t="inlineStr">
        <x:is>
          <x:t xml:space="preserve"/>
        </x:is>
      </x:c>
      <x:c r="Q154" s="5" t="inlineStr">
        <x:is>
          <x:t xml:space="preserve"/>
        </x:is>
      </x:c>
      <x:c r="R154" s="5">
        <x:f>IF(OR(F154="",G154=""),"",IF(F154&gt;=0.95*G154,1,0))</x:f>
      </x:c>
      <x:c r="S154" s="7">
        <x:f>IFERROR((I154+J154+K154)/F154,"")</x:f>
      </x:c>
      <x:c r="T154" s="5">
        <x:f>IFERROR(I154+J154+K154,"")</x:f>
        <x:v>0</x:v>
      </x:c>
    </x:row>
    <x:row r="155" ht="22" customHeight="1">
      <x:c r="A155" s="5" t="inlineStr">
        <x:is>
          <x:t xml:space="preserve">P013</x:t>
        </x:is>
      </x:c>
      <x:c r="B155" s="5" t="inlineStr">
        <x:is>
          <x:t xml:space="preserve">7</x:t>
        </x:is>
      </x:c>
      <x:c r="C155" s="5" t="inlineStr">
        <x:is>
          <x:t xml:space="preserve">V04_money_visibility</x:t>
        </x:is>
      </x:c>
      <x:c r="D155" s="5" t="inlineStr">
        <x:is>
          <x:t xml:space="preserve">full_transcript</x:t>
        </x:is>
      </x:c>
      <x:c r="E155" s="5" t="inlineStr">
        <x:is>
          <x:t xml:space="preserve">muted</x:t>
        </x:is>
      </x:c>
      <x:c r="F155" s="6" t="inlineStr">
        <x:is>
          <x:t xml:space="preserve"/>
        </x:is>
      </x:c>
      <x:c r="G155" s="6" t="inlineStr">
        <x:is>
          <x:t xml:space="preserve">6</x:t>
        </x:is>
      </x:c>
      <x:c r="H155" s="5" t="inlineStr">
        <x:is>
          <x:t xml:space="preserve"/>
        </x:is>
      </x:c>
      <x:c r="I155" s="5" t="inlineStr">
        <x:is>
          <x:t xml:space="preserve"/>
        </x:is>
      </x:c>
      <x:c r="J155" s="5" t="inlineStr">
        <x:is>
          <x:t xml:space="preserve"/>
        </x:is>
      </x:c>
      <x:c r="K155" s="5" t="inlineStr">
        <x:is>
          <x:t xml:space="preserve"/>
        </x:is>
      </x:c>
      <x:c r="L155" s="5" t="inlineStr">
        <x:is>
          <x:t xml:space="preserve"/>
        </x:is>
      </x:c>
      <x:c r="M155" s="5" t="inlineStr">
        <x:is>
          <x:t xml:space="preserve"/>
        </x:is>
      </x:c>
      <x:c r="N155" s="5" t="inlineStr">
        <x:is>
          <x:t xml:space="preserve"/>
        </x:is>
      </x:c>
      <x:c r="O155" s="5" t="inlineStr">
        <x:is>
          <x:t xml:space="preserve"/>
        </x:is>
      </x:c>
      <x:c r="P155" s="5" t="inlineStr">
        <x:is>
          <x:t xml:space="preserve"/>
        </x:is>
      </x:c>
      <x:c r="Q155" s="5" t="inlineStr">
        <x:is>
          <x:t xml:space="preserve"/>
        </x:is>
      </x:c>
      <x:c r="R155" s="5">
        <x:f>IF(OR(F155="",G155=""),"",IF(F155&gt;=0.95*G155,1,0))</x:f>
      </x:c>
      <x:c r="S155" s="7">
        <x:f>IFERROR((I155+J155+K155)/F155,"")</x:f>
      </x:c>
      <x:c r="T155" s="5">
        <x:f>IFERROR(I155+J155+K155,"")</x:f>
        <x:v>0</x:v>
      </x:c>
    </x:row>
    <x:row r="156" ht="22" customHeight="1">
      <x:c r="A156" s="5" t="inlineStr">
        <x:is>
          <x:t xml:space="preserve">P013</x:t>
        </x:is>
      </x:c>
      <x:c r="B156" s="5" t="inlineStr">
        <x:is>
          <x:t xml:space="preserve">8</x:t>
        </x:is>
      </x:c>
      <x:c r="C156" s="5" t="inlineStr">
        <x:is>
          <x:t xml:space="preserve">V12_creativity_constraints</x:t>
        </x:is>
      </x:c>
      <x:c r="D156" s="5" t="inlineStr">
        <x:is>
          <x:t xml:space="preserve">keyword_highlight</x:t>
        </x:is>
      </x:c>
      <x:c r="E156" s="5" t="inlineStr">
        <x:is>
          <x:t xml:space="preserve">audio_on</x:t>
        </x:is>
      </x:c>
      <x:c r="F156" s="6" t="inlineStr">
        <x:is>
          <x:t xml:space="preserve"/>
        </x:is>
      </x:c>
      <x:c r="G156" s="6" t="inlineStr">
        <x:is>
          <x:t xml:space="preserve">6</x:t>
        </x:is>
      </x:c>
      <x:c r="H156" s="5" t="inlineStr">
        <x:is>
          <x:t xml:space="preserve"/>
        </x:is>
      </x:c>
      <x:c r="I156" s="5" t="inlineStr">
        <x:is>
          <x:t xml:space="preserve"/>
        </x:is>
      </x:c>
      <x:c r="J156" s="5" t="inlineStr">
        <x:is>
          <x:t xml:space="preserve"/>
        </x:is>
      </x:c>
      <x:c r="K156" s="5" t="inlineStr">
        <x:is>
          <x:t xml:space="preserve"/>
        </x:is>
      </x:c>
      <x:c r="L156" s="5" t="inlineStr">
        <x:is>
          <x:t xml:space="preserve"/>
        </x:is>
      </x:c>
      <x:c r="M156" s="5" t="inlineStr">
        <x:is>
          <x:t xml:space="preserve"/>
        </x:is>
      </x:c>
      <x:c r="N156" s="5" t="inlineStr">
        <x:is>
          <x:t xml:space="preserve"/>
        </x:is>
      </x:c>
      <x:c r="O156" s="5" t="inlineStr">
        <x:is>
          <x:t xml:space="preserve"/>
        </x:is>
      </x:c>
      <x:c r="P156" s="5" t="inlineStr">
        <x:is>
          <x:t xml:space="preserve"/>
        </x:is>
      </x:c>
      <x:c r="Q156" s="5" t="inlineStr">
        <x:is>
          <x:t xml:space="preserve"/>
        </x:is>
      </x:c>
      <x:c r="R156" s="5">
        <x:f>IF(OR(F156="",G156=""),"",IF(F156&gt;=0.95*G156,1,0))</x:f>
      </x:c>
      <x:c r="S156" s="7">
        <x:f>IFERROR((I156+J156+K156)/F156,"")</x:f>
      </x:c>
      <x:c r="T156" s="5">
        <x:f>IFERROR(I156+J156+K156,"")</x:f>
        <x:v>0</x:v>
      </x:c>
    </x:row>
    <x:row r="157" ht="22" customHeight="1">
      <x:c r="A157" s="5" t="inlineStr">
        <x:is>
          <x:t xml:space="preserve">P013</x:t>
        </x:is>
      </x:c>
      <x:c r="B157" s="5" t="inlineStr">
        <x:is>
          <x:t xml:space="preserve">9</x:t>
        </x:is>
      </x:c>
      <x:c r="C157" s="5" t="inlineStr">
        <x:is>
          <x:t xml:space="preserve">V05_coding_assumptions</x:t>
        </x:is>
      </x:c>
      <x:c r="D157" s="5" t="inlineStr">
        <x:is>
          <x:t xml:space="preserve">semantic_compression</x:t>
        </x:is>
      </x:c>
      <x:c r="E157" s="5" t="inlineStr">
        <x:is>
          <x:t xml:space="preserve">muted</x:t>
        </x:is>
      </x:c>
      <x:c r="F157" s="6" t="inlineStr">
        <x:is>
          <x:t xml:space="preserve"/>
        </x:is>
      </x:c>
      <x:c r="G157" s="6" t="inlineStr">
        <x:is>
          <x:t xml:space="preserve">6</x:t>
        </x:is>
      </x:c>
      <x:c r="H157" s="5" t="inlineStr">
        <x:is>
          <x:t xml:space="preserve"/>
        </x:is>
      </x:c>
      <x:c r="I157" s="5" t="inlineStr">
        <x:is>
          <x:t xml:space="preserve"/>
        </x:is>
      </x:c>
      <x:c r="J157" s="5" t="inlineStr">
        <x:is>
          <x:t xml:space="preserve"/>
        </x:is>
      </x:c>
      <x:c r="K157" s="5" t="inlineStr">
        <x:is>
          <x:t xml:space="preserve"/>
        </x:is>
      </x:c>
      <x:c r="L157" s="5" t="inlineStr">
        <x:is>
          <x:t xml:space="preserve"/>
        </x:is>
      </x:c>
      <x:c r="M157" s="5" t="inlineStr">
        <x:is>
          <x:t xml:space="preserve"/>
        </x:is>
      </x:c>
      <x:c r="N157" s="5" t="inlineStr">
        <x:is>
          <x:t xml:space="preserve"/>
        </x:is>
      </x:c>
      <x:c r="O157" s="5" t="inlineStr">
        <x:is>
          <x:t xml:space="preserve"/>
        </x:is>
      </x:c>
      <x:c r="P157" s="5" t="inlineStr">
        <x:is>
          <x:t xml:space="preserve"/>
        </x:is>
      </x:c>
      <x:c r="Q157" s="5" t="inlineStr">
        <x:is>
          <x:t xml:space="preserve"/>
        </x:is>
      </x:c>
      <x:c r="R157" s="5">
        <x:f>IF(OR(F157="",G157=""),"",IF(F157&gt;=0.95*G157,1,0))</x:f>
      </x:c>
      <x:c r="S157" s="7">
        <x:f>IFERROR((I157+J157+K157)/F157,"")</x:f>
      </x:c>
      <x:c r="T157" s="5">
        <x:f>IFERROR(I157+J157+K157,"")</x:f>
        <x:v>0</x:v>
      </x:c>
    </x:row>
    <x:row r="158" ht="22" customHeight="1">
      <x:c r="A158" s="5" t="inlineStr">
        <x:is>
          <x:t xml:space="preserve">P013</x:t>
        </x:is>
      </x:c>
      <x:c r="B158" s="5" t="inlineStr">
        <x:is>
          <x:t xml:space="preserve">10</x:t>
        </x:is>
      </x:c>
      <x:c r="C158" s="5" t="inlineStr">
        <x:is>
          <x:t xml:space="preserve">V10_tutorial_ui</x:t>
        </x:is>
      </x:c>
      <x:c r="D158" s="5" t="inlineStr">
        <x:is>
          <x:t xml:space="preserve">bcc</x:t>
        </x:is>
      </x:c>
      <x:c r="E158" s="5" t="inlineStr">
        <x:is>
          <x:t xml:space="preserve">audio_on</x:t>
        </x:is>
      </x:c>
      <x:c r="F158" s="6" t="inlineStr">
        <x:is>
          <x:t xml:space="preserve"/>
        </x:is>
      </x:c>
      <x:c r="G158" s="6" t="inlineStr">
        <x:is>
          <x:t xml:space="preserve">6</x:t>
        </x:is>
      </x:c>
      <x:c r="H158" s="5" t="inlineStr">
        <x:is>
          <x:t xml:space="preserve"/>
        </x:is>
      </x:c>
      <x:c r="I158" s="5" t="inlineStr">
        <x:is>
          <x:t xml:space="preserve"/>
        </x:is>
      </x:c>
      <x:c r="J158" s="5" t="inlineStr">
        <x:is>
          <x:t xml:space="preserve"/>
        </x:is>
      </x:c>
      <x:c r="K158" s="5" t="inlineStr">
        <x:is>
          <x:t xml:space="preserve"/>
        </x:is>
      </x:c>
      <x:c r="L158" s="5" t="inlineStr">
        <x:is>
          <x:t xml:space="preserve"/>
        </x:is>
      </x:c>
      <x:c r="M158" s="5" t="inlineStr">
        <x:is>
          <x:t xml:space="preserve"/>
        </x:is>
      </x:c>
      <x:c r="N158" s="5" t="inlineStr">
        <x:is>
          <x:t xml:space="preserve"/>
        </x:is>
      </x:c>
      <x:c r="O158" s="5" t="inlineStr">
        <x:is>
          <x:t xml:space="preserve"/>
        </x:is>
      </x:c>
      <x:c r="P158" s="5" t="inlineStr">
        <x:is>
          <x:t xml:space="preserve"/>
        </x:is>
      </x:c>
      <x:c r="Q158" s="5" t="inlineStr">
        <x:is>
          <x:t xml:space="preserve"/>
        </x:is>
      </x:c>
      <x:c r="R158" s="5">
        <x:f>IF(OR(F158="",G158=""),"",IF(F158&gt;=0.95*G158,1,0))</x:f>
      </x:c>
      <x:c r="S158" s="7">
        <x:f>IFERROR((I158+J158+K158)/F158,"")</x:f>
      </x:c>
      <x:c r="T158" s="5">
        <x:f>IFERROR(I158+J158+K158,"")</x:f>
        <x:v>0</x:v>
      </x:c>
    </x:row>
    <x:row r="159" ht="22" customHeight="1">
      <x:c r="A159" s="5" t="inlineStr">
        <x:is>
          <x:t xml:space="preserve">P013</x:t>
        </x:is>
      </x:c>
      <x:c r="B159" s="5" t="inlineStr">
        <x:is>
          <x:t xml:space="preserve">11</x:t>
        </x:is>
      </x:c>
      <x:c r="C159" s="5" t="inlineStr">
        <x:is>
          <x:t xml:space="preserve">V11_story_burnout</x:t>
        </x:is>
      </x:c>
      <x:c r="D159" s="5" t="inlineStr">
        <x:is>
          <x:t xml:space="preserve">bcc_plus</x:t>
        </x:is>
      </x:c>
      <x:c r="E159" s="5" t="inlineStr">
        <x:is>
          <x:t xml:space="preserve">muted</x:t>
        </x:is>
      </x:c>
      <x:c r="F159" s="6" t="inlineStr">
        <x:is>
          <x:t xml:space="preserve"/>
        </x:is>
      </x:c>
      <x:c r="G159" s="6" t="inlineStr">
        <x:is>
          <x:t xml:space="preserve">6</x:t>
        </x:is>
      </x:c>
      <x:c r="H159" s="5" t="inlineStr">
        <x:is>
          <x:t xml:space="preserve"/>
        </x:is>
      </x:c>
      <x:c r="I159" s="5" t="inlineStr">
        <x:is>
          <x:t xml:space="preserve"/>
        </x:is>
      </x:c>
      <x:c r="J159" s="5" t="inlineStr">
        <x:is>
          <x:t xml:space="preserve"/>
        </x:is>
      </x:c>
      <x:c r="K159" s="5" t="inlineStr">
        <x:is>
          <x:t xml:space="preserve"/>
        </x:is>
      </x:c>
      <x:c r="L159" s="5" t="inlineStr">
        <x:is>
          <x:t xml:space="preserve"/>
        </x:is>
      </x:c>
      <x:c r="M159" s="5" t="inlineStr">
        <x:is>
          <x:t xml:space="preserve"/>
        </x:is>
      </x:c>
      <x:c r="N159" s="5" t="inlineStr">
        <x:is>
          <x:t xml:space="preserve"/>
        </x:is>
      </x:c>
      <x:c r="O159" s="5" t="inlineStr">
        <x:is>
          <x:t xml:space="preserve"/>
        </x:is>
      </x:c>
      <x:c r="P159" s="5" t="inlineStr">
        <x:is>
          <x:t xml:space="preserve"/>
        </x:is>
      </x:c>
      <x:c r="Q159" s="5" t="inlineStr">
        <x:is>
          <x:t xml:space="preserve"/>
        </x:is>
      </x:c>
      <x:c r="R159" s="5">
        <x:f>IF(OR(F159="",G159=""),"",IF(F159&gt;=0.95*G159,1,0))</x:f>
      </x:c>
      <x:c r="S159" s="7">
        <x:f>IFERROR((I159+J159+K159)/F159,"")</x:f>
      </x:c>
      <x:c r="T159" s="5">
        <x:f>IFERROR(I159+J159+K159,"")</x:f>
        <x:v>0</x:v>
      </x:c>
    </x:row>
    <x:row r="160" ht="22" customHeight="1">
      <x:c r="A160" s="5" t="inlineStr">
        <x:is>
          <x:t xml:space="preserve">P013</x:t>
        </x:is>
      </x:c>
      <x:c r="B160" s="5" t="inlineStr">
        <x:is>
          <x:t xml:space="preserve">12</x:t>
        </x:is>
      </x:c>
      <x:c r="C160" s="5" t="inlineStr">
        <x:is>
          <x:t xml:space="preserve">V08_calendar_system</x:t>
        </x:is>
      </x:c>
      <x:c r="D160" s="5" t="inlineStr">
        <x:is>
          <x:t xml:space="preserve">heavy_bionic</x:t>
        </x:is>
      </x:c>
      <x:c r="E160" s="5" t="inlineStr">
        <x:is>
          <x:t xml:space="preserve">audio_on</x:t>
        </x:is>
      </x:c>
      <x:c r="F160" s="6" t="inlineStr">
        <x:is>
          <x:t xml:space="preserve"/>
        </x:is>
      </x:c>
      <x:c r="G160" s="6" t="inlineStr">
        <x:is>
          <x:t xml:space="preserve">6</x:t>
        </x:is>
      </x:c>
      <x:c r="H160" s="5" t="inlineStr">
        <x:is>
          <x:t xml:space="preserve"/>
        </x:is>
      </x:c>
      <x:c r="I160" s="5" t="inlineStr">
        <x:is>
          <x:t xml:space="preserve"/>
        </x:is>
      </x:c>
      <x:c r="J160" s="5" t="inlineStr">
        <x:is>
          <x:t xml:space="preserve"/>
        </x:is>
      </x:c>
      <x:c r="K160" s="5" t="inlineStr">
        <x:is>
          <x:t xml:space="preserve"/>
        </x:is>
      </x:c>
      <x:c r="L160" s="5" t="inlineStr">
        <x:is>
          <x:t xml:space="preserve"/>
        </x:is>
      </x:c>
      <x:c r="M160" s="5" t="inlineStr">
        <x:is>
          <x:t xml:space="preserve"/>
        </x:is>
      </x:c>
      <x:c r="N160" s="5" t="inlineStr">
        <x:is>
          <x:t xml:space="preserve"/>
        </x:is>
      </x:c>
      <x:c r="O160" s="5" t="inlineStr">
        <x:is>
          <x:t xml:space="preserve"/>
        </x:is>
      </x:c>
      <x:c r="P160" s="5" t="inlineStr">
        <x:is>
          <x:t xml:space="preserve"/>
        </x:is>
      </x:c>
      <x:c r="Q160" s="5" t="inlineStr">
        <x:is>
          <x:t xml:space="preserve"/>
        </x:is>
      </x:c>
      <x:c r="R160" s="5">
        <x:f>IF(OR(F160="",G160=""),"",IF(F160&gt;=0.95*G160,1,0))</x:f>
      </x:c>
      <x:c r="S160" s="7">
        <x:f>IFERROR((I160+J160+K160)/F160,"")</x:f>
      </x:c>
      <x:c r="T160" s="5">
        <x:f>IFERROR(I160+J160+K160,"")</x:f>
        <x:v>0</x:v>
      </x:c>
    </x:row>
    <x:row r="161" ht="22" customHeight="1">
      <x:c r="A161" s="5" t="inlineStr">
        <x:is>
          <x:t xml:space="preserve">P014</x:t>
        </x:is>
      </x:c>
      <x:c r="B161" s="5" t="inlineStr">
        <x:is>
          <x:t xml:space="preserve">1</x:t>
        </x:is>
      </x:c>
      <x:c r="C161" s="5" t="inlineStr">
        <x:is>
          <x:t xml:space="preserve">V07_business_clarity</x:t>
        </x:is>
      </x:c>
      <x:c r="D161" s="5" t="inlineStr">
        <x:is>
          <x:t xml:space="preserve">keyword_highlight</x:t>
        </x:is>
      </x:c>
      <x:c r="E161" s="5" t="inlineStr">
        <x:is>
          <x:t xml:space="preserve">audio_on</x:t>
        </x:is>
      </x:c>
      <x:c r="F161" s="6" t="inlineStr">
        <x:is>
          <x:t xml:space="preserve"/>
        </x:is>
      </x:c>
      <x:c r="G161" s="6" t="inlineStr">
        <x:is>
          <x:t xml:space="preserve">6</x:t>
        </x:is>
      </x:c>
      <x:c r="H161" s="5" t="inlineStr">
        <x:is>
          <x:t xml:space="preserve"/>
        </x:is>
      </x:c>
      <x:c r="I161" s="5" t="inlineStr">
        <x:is>
          <x:t xml:space="preserve"/>
        </x:is>
      </x:c>
      <x:c r="J161" s="5" t="inlineStr">
        <x:is>
          <x:t xml:space="preserve"/>
        </x:is>
      </x:c>
      <x:c r="K161" s="5" t="inlineStr">
        <x:is>
          <x:t xml:space="preserve"/>
        </x:is>
      </x:c>
      <x:c r="L161" s="5" t="inlineStr">
        <x:is>
          <x:t xml:space="preserve"/>
        </x:is>
      </x:c>
      <x:c r="M161" s="5" t="inlineStr">
        <x:is>
          <x:t xml:space="preserve"/>
        </x:is>
      </x:c>
      <x:c r="N161" s="5" t="inlineStr">
        <x:is>
          <x:t xml:space="preserve"/>
        </x:is>
      </x:c>
      <x:c r="O161" s="5" t="inlineStr">
        <x:is>
          <x:t xml:space="preserve"/>
        </x:is>
      </x:c>
      <x:c r="P161" s="5" t="inlineStr">
        <x:is>
          <x:t xml:space="preserve"/>
        </x:is>
      </x:c>
      <x:c r="Q161" s="5" t="inlineStr">
        <x:is>
          <x:t xml:space="preserve"/>
        </x:is>
      </x:c>
      <x:c r="R161" s="5">
        <x:f>IF(OR(F161="",G161=""),"",IF(F161&gt;=0.95*G161,1,0))</x:f>
      </x:c>
      <x:c r="S161" s="7">
        <x:f>IFERROR((I161+J161+K161)/F161,"")</x:f>
      </x:c>
      <x:c r="T161" s="5">
        <x:f>IFERROR(I161+J161+K161,"")</x:f>
        <x:v>0</x:v>
      </x:c>
    </x:row>
    <x:row r="162" ht="22" customHeight="1">
      <x:c r="A162" s="5" t="inlineStr">
        <x:is>
          <x:t xml:space="preserve">P014</x:t>
        </x:is>
      </x:c>
      <x:c r="B162" s="5" t="inlineStr">
        <x:is>
          <x:t xml:space="preserve">2</x:t>
        </x:is>
      </x:c>
      <x:c r="C162" s="5" t="inlineStr">
        <x:is>
          <x:t xml:space="preserve">V06_overload_open_loops</x:t>
        </x:is>
      </x:c>
      <x:c r="D162" s="5" t="inlineStr">
        <x:is>
          <x:t xml:space="preserve">semantic_compression</x:t>
        </x:is>
      </x:c>
      <x:c r="E162" s="5" t="inlineStr">
        <x:is>
          <x:t xml:space="preserve">muted</x:t>
        </x:is>
      </x:c>
      <x:c r="F162" s="6" t="inlineStr">
        <x:is>
          <x:t xml:space="preserve"/>
        </x:is>
      </x:c>
      <x:c r="G162" s="6" t="inlineStr">
        <x:is>
          <x:t xml:space="preserve">6</x:t>
        </x:is>
      </x:c>
      <x:c r="H162" s="5" t="inlineStr">
        <x:is>
          <x:t xml:space="preserve"/>
        </x:is>
      </x:c>
      <x:c r="I162" s="5" t="inlineStr">
        <x:is>
          <x:t xml:space="preserve"/>
        </x:is>
      </x:c>
      <x:c r="J162" s="5" t="inlineStr">
        <x:is>
          <x:t xml:space="preserve"/>
        </x:is>
      </x:c>
      <x:c r="K162" s="5" t="inlineStr">
        <x:is>
          <x:t xml:space="preserve"/>
        </x:is>
      </x:c>
      <x:c r="L162" s="5" t="inlineStr">
        <x:is>
          <x:t xml:space="preserve"/>
        </x:is>
      </x:c>
      <x:c r="M162" s="5" t="inlineStr">
        <x:is>
          <x:t xml:space="preserve"/>
        </x:is>
      </x:c>
      <x:c r="N162" s="5" t="inlineStr">
        <x:is>
          <x:t xml:space="preserve"/>
        </x:is>
      </x:c>
      <x:c r="O162" s="5" t="inlineStr">
        <x:is>
          <x:t xml:space="preserve"/>
        </x:is>
      </x:c>
      <x:c r="P162" s="5" t="inlineStr">
        <x:is>
          <x:t xml:space="preserve"/>
        </x:is>
      </x:c>
      <x:c r="Q162" s="5" t="inlineStr">
        <x:is>
          <x:t xml:space="preserve"/>
        </x:is>
      </x:c>
      <x:c r="R162" s="5">
        <x:f>IF(OR(F162="",G162=""),"",IF(F162&gt;=0.95*G162,1,0))</x:f>
      </x:c>
      <x:c r="S162" s="7">
        <x:f>IFERROR((I162+J162+K162)/F162,"")</x:f>
      </x:c>
      <x:c r="T162" s="5">
        <x:f>IFERROR(I162+J162+K162,"")</x:f>
        <x:v>0</x:v>
      </x:c>
    </x:row>
    <x:row r="163" ht="22" customHeight="1">
      <x:c r="A163" s="5" t="inlineStr">
        <x:is>
          <x:t xml:space="preserve">P014</x:t>
        </x:is>
      </x:c>
      <x:c r="B163" s="5" t="inlineStr">
        <x:is>
          <x:t xml:space="preserve">3</x:t>
        </x:is>
      </x:c>
      <x:c r="C163" s="5" t="inlineStr">
        <x:is>
          <x:t xml:space="preserve">V09_nutrition_satiety</x:t>
        </x:is>
      </x:c>
      <x:c r="D163" s="5" t="inlineStr">
        <x:is>
          <x:t xml:space="preserve">bcc</x:t>
        </x:is>
      </x:c>
      <x:c r="E163" s="5" t="inlineStr">
        <x:is>
          <x:t xml:space="preserve">audio_on</x:t>
        </x:is>
      </x:c>
      <x:c r="F163" s="6" t="inlineStr">
        <x:is>
          <x:t xml:space="preserve"/>
        </x:is>
      </x:c>
      <x:c r="G163" s="6" t="inlineStr">
        <x:is>
          <x:t xml:space="preserve">6</x:t>
        </x:is>
      </x:c>
      <x:c r="H163" s="5" t="inlineStr">
        <x:is>
          <x:t xml:space="preserve"/>
        </x:is>
      </x:c>
      <x:c r="I163" s="5" t="inlineStr">
        <x:is>
          <x:t xml:space="preserve"/>
        </x:is>
      </x:c>
      <x:c r="J163" s="5" t="inlineStr">
        <x:is>
          <x:t xml:space="preserve"/>
        </x:is>
      </x:c>
      <x:c r="K163" s="5" t="inlineStr">
        <x:is>
          <x:t xml:space="preserve"/>
        </x:is>
      </x:c>
      <x:c r="L163" s="5" t="inlineStr">
        <x:is>
          <x:t xml:space="preserve"/>
        </x:is>
      </x:c>
      <x:c r="M163" s="5" t="inlineStr">
        <x:is>
          <x:t xml:space="preserve"/>
        </x:is>
      </x:c>
      <x:c r="N163" s="5" t="inlineStr">
        <x:is>
          <x:t xml:space="preserve"/>
        </x:is>
      </x:c>
      <x:c r="O163" s="5" t="inlineStr">
        <x:is>
          <x:t xml:space="preserve"/>
        </x:is>
      </x:c>
      <x:c r="P163" s="5" t="inlineStr">
        <x:is>
          <x:t xml:space="preserve"/>
        </x:is>
      </x:c>
      <x:c r="Q163" s="5" t="inlineStr">
        <x:is>
          <x:t xml:space="preserve"/>
        </x:is>
      </x:c>
      <x:c r="R163" s="5">
        <x:f>IF(OR(F163="",G163=""),"",IF(F163&gt;=0.95*G163,1,0))</x:f>
      </x:c>
      <x:c r="S163" s="7">
        <x:f>IFERROR((I163+J163+K163)/F163,"")</x:f>
      </x:c>
      <x:c r="T163" s="5">
        <x:f>IFERROR(I163+J163+K163,"")</x:f>
        <x:v>0</x:v>
      </x:c>
    </x:row>
    <x:row r="164" ht="22" customHeight="1">
      <x:c r="A164" s="5" t="inlineStr">
        <x:is>
          <x:t xml:space="preserve">P014</x:t>
        </x:is>
      </x:c>
      <x:c r="B164" s="5" t="inlineStr">
        <x:is>
          <x:t xml:space="preserve">4</x:t>
        </x:is>
      </x:c>
      <x:c r="C164" s="5" t="inlineStr">
        <x:is>
          <x:t xml:space="preserve">V04_money_visibility</x:t>
        </x:is>
      </x:c>
      <x:c r="D164" s="5" t="inlineStr">
        <x:is>
          <x:t xml:space="preserve">bcc_plus</x:t>
        </x:is>
      </x:c>
      <x:c r="E164" s="5" t="inlineStr">
        <x:is>
          <x:t xml:space="preserve">muted</x:t>
        </x:is>
      </x:c>
      <x:c r="F164" s="6" t="inlineStr">
        <x:is>
          <x:t xml:space="preserve"/>
        </x:is>
      </x:c>
      <x:c r="G164" s="6" t="inlineStr">
        <x:is>
          <x:t xml:space="preserve">6</x:t>
        </x:is>
      </x:c>
      <x:c r="H164" s="5" t="inlineStr">
        <x:is>
          <x:t xml:space="preserve"/>
        </x:is>
      </x:c>
      <x:c r="I164" s="5" t="inlineStr">
        <x:is>
          <x:t xml:space="preserve"/>
        </x:is>
      </x:c>
      <x:c r="J164" s="5" t="inlineStr">
        <x:is>
          <x:t xml:space="preserve"/>
        </x:is>
      </x:c>
      <x:c r="K164" s="5" t="inlineStr">
        <x:is>
          <x:t xml:space="preserve"/>
        </x:is>
      </x:c>
      <x:c r="L164" s="5" t="inlineStr">
        <x:is>
          <x:t xml:space="preserve"/>
        </x:is>
      </x:c>
      <x:c r="M164" s="5" t="inlineStr">
        <x:is>
          <x:t xml:space="preserve"/>
        </x:is>
      </x:c>
      <x:c r="N164" s="5" t="inlineStr">
        <x:is>
          <x:t xml:space="preserve"/>
        </x:is>
      </x:c>
      <x:c r="O164" s="5" t="inlineStr">
        <x:is>
          <x:t xml:space="preserve"/>
        </x:is>
      </x:c>
      <x:c r="P164" s="5" t="inlineStr">
        <x:is>
          <x:t xml:space="preserve"/>
        </x:is>
      </x:c>
      <x:c r="Q164" s="5" t="inlineStr">
        <x:is>
          <x:t xml:space="preserve"/>
        </x:is>
      </x:c>
      <x:c r="R164" s="5">
        <x:f>IF(OR(F164="",G164=""),"",IF(F164&gt;=0.95*G164,1,0))</x:f>
      </x:c>
      <x:c r="S164" s="7">
        <x:f>IFERROR((I164+J164+K164)/F164,"")</x:f>
      </x:c>
      <x:c r="T164" s="5">
        <x:f>IFERROR(I164+J164+K164,"")</x:f>
        <x:v>0</x:v>
      </x:c>
    </x:row>
    <x:row r="165" ht="22" customHeight="1">
      <x:c r="A165" s="5" t="inlineStr">
        <x:is>
          <x:t xml:space="preserve">P014</x:t>
        </x:is>
      </x:c>
      <x:c r="B165" s="5" t="inlineStr">
        <x:is>
          <x:t xml:space="preserve">5</x:t>
        </x:is>
      </x:c>
      <x:c r="C165" s="5" t="inlineStr">
        <x:is>
          <x:t xml:space="preserve">V02_study_recall</x:t>
        </x:is>
      </x:c>
      <x:c r="D165" s="5" t="inlineStr">
        <x:is>
          <x:t xml:space="preserve">heavy_bionic</x:t>
        </x:is>
      </x:c>
      <x:c r="E165" s="5" t="inlineStr">
        <x:is>
          <x:t xml:space="preserve">audio_on</x:t>
        </x:is>
      </x:c>
      <x:c r="F165" s="6" t="inlineStr">
        <x:is>
          <x:t xml:space="preserve"/>
        </x:is>
      </x:c>
      <x:c r="G165" s="6" t="inlineStr">
        <x:is>
          <x:t xml:space="preserve">6</x:t>
        </x:is>
      </x:c>
      <x:c r="H165" s="5" t="inlineStr">
        <x:is>
          <x:t xml:space="preserve"/>
        </x:is>
      </x:c>
      <x:c r="I165" s="5" t="inlineStr">
        <x:is>
          <x:t xml:space="preserve"/>
        </x:is>
      </x:c>
      <x:c r="J165" s="5" t="inlineStr">
        <x:is>
          <x:t xml:space="preserve"/>
        </x:is>
      </x:c>
      <x:c r="K165" s="5" t="inlineStr">
        <x:is>
          <x:t xml:space="preserve"/>
        </x:is>
      </x:c>
      <x:c r="L165" s="5" t="inlineStr">
        <x:is>
          <x:t xml:space="preserve"/>
        </x:is>
      </x:c>
      <x:c r="M165" s="5" t="inlineStr">
        <x:is>
          <x:t xml:space="preserve"/>
        </x:is>
      </x:c>
      <x:c r="N165" s="5" t="inlineStr">
        <x:is>
          <x:t xml:space="preserve"/>
        </x:is>
      </x:c>
      <x:c r="O165" s="5" t="inlineStr">
        <x:is>
          <x:t xml:space="preserve"/>
        </x:is>
      </x:c>
      <x:c r="P165" s="5" t="inlineStr">
        <x:is>
          <x:t xml:space="preserve"/>
        </x:is>
      </x:c>
      <x:c r="Q165" s="5" t="inlineStr">
        <x:is>
          <x:t xml:space="preserve"/>
        </x:is>
      </x:c>
      <x:c r="R165" s="5">
        <x:f>IF(OR(F165="",G165=""),"",IF(F165&gt;=0.95*G165,1,0))</x:f>
      </x:c>
      <x:c r="S165" s="7">
        <x:f>IFERROR((I165+J165+K165)/F165,"")</x:f>
      </x:c>
      <x:c r="T165" s="5">
        <x:f>IFERROR(I165+J165+K165,"")</x:f>
        <x:v>0</x:v>
      </x:c>
    </x:row>
    <x:row r="166" ht="22" customHeight="1">
      <x:c r="A166" s="5" t="inlineStr">
        <x:is>
          <x:t xml:space="preserve">P014</x:t>
        </x:is>
      </x:c>
      <x:c r="B166" s="5" t="inlineStr">
        <x:is>
          <x:t xml:space="preserve">6</x:t>
        </x:is>
      </x:c>
      <x:c r="C166" s="5" t="inlineStr">
        <x:is>
          <x:t xml:space="preserve">V03_fitness_setup</x:t>
        </x:is>
      </x:c>
      <x:c r="D166" s="5" t="inlineStr">
        <x:is>
          <x:t xml:space="preserve">full_transcript</x:t>
        </x:is>
      </x:c>
      <x:c r="E166" s="5" t="inlineStr">
        <x:is>
          <x:t xml:space="preserve">muted</x:t>
        </x:is>
      </x:c>
      <x:c r="F166" s="6" t="inlineStr">
        <x:is>
          <x:t xml:space="preserve"/>
        </x:is>
      </x:c>
      <x:c r="G166" s="6" t="inlineStr">
        <x:is>
          <x:t xml:space="preserve">6</x:t>
        </x:is>
      </x:c>
      <x:c r="H166" s="5" t="inlineStr">
        <x:is>
          <x:t xml:space="preserve"/>
        </x:is>
      </x:c>
      <x:c r="I166" s="5" t="inlineStr">
        <x:is>
          <x:t xml:space="preserve"/>
        </x:is>
      </x:c>
      <x:c r="J166" s="5" t="inlineStr">
        <x:is>
          <x:t xml:space="preserve"/>
        </x:is>
      </x:c>
      <x:c r="K166" s="5" t="inlineStr">
        <x:is>
          <x:t xml:space="preserve"/>
        </x:is>
      </x:c>
      <x:c r="L166" s="5" t="inlineStr">
        <x:is>
          <x:t xml:space="preserve"/>
        </x:is>
      </x:c>
      <x:c r="M166" s="5" t="inlineStr">
        <x:is>
          <x:t xml:space="preserve"/>
        </x:is>
      </x:c>
      <x:c r="N166" s="5" t="inlineStr">
        <x:is>
          <x:t xml:space="preserve"/>
        </x:is>
      </x:c>
      <x:c r="O166" s="5" t="inlineStr">
        <x:is>
          <x:t xml:space="preserve"/>
        </x:is>
      </x:c>
      <x:c r="P166" s="5" t="inlineStr">
        <x:is>
          <x:t xml:space="preserve"/>
        </x:is>
      </x:c>
      <x:c r="Q166" s="5" t="inlineStr">
        <x:is>
          <x:t xml:space="preserve"/>
        </x:is>
      </x:c>
      <x:c r="R166" s="5">
        <x:f>IF(OR(F166="",G166=""),"",IF(F166&gt;=0.95*G166,1,0))</x:f>
      </x:c>
      <x:c r="S166" s="7">
        <x:f>IFERROR((I166+J166+K166)/F166,"")</x:f>
      </x:c>
      <x:c r="T166" s="5">
        <x:f>IFERROR(I166+J166+K166,"")</x:f>
        <x:v>0</x:v>
      </x:c>
    </x:row>
    <x:row r="167" ht="22" customHeight="1">
      <x:c r="A167" s="5" t="inlineStr">
        <x:is>
          <x:t xml:space="preserve">P014</x:t>
        </x:is>
      </x:c>
      <x:c r="B167" s="5" t="inlineStr">
        <x:is>
          <x:t xml:space="preserve">7</x:t>
        </x:is>
      </x:c>
      <x:c r="C167" s="5" t="inlineStr">
        <x:is>
          <x:t xml:space="preserve">V10_tutorial_ui</x:t>
        </x:is>
      </x:c>
      <x:c r="D167" s="5" t="inlineStr">
        <x:is>
          <x:t xml:space="preserve">keyword_highlight</x:t>
        </x:is>
      </x:c>
      <x:c r="E167" s="5" t="inlineStr">
        <x:is>
          <x:t xml:space="preserve">audio_on</x:t>
        </x:is>
      </x:c>
      <x:c r="F167" s="6" t="inlineStr">
        <x:is>
          <x:t xml:space="preserve"/>
        </x:is>
      </x:c>
      <x:c r="G167" s="6" t="inlineStr">
        <x:is>
          <x:t xml:space="preserve">6</x:t>
        </x:is>
      </x:c>
      <x:c r="H167" s="5" t="inlineStr">
        <x:is>
          <x:t xml:space="preserve"/>
        </x:is>
      </x:c>
      <x:c r="I167" s="5" t="inlineStr">
        <x:is>
          <x:t xml:space="preserve"/>
        </x:is>
      </x:c>
      <x:c r="J167" s="5" t="inlineStr">
        <x:is>
          <x:t xml:space="preserve"/>
        </x:is>
      </x:c>
      <x:c r="K167" s="5" t="inlineStr">
        <x:is>
          <x:t xml:space="preserve"/>
        </x:is>
      </x:c>
      <x:c r="L167" s="5" t="inlineStr">
        <x:is>
          <x:t xml:space="preserve"/>
        </x:is>
      </x:c>
      <x:c r="M167" s="5" t="inlineStr">
        <x:is>
          <x:t xml:space="preserve"/>
        </x:is>
      </x:c>
      <x:c r="N167" s="5" t="inlineStr">
        <x:is>
          <x:t xml:space="preserve"/>
        </x:is>
      </x:c>
      <x:c r="O167" s="5" t="inlineStr">
        <x:is>
          <x:t xml:space="preserve"/>
        </x:is>
      </x:c>
      <x:c r="P167" s="5" t="inlineStr">
        <x:is>
          <x:t xml:space="preserve"/>
        </x:is>
      </x:c>
      <x:c r="Q167" s="5" t="inlineStr">
        <x:is>
          <x:t xml:space="preserve"/>
        </x:is>
      </x:c>
      <x:c r="R167" s="5">
        <x:f>IF(OR(F167="",G167=""),"",IF(F167&gt;=0.95*G167,1,0))</x:f>
      </x:c>
      <x:c r="S167" s="7">
        <x:f>IFERROR((I167+J167+K167)/F167,"")</x:f>
      </x:c>
      <x:c r="T167" s="5">
        <x:f>IFERROR(I167+J167+K167,"")</x:f>
        <x:v>0</x:v>
      </x:c>
    </x:row>
    <x:row r="168" ht="22" customHeight="1">
      <x:c r="A168" s="5" t="inlineStr">
        <x:is>
          <x:t xml:space="preserve">P014</x:t>
        </x:is>
      </x:c>
      <x:c r="B168" s="5" t="inlineStr">
        <x:is>
          <x:t xml:space="preserve">8</x:t>
        </x:is>
      </x:c>
      <x:c r="C168" s="5" t="inlineStr">
        <x:is>
          <x:t xml:space="preserve">V08_calendar_system</x:t>
        </x:is>
      </x:c>
      <x:c r="D168" s="5" t="inlineStr">
        <x:is>
          <x:t xml:space="preserve">semantic_compression</x:t>
        </x:is>
      </x:c>
      <x:c r="E168" s="5" t="inlineStr">
        <x:is>
          <x:t xml:space="preserve">muted</x:t>
        </x:is>
      </x:c>
      <x:c r="F168" s="6" t="inlineStr">
        <x:is>
          <x:t xml:space="preserve"/>
        </x:is>
      </x:c>
      <x:c r="G168" s="6" t="inlineStr">
        <x:is>
          <x:t xml:space="preserve">6</x:t>
        </x:is>
      </x:c>
      <x:c r="H168" s="5" t="inlineStr">
        <x:is>
          <x:t xml:space="preserve"/>
        </x:is>
      </x:c>
      <x:c r="I168" s="5" t="inlineStr">
        <x:is>
          <x:t xml:space="preserve"/>
        </x:is>
      </x:c>
      <x:c r="J168" s="5" t="inlineStr">
        <x:is>
          <x:t xml:space="preserve"/>
        </x:is>
      </x:c>
      <x:c r="K168" s="5" t="inlineStr">
        <x:is>
          <x:t xml:space="preserve"/>
        </x:is>
      </x:c>
      <x:c r="L168" s="5" t="inlineStr">
        <x:is>
          <x:t xml:space="preserve"/>
        </x:is>
      </x:c>
      <x:c r="M168" s="5" t="inlineStr">
        <x:is>
          <x:t xml:space="preserve"/>
        </x:is>
      </x:c>
      <x:c r="N168" s="5" t="inlineStr">
        <x:is>
          <x:t xml:space="preserve"/>
        </x:is>
      </x:c>
      <x:c r="O168" s="5" t="inlineStr">
        <x:is>
          <x:t xml:space="preserve"/>
        </x:is>
      </x:c>
      <x:c r="P168" s="5" t="inlineStr">
        <x:is>
          <x:t xml:space="preserve"/>
        </x:is>
      </x:c>
      <x:c r="Q168" s="5" t="inlineStr">
        <x:is>
          <x:t xml:space="preserve"/>
        </x:is>
      </x:c>
      <x:c r="R168" s="5">
        <x:f>IF(OR(F168="",G168=""),"",IF(F168&gt;=0.95*G168,1,0))</x:f>
      </x:c>
      <x:c r="S168" s="7">
        <x:f>IFERROR((I168+J168+K168)/F168,"")</x:f>
      </x:c>
      <x:c r="T168" s="5">
        <x:f>IFERROR(I168+J168+K168,"")</x:f>
        <x:v>0</x:v>
      </x:c>
    </x:row>
    <x:row r="169" ht="22" customHeight="1">
      <x:c r="A169" s="5" t="inlineStr">
        <x:is>
          <x:t xml:space="preserve">P014</x:t>
        </x:is>
      </x:c>
      <x:c r="B169" s="5" t="inlineStr">
        <x:is>
          <x:t xml:space="preserve">9</x:t>
        </x:is>
      </x:c>
      <x:c r="C169" s="5" t="inlineStr">
        <x:is>
          <x:t xml:space="preserve">V12_creativity_constraints</x:t>
        </x:is>
      </x:c>
      <x:c r="D169" s="5" t="inlineStr">
        <x:is>
          <x:t xml:space="preserve">bcc</x:t>
        </x:is>
      </x:c>
      <x:c r="E169" s="5" t="inlineStr">
        <x:is>
          <x:t xml:space="preserve">audio_on</x:t>
        </x:is>
      </x:c>
      <x:c r="F169" s="6" t="inlineStr">
        <x:is>
          <x:t xml:space="preserve"/>
        </x:is>
      </x:c>
      <x:c r="G169" s="6" t="inlineStr">
        <x:is>
          <x:t xml:space="preserve">6</x:t>
        </x:is>
      </x:c>
      <x:c r="H169" s="5" t="inlineStr">
        <x:is>
          <x:t xml:space="preserve"/>
        </x:is>
      </x:c>
      <x:c r="I169" s="5" t="inlineStr">
        <x:is>
          <x:t xml:space="preserve"/>
        </x:is>
      </x:c>
      <x:c r="J169" s="5" t="inlineStr">
        <x:is>
          <x:t xml:space="preserve"/>
        </x:is>
      </x:c>
      <x:c r="K169" s="5" t="inlineStr">
        <x:is>
          <x:t xml:space="preserve"/>
        </x:is>
      </x:c>
      <x:c r="L169" s="5" t="inlineStr">
        <x:is>
          <x:t xml:space="preserve"/>
        </x:is>
      </x:c>
      <x:c r="M169" s="5" t="inlineStr">
        <x:is>
          <x:t xml:space="preserve"/>
        </x:is>
      </x:c>
      <x:c r="N169" s="5" t="inlineStr">
        <x:is>
          <x:t xml:space="preserve"/>
        </x:is>
      </x:c>
      <x:c r="O169" s="5" t="inlineStr">
        <x:is>
          <x:t xml:space="preserve"/>
        </x:is>
      </x:c>
      <x:c r="P169" s="5" t="inlineStr">
        <x:is>
          <x:t xml:space="preserve"/>
        </x:is>
      </x:c>
      <x:c r="Q169" s="5" t="inlineStr">
        <x:is>
          <x:t xml:space="preserve"/>
        </x:is>
      </x:c>
      <x:c r="R169" s="5">
        <x:f>IF(OR(F169="",G169=""),"",IF(F169&gt;=0.95*G169,1,0))</x:f>
      </x:c>
      <x:c r="S169" s="7">
        <x:f>IFERROR((I169+J169+K169)/F169,"")</x:f>
      </x:c>
      <x:c r="T169" s="5">
        <x:f>IFERROR(I169+J169+K169,"")</x:f>
        <x:v>0</x:v>
      </x:c>
    </x:row>
    <x:row r="170" ht="22" customHeight="1">
      <x:c r="A170" s="5" t="inlineStr">
        <x:is>
          <x:t xml:space="preserve">P014</x:t>
        </x:is>
      </x:c>
      <x:c r="B170" s="5" t="inlineStr">
        <x:is>
          <x:t xml:space="preserve">10</x:t>
        </x:is>
      </x:c>
      <x:c r="C170" s="5" t="inlineStr">
        <x:is>
          <x:t xml:space="preserve">V05_coding_assumptions</x:t>
        </x:is>
      </x:c>
      <x:c r="D170" s="5" t="inlineStr">
        <x:is>
          <x:t xml:space="preserve">bcc_plus</x:t>
        </x:is>
      </x:c>
      <x:c r="E170" s="5" t="inlineStr">
        <x:is>
          <x:t xml:space="preserve">muted</x:t>
        </x:is>
      </x:c>
      <x:c r="F170" s="6" t="inlineStr">
        <x:is>
          <x:t xml:space="preserve"/>
        </x:is>
      </x:c>
      <x:c r="G170" s="6" t="inlineStr">
        <x:is>
          <x:t xml:space="preserve">6</x:t>
        </x:is>
      </x:c>
      <x:c r="H170" s="5" t="inlineStr">
        <x:is>
          <x:t xml:space="preserve"/>
        </x:is>
      </x:c>
      <x:c r="I170" s="5" t="inlineStr">
        <x:is>
          <x:t xml:space="preserve"/>
        </x:is>
      </x:c>
      <x:c r="J170" s="5" t="inlineStr">
        <x:is>
          <x:t xml:space="preserve"/>
        </x:is>
      </x:c>
      <x:c r="K170" s="5" t="inlineStr">
        <x:is>
          <x:t xml:space="preserve"/>
        </x:is>
      </x:c>
      <x:c r="L170" s="5" t="inlineStr">
        <x:is>
          <x:t xml:space="preserve"/>
        </x:is>
      </x:c>
      <x:c r="M170" s="5" t="inlineStr">
        <x:is>
          <x:t xml:space="preserve"/>
        </x:is>
      </x:c>
      <x:c r="N170" s="5" t="inlineStr">
        <x:is>
          <x:t xml:space="preserve"/>
        </x:is>
      </x:c>
      <x:c r="O170" s="5" t="inlineStr">
        <x:is>
          <x:t xml:space="preserve"/>
        </x:is>
      </x:c>
      <x:c r="P170" s="5" t="inlineStr">
        <x:is>
          <x:t xml:space="preserve"/>
        </x:is>
      </x:c>
      <x:c r="Q170" s="5" t="inlineStr">
        <x:is>
          <x:t xml:space="preserve"/>
        </x:is>
      </x:c>
      <x:c r="R170" s="5">
        <x:f>IF(OR(F170="",G170=""),"",IF(F170&gt;=0.95*G170,1,0))</x:f>
      </x:c>
      <x:c r="S170" s="7">
        <x:f>IFERROR((I170+J170+K170)/F170,"")</x:f>
      </x:c>
      <x:c r="T170" s="5">
        <x:f>IFERROR(I170+J170+K170,"")</x:f>
        <x:v>0</x:v>
      </x:c>
    </x:row>
    <x:row r="171" ht="22" customHeight="1">
      <x:c r="A171" s="5" t="inlineStr">
        <x:is>
          <x:t xml:space="preserve">P014</x:t>
        </x:is>
      </x:c>
      <x:c r="B171" s="5" t="inlineStr">
        <x:is>
          <x:t xml:space="preserve">11</x:t>
        </x:is>
      </x:c>
      <x:c r="C171" s="5" t="inlineStr">
        <x:is>
          <x:t xml:space="preserve">V11_story_burnout</x:t>
        </x:is>
      </x:c>
      <x:c r="D171" s="5" t="inlineStr">
        <x:is>
          <x:t xml:space="preserve">heavy_bionic</x:t>
        </x:is>
      </x:c>
      <x:c r="E171" s="5" t="inlineStr">
        <x:is>
          <x:t xml:space="preserve">audio_on</x:t>
        </x:is>
      </x:c>
      <x:c r="F171" s="6" t="inlineStr">
        <x:is>
          <x:t xml:space="preserve"/>
        </x:is>
      </x:c>
      <x:c r="G171" s="6" t="inlineStr">
        <x:is>
          <x:t xml:space="preserve">6</x:t>
        </x:is>
      </x:c>
      <x:c r="H171" s="5" t="inlineStr">
        <x:is>
          <x:t xml:space="preserve"/>
        </x:is>
      </x:c>
      <x:c r="I171" s="5" t="inlineStr">
        <x:is>
          <x:t xml:space="preserve"/>
        </x:is>
      </x:c>
      <x:c r="J171" s="5" t="inlineStr">
        <x:is>
          <x:t xml:space="preserve"/>
        </x:is>
      </x:c>
      <x:c r="K171" s="5" t="inlineStr">
        <x:is>
          <x:t xml:space="preserve"/>
        </x:is>
      </x:c>
      <x:c r="L171" s="5" t="inlineStr">
        <x:is>
          <x:t xml:space="preserve"/>
        </x:is>
      </x:c>
      <x:c r="M171" s="5" t="inlineStr">
        <x:is>
          <x:t xml:space="preserve"/>
        </x:is>
      </x:c>
      <x:c r="N171" s="5" t="inlineStr">
        <x:is>
          <x:t xml:space="preserve"/>
        </x:is>
      </x:c>
      <x:c r="O171" s="5" t="inlineStr">
        <x:is>
          <x:t xml:space="preserve"/>
        </x:is>
      </x:c>
      <x:c r="P171" s="5" t="inlineStr">
        <x:is>
          <x:t xml:space="preserve"/>
        </x:is>
      </x:c>
      <x:c r="Q171" s="5" t="inlineStr">
        <x:is>
          <x:t xml:space="preserve"/>
        </x:is>
      </x:c>
      <x:c r="R171" s="5">
        <x:f>IF(OR(F171="",G171=""),"",IF(F171&gt;=0.95*G171,1,0))</x:f>
      </x:c>
      <x:c r="S171" s="7">
        <x:f>IFERROR((I171+J171+K171)/F171,"")</x:f>
      </x:c>
      <x:c r="T171" s="5">
        <x:f>IFERROR(I171+J171+K171,"")</x:f>
        <x:v>0</x:v>
      </x:c>
    </x:row>
    <x:row r="172" ht="22" customHeight="1">
      <x:c r="A172" s="5" t="inlineStr">
        <x:is>
          <x:t xml:space="preserve">P014</x:t>
        </x:is>
      </x:c>
      <x:c r="B172" s="5" t="inlineStr">
        <x:is>
          <x:t xml:space="preserve">12</x:t>
        </x:is>
      </x:c>
      <x:c r="C172" s="5" t="inlineStr">
        <x:is>
          <x:t xml:space="preserve">V01_productivity_friction</x:t>
        </x:is>
      </x:c>
      <x:c r="D172" s="5" t="inlineStr">
        <x:is>
          <x:t xml:space="preserve">full_transcript</x:t>
        </x:is>
      </x:c>
      <x:c r="E172" s="5" t="inlineStr">
        <x:is>
          <x:t xml:space="preserve">muted</x:t>
        </x:is>
      </x:c>
      <x:c r="F172" s="6" t="inlineStr">
        <x:is>
          <x:t xml:space="preserve"/>
        </x:is>
      </x:c>
      <x:c r="G172" s="6" t="inlineStr">
        <x:is>
          <x:t xml:space="preserve">6</x:t>
        </x:is>
      </x:c>
      <x:c r="H172" s="5" t="inlineStr">
        <x:is>
          <x:t xml:space="preserve"/>
        </x:is>
      </x:c>
      <x:c r="I172" s="5" t="inlineStr">
        <x:is>
          <x:t xml:space="preserve"/>
        </x:is>
      </x:c>
      <x:c r="J172" s="5" t="inlineStr">
        <x:is>
          <x:t xml:space="preserve"/>
        </x:is>
      </x:c>
      <x:c r="K172" s="5" t="inlineStr">
        <x:is>
          <x:t xml:space="preserve"/>
        </x:is>
      </x:c>
      <x:c r="L172" s="5" t="inlineStr">
        <x:is>
          <x:t xml:space="preserve"/>
        </x:is>
      </x:c>
      <x:c r="M172" s="5" t="inlineStr">
        <x:is>
          <x:t xml:space="preserve"/>
        </x:is>
      </x:c>
      <x:c r="N172" s="5" t="inlineStr">
        <x:is>
          <x:t xml:space="preserve"/>
        </x:is>
      </x:c>
      <x:c r="O172" s="5" t="inlineStr">
        <x:is>
          <x:t xml:space="preserve"/>
        </x:is>
      </x:c>
      <x:c r="P172" s="5" t="inlineStr">
        <x:is>
          <x:t xml:space="preserve"/>
        </x:is>
      </x:c>
      <x:c r="Q172" s="5" t="inlineStr">
        <x:is>
          <x:t xml:space="preserve"/>
        </x:is>
      </x:c>
      <x:c r="R172" s="5">
        <x:f>IF(OR(F172="",G172=""),"",IF(F172&gt;=0.95*G172,1,0))</x:f>
      </x:c>
      <x:c r="S172" s="7">
        <x:f>IFERROR((I172+J172+K172)/F172,"")</x:f>
      </x:c>
      <x:c r="T172" s="5">
        <x:f>IFERROR(I172+J172+K172,"")</x:f>
        <x:v>0</x:v>
      </x:c>
    </x:row>
    <x:row r="173" ht="22" customHeight="1">
      <x:c r="A173" s="5" t="inlineStr">
        <x:is>
          <x:t xml:space="preserve">P015</x:t>
        </x:is>
      </x:c>
      <x:c r="B173" s="5" t="inlineStr">
        <x:is>
          <x:t xml:space="preserve">1</x:t>
        </x:is>
      </x:c>
      <x:c r="C173" s="5" t="inlineStr">
        <x:is>
          <x:t xml:space="preserve">V07_business_clarity</x:t>
        </x:is>
      </x:c>
      <x:c r="D173" s="5" t="inlineStr">
        <x:is>
          <x:t xml:space="preserve">semantic_compression</x:t>
        </x:is>
      </x:c>
      <x:c r="E173" s="5" t="inlineStr">
        <x:is>
          <x:t xml:space="preserve">muted</x:t>
        </x:is>
      </x:c>
      <x:c r="F173" s="6" t="inlineStr">
        <x:is>
          <x:t xml:space="preserve"/>
        </x:is>
      </x:c>
      <x:c r="G173" s="6" t="inlineStr">
        <x:is>
          <x:t xml:space="preserve">6</x:t>
        </x:is>
      </x:c>
      <x:c r="H173" s="5" t="inlineStr">
        <x:is>
          <x:t xml:space="preserve"/>
        </x:is>
      </x:c>
      <x:c r="I173" s="5" t="inlineStr">
        <x:is>
          <x:t xml:space="preserve"/>
        </x:is>
      </x:c>
      <x:c r="J173" s="5" t="inlineStr">
        <x:is>
          <x:t xml:space="preserve"/>
        </x:is>
      </x:c>
      <x:c r="K173" s="5" t="inlineStr">
        <x:is>
          <x:t xml:space="preserve"/>
        </x:is>
      </x:c>
      <x:c r="L173" s="5" t="inlineStr">
        <x:is>
          <x:t xml:space="preserve"/>
        </x:is>
      </x:c>
      <x:c r="M173" s="5" t="inlineStr">
        <x:is>
          <x:t xml:space="preserve"/>
        </x:is>
      </x:c>
      <x:c r="N173" s="5" t="inlineStr">
        <x:is>
          <x:t xml:space="preserve"/>
        </x:is>
      </x:c>
      <x:c r="O173" s="5" t="inlineStr">
        <x:is>
          <x:t xml:space="preserve"/>
        </x:is>
      </x:c>
      <x:c r="P173" s="5" t="inlineStr">
        <x:is>
          <x:t xml:space="preserve"/>
        </x:is>
      </x:c>
      <x:c r="Q173" s="5" t="inlineStr">
        <x:is>
          <x:t xml:space="preserve"/>
        </x:is>
      </x:c>
      <x:c r="R173" s="5">
        <x:f>IF(OR(F173="",G173=""),"",IF(F173&gt;=0.95*G173,1,0))</x:f>
      </x:c>
      <x:c r="S173" s="7">
        <x:f>IFERROR((I173+J173+K173)/F173,"")</x:f>
      </x:c>
      <x:c r="T173" s="5">
        <x:f>IFERROR(I173+J173+K173,"")</x:f>
        <x:v>0</x:v>
      </x:c>
    </x:row>
    <x:row r="174" ht="22" customHeight="1">
      <x:c r="A174" s="5" t="inlineStr">
        <x:is>
          <x:t xml:space="preserve">P015</x:t>
        </x:is>
      </x:c>
      <x:c r="B174" s="5" t="inlineStr">
        <x:is>
          <x:t xml:space="preserve">2</x:t>
        </x:is>
      </x:c>
      <x:c r="C174" s="5" t="inlineStr">
        <x:is>
          <x:t xml:space="preserve">V08_calendar_system</x:t>
        </x:is>
      </x:c>
      <x:c r="D174" s="5" t="inlineStr">
        <x:is>
          <x:t xml:space="preserve">bcc</x:t>
        </x:is>
      </x:c>
      <x:c r="E174" s="5" t="inlineStr">
        <x:is>
          <x:t xml:space="preserve">audio_on</x:t>
        </x:is>
      </x:c>
      <x:c r="F174" s="6" t="inlineStr">
        <x:is>
          <x:t xml:space="preserve"/>
        </x:is>
      </x:c>
      <x:c r="G174" s="6" t="inlineStr">
        <x:is>
          <x:t xml:space="preserve">6</x:t>
        </x:is>
      </x:c>
      <x:c r="H174" s="5" t="inlineStr">
        <x:is>
          <x:t xml:space="preserve"/>
        </x:is>
      </x:c>
      <x:c r="I174" s="5" t="inlineStr">
        <x:is>
          <x:t xml:space="preserve"/>
        </x:is>
      </x:c>
      <x:c r="J174" s="5" t="inlineStr">
        <x:is>
          <x:t xml:space="preserve"/>
        </x:is>
      </x:c>
      <x:c r="K174" s="5" t="inlineStr">
        <x:is>
          <x:t xml:space="preserve"/>
        </x:is>
      </x:c>
      <x:c r="L174" s="5" t="inlineStr">
        <x:is>
          <x:t xml:space="preserve"/>
        </x:is>
      </x:c>
      <x:c r="M174" s="5" t="inlineStr">
        <x:is>
          <x:t xml:space="preserve"/>
        </x:is>
      </x:c>
      <x:c r="N174" s="5" t="inlineStr">
        <x:is>
          <x:t xml:space="preserve"/>
        </x:is>
      </x:c>
      <x:c r="O174" s="5" t="inlineStr">
        <x:is>
          <x:t xml:space="preserve"/>
        </x:is>
      </x:c>
      <x:c r="P174" s="5" t="inlineStr">
        <x:is>
          <x:t xml:space="preserve"/>
        </x:is>
      </x:c>
      <x:c r="Q174" s="5" t="inlineStr">
        <x:is>
          <x:t xml:space="preserve"/>
        </x:is>
      </x:c>
      <x:c r="R174" s="5">
        <x:f>IF(OR(F174="",G174=""),"",IF(F174&gt;=0.95*G174,1,0))</x:f>
      </x:c>
      <x:c r="S174" s="7">
        <x:f>IFERROR((I174+J174+K174)/F174,"")</x:f>
      </x:c>
      <x:c r="T174" s="5">
        <x:f>IFERROR(I174+J174+K174,"")</x:f>
        <x:v>0</x:v>
      </x:c>
    </x:row>
    <x:row r="175" ht="22" customHeight="1">
      <x:c r="A175" s="5" t="inlineStr">
        <x:is>
          <x:t xml:space="preserve">P015</x:t>
        </x:is>
      </x:c>
      <x:c r="B175" s="5" t="inlineStr">
        <x:is>
          <x:t xml:space="preserve">3</x:t>
        </x:is>
      </x:c>
      <x:c r="C175" s="5" t="inlineStr">
        <x:is>
          <x:t xml:space="preserve">V03_fitness_setup</x:t>
        </x:is>
      </x:c>
      <x:c r="D175" s="5" t="inlineStr">
        <x:is>
          <x:t xml:space="preserve">bcc_plus</x:t>
        </x:is>
      </x:c>
      <x:c r="E175" s="5" t="inlineStr">
        <x:is>
          <x:t xml:space="preserve">muted</x:t>
        </x:is>
      </x:c>
      <x:c r="F175" s="6" t="inlineStr">
        <x:is>
          <x:t xml:space="preserve"/>
        </x:is>
      </x:c>
      <x:c r="G175" s="6" t="inlineStr">
        <x:is>
          <x:t xml:space="preserve">6</x:t>
        </x:is>
      </x:c>
      <x:c r="H175" s="5" t="inlineStr">
        <x:is>
          <x:t xml:space="preserve"/>
        </x:is>
      </x:c>
      <x:c r="I175" s="5" t="inlineStr">
        <x:is>
          <x:t xml:space="preserve"/>
        </x:is>
      </x:c>
      <x:c r="J175" s="5" t="inlineStr">
        <x:is>
          <x:t xml:space="preserve"/>
        </x:is>
      </x:c>
      <x:c r="K175" s="5" t="inlineStr">
        <x:is>
          <x:t xml:space="preserve"/>
        </x:is>
      </x:c>
      <x:c r="L175" s="5" t="inlineStr">
        <x:is>
          <x:t xml:space="preserve"/>
        </x:is>
      </x:c>
      <x:c r="M175" s="5" t="inlineStr">
        <x:is>
          <x:t xml:space="preserve"/>
        </x:is>
      </x:c>
      <x:c r="N175" s="5" t="inlineStr">
        <x:is>
          <x:t xml:space="preserve"/>
        </x:is>
      </x:c>
      <x:c r="O175" s="5" t="inlineStr">
        <x:is>
          <x:t xml:space="preserve"/>
        </x:is>
      </x:c>
      <x:c r="P175" s="5" t="inlineStr">
        <x:is>
          <x:t xml:space="preserve"/>
        </x:is>
      </x:c>
      <x:c r="Q175" s="5" t="inlineStr">
        <x:is>
          <x:t xml:space="preserve"/>
        </x:is>
      </x:c>
      <x:c r="R175" s="5">
        <x:f>IF(OR(F175="",G175=""),"",IF(F175&gt;=0.95*G175,1,0))</x:f>
      </x:c>
      <x:c r="S175" s="7">
        <x:f>IFERROR((I175+J175+K175)/F175,"")</x:f>
      </x:c>
      <x:c r="T175" s="5">
        <x:f>IFERROR(I175+J175+K175,"")</x:f>
        <x:v>0</x:v>
      </x:c>
    </x:row>
    <x:row r="176" ht="22" customHeight="1">
      <x:c r="A176" s="5" t="inlineStr">
        <x:is>
          <x:t xml:space="preserve">P015</x:t>
        </x:is>
      </x:c>
      <x:c r="B176" s="5" t="inlineStr">
        <x:is>
          <x:t xml:space="preserve">4</x:t>
        </x:is>
      </x:c>
      <x:c r="C176" s="5" t="inlineStr">
        <x:is>
          <x:t xml:space="preserve">V11_story_burnout</x:t>
        </x:is>
      </x:c>
      <x:c r="D176" s="5" t="inlineStr">
        <x:is>
          <x:t xml:space="preserve">heavy_bionic</x:t>
        </x:is>
      </x:c>
      <x:c r="E176" s="5" t="inlineStr">
        <x:is>
          <x:t xml:space="preserve">audio_on</x:t>
        </x:is>
      </x:c>
      <x:c r="F176" s="6" t="inlineStr">
        <x:is>
          <x:t xml:space="preserve"/>
        </x:is>
      </x:c>
      <x:c r="G176" s="6" t="inlineStr">
        <x:is>
          <x:t xml:space="preserve">6</x:t>
        </x:is>
      </x:c>
      <x:c r="H176" s="5" t="inlineStr">
        <x:is>
          <x:t xml:space="preserve"/>
        </x:is>
      </x:c>
      <x:c r="I176" s="5" t="inlineStr">
        <x:is>
          <x:t xml:space="preserve"/>
        </x:is>
      </x:c>
      <x:c r="J176" s="5" t="inlineStr">
        <x:is>
          <x:t xml:space="preserve"/>
        </x:is>
      </x:c>
      <x:c r="K176" s="5" t="inlineStr">
        <x:is>
          <x:t xml:space="preserve"/>
        </x:is>
      </x:c>
      <x:c r="L176" s="5" t="inlineStr">
        <x:is>
          <x:t xml:space="preserve"/>
        </x:is>
      </x:c>
      <x:c r="M176" s="5" t="inlineStr">
        <x:is>
          <x:t xml:space="preserve"/>
        </x:is>
      </x:c>
      <x:c r="N176" s="5" t="inlineStr">
        <x:is>
          <x:t xml:space="preserve"/>
        </x:is>
      </x:c>
      <x:c r="O176" s="5" t="inlineStr">
        <x:is>
          <x:t xml:space="preserve"/>
        </x:is>
      </x:c>
      <x:c r="P176" s="5" t="inlineStr">
        <x:is>
          <x:t xml:space="preserve"/>
        </x:is>
      </x:c>
      <x:c r="Q176" s="5" t="inlineStr">
        <x:is>
          <x:t xml:space="preserve"/>
        </x:is>
      </x:c>
      <x:c r="R176" s="5">
        <x:f>IF(OR(F176="",G176=""),"",IF(F176&gt;=0.95*G176,1,0))</x:f>
      </x:c>
      <x:c r="S176" s="7">
        <x:f>IFERROR((I176+J176+K176)/F176,"")</x:f>
      </x:c>
      <x:c r="T176" s="5">
        <x:f>IFERROR(I176+J176+K176,"")</x:f>
        <x:v>0</x:v>
      </x:c>
    </x:row>
    <x:row r="177" ht="22" customHeight="1">
      <x:c r="A177" s="5" t="inlineStr">
        <x:is>
          <x:t xml:space="preserve">P015</x:t>
        </x:is>
      </x:c>
      <x:c r="B177" s="5" t="inlineStr">
        <x:is>
          <x:t xml:space="preserve">5</x:t>
        </x:is>
      </x:c>
      <x:c r="C177" s="5" t="inlineStr">
        <x:is>
          <x:t xml:space="preserve">V01_productivity_friction</x:t>
        </x:is>
      </x:c>
      <x:c r="D177" s="5" t="inlineStr">
        <x:is>
          <x:t xml:space="preserve">full_transcript</x:t>
        </x:is>
      </x:c>
      <x:c r="E177" s="5" t="inlineStr">
        <x:is>
          <x:t xml:space="preserve">muted</x:t>
        </x:is>
      </x:c>
      <x:c r="F177" s="6" t="inlineStr">
        <x:is>
          <x:t xml:space="preserve"/>
        </x:is>
      </x:c>
      <x:c r="G177" s="6" t="inlineStr">
        <x:is>
          <x:t xml:space="preserve">6</x:t>
        </x:is>
      </x:c>
      <x:c r="H177" s="5" t="inlineStr">
        <x:is>
          <x:t xml:space="preserve"/>
        </x:is>
      </x:c>
      <x:c r="I177" s="5" t="inlineStr">
        <x:is>
          <x:t xml:space="preserve"/>
        </x:is>
      </x:c>
      <x:c r="J177" s="5" t="inlineStr">
        <x:is>
          <x:t xml:space="preserve"/>
        </x:is>
      </x:c>
      <x:c r="K177" s="5" t="inlineStr">
        <x:is>
          <x:t xml:space="preserve"/>
        </x:is>
      </x:c>
      <x:c r="L177" s="5" t="inlineStr">
        <x:is>
          <x:t xml:space="preserve"/>
        </x:is>
      </x:c>
      <x:c r="M177" s="5" t="inlineStr">
        <x:is>
          <x:t xml:space="preserve"/>
        </x:is>
      </x:c>
      <x:c r="N177" s="5" t="inlineStr">
        <x:is>
          <x:t xml:space="preserve"/>
        </x:is>
      </x:c>
      <x:c r="O177" s="5" t="inlineStr">
        <x:is>
          <x:t xml:space="preserve"/>
        </x:is>
      </x:c>
      <x:c r="P177" s="5" t="inlineStr">
        <x:is>
          <x:t xml:space="preserve"/>
        </x:is>
      </x:c>
      <x:c r="Q177" s="5" t="inlineStr">
        <x:is>
          <x:t xml:space="preserve"/>
        </x:is>
      </x:c>
      <x:c r="R177" s="5">
        <x:f>IF(OR(F177="",G177=""),"",IF(F177&gt;=0.95*G177,1,0))</x:f>
      </x:c>
      <x:c r="S177" s="7">
        <x:f>IFERROR((I177+J177+K177)/F177,"")</x:f>
      </x:c>
      <x:c r="T177" s="5">
        <x:f>IFERROR(I177+J177+K177,"")</x:f>
        <x:v>0</x:v>
      </x:c>
    </x:row>
    <x:row r="178" ht="22" customHeight="1">
      <x:c r="A178" s="5" t="inlineStr">
        <x:is>
          <x:t xml:space="preserve">P015</x:t>
        </x:is>
      </x:c>
      <x:c r="B178" s="5" t="inlineStr">
        <x:is>
          <x:t xml:space="preserve">6</x:t>
        </x:is>
      </x:c>
      <x:c r="C178" s="5" t="inlineStr">
        <x:is>
          <x:t xml:space="preserve">V05_coding_assumptions</x:t>
        </x:is>
      </x:c>
      <x:c r="D178" s="5" t="inlineStr">
        <x:is>
          <x:t xml:space="preserve">keyword_highlight</x:t>
        </x:is>
      </x:c>
      <x:c r="E178" s="5" t="inlineStr">
        <x:is>
          <x:t xml:space="preserve">audio_on</x:t>
        </x:is>
      </x:c>
      <x:c r="F178" s="6" t="inlineStr">
        <x:is>
          <x:t xml:space="preserve"/>
        </x:is>
      </x:c>
      <x:c r="G178" s="6" t="inlineStr">
        <x:is>
          <x:t xml:space="preserve">6</x:t>
        </x:is>
      </x:c>
      <x:c r="H178" s="5" t="inlineStr">
        <x:is>
          <x:t xml:space="preserve"/>
        </x:is>
      </x:c>
      <x:c r="I178" s="5" t="inlineStr">
        <x:is>
          <x:t xml:space="preserve"/>
        </x:is>
      </x:c>
      <x:c r="J178" s="5" t="inlineStr">
        <x:is>
          <x:t xml:space="preserve"/>
        </x:is>
      </x:c>
      <x:c r="K178" s="5" t="inlineStr">
        <x:is>
          <x:t xml:space="preserve"/>
        </x:is>
      </x:c>
      <x:c r="L178" s="5" t="inlineStr">
        <x:is>
          <x:t xml:space="preserve"/>
        </x:is>
      </x:c>
      <x:c r="M178" s="5" t="inlineStr">
        <x:is>
          <x:t xml:space="preserve"/>
        </x:is>
      </x:c>
      <x:c r="N178" s="5" t="inlineStr">
        <x:is>
          <x:t xml:space="preserve"/>
        </x:is>
      </x:c>
      <x:c r="O178" s="5" t="inlineStr">
        <x:is>
          <x:t xml:space="preserve"/>
        </x:is>
      </x:c>
      <x:c r="P178" s="5" t="inlineStr">
        <x:is>
          <x:t xml:space="preserve"/>
        </x:is>
      </x:c>
      <x:c r="Q178" s="5" t="inlineStr">
        <x:is>
          <x:t xml:space="preserve"/>
        </x:is>
      </x:c>
      <x:c r="R178" s="5">
        <x:f>IF(OR(F178="",G178=""),"",IF(F178&gt;=0.95*G178,1,0))</x:f>
      </x:c>
      <x:c r="S178" s="7">
        <x:f>IFERROR((I178+J178+K178)/F178,"")</x:f>
      </x:c>
      <x:c r="T178" s="5">
        <x:f>IFERROR(I178+J178+K178,"")</x:f>
        <x:v>0</x:v>
      </x:c>
    </x:row>
    <x:row r="179" ht="22" customHeight="1">
      <x:c r="A179" s="5" t="inlineStr">
        <x:is>
          <x:t xml:space="preserve">P015</x:t>
        </x:is>
      </x:c>
      <x:c r="B179" s="5" t="inlineStr">
        <x:is>
          <x:t xml:space="preserve">7</x:t>
        </x:is>
      </x:c>
      <x:c r="C179" s="5" t="inlineStr">
        <x:is>
          <x:t xml:space="preserve">V09_nutrition_satiety</x:t>
        </x:is>
      </x:c>
      <x:c r="D179" s="5" t="inlineStr">
        <x:is>
          <x:t xml:space="preserve">semantic_compression</x:t>
        </x:is>
      </x:c>
      <x:c r="E179" s="5" t="inlineStr">
        <x:is>
          <x:t xml:space="preserve">muted</x:t>
        </x:is>
      </x:c>
      <x:c r="F179" s="6" t="inlineStr">
        <x:is>
          <x:t xml:space="preserve"/>
        </x:is>
      </x:c>
      <x:c r="G179" s="6" t="inlineStr">
        <x:is>
          <x:t xml:space="preserve">6</x:t>
        </x:is>
      </x:c>
      <x:c r="H179" s="5" t="inlineStr">
        <x:is>
          <x:t xml:space="preserve"/>
        </x:is>
      </x:c>
      <x:c r="I179" s="5" t="inlineStr">
        <x:is>
          <x:t xml:space="preserve"/>
        </x:is>
      </x:c>
      <x:c r="J179" s="5" t="inlineStr">
        <x:is>
          <x:t xml:space="preserve"/>
        </x:is>
      </x:c>
      <x:c r="K179" s="5" t="inlineStr">
        <x:is>
          <x:t xml:space="preserve"/>
        </x:is>
      </x:c>
      <x:c r="L179" s="5" t="inlineStr">
        <x:is>
          <x:t xml:space="preserve"/>
        </x:is>
      </x:c>
      <x:c r="M179" s="5" t="inlineStr">
        <x:is>
          <x:t xml:space="preserve"/>
        </x:is>
      </x:c>
      <x:c r="N179" s="5" t="inlineStr">
        <x:is>
          <x:t xml:space="preserve"/>
        </x:is>
      </x:c>
      <x:c r="O179" s="5" t="inlineStr">
        <x:is>
          <x:t xml:space="preserve"/>
        </x:is>
      </x:c>
      <x:c r="P179" s="5" t="inlineStr">
        <x:is>
          <x:t xml:space="preserve"/>
        </x:is>
      </x:c>
      <x:c r="Q179" s="5" t="inlineStr">
        <x:is>
          <x:t xml:space="preserve"/>
        </x:is>
      </x:c>
      <x:c r="R179" s="5">
        <x:f>IF(OR(F179="",G179=""),"",IF(F179&gt;=0.95*G179,1,0))</x:f>
      </x:c>
      <x:c r="S179" s="7">
        <x:f>IFERROR((I179+J179+K179)/F179,"")</x:f>
      </x:c>
      <x:c r="T179" s="5">
        <x:f>IFERROR(I179+J179+K179,"")</x:f>
        <x:v>0</x:v>
      </x:c>
    </x:row>
    <x:row r="180" ht="22" customHeight="1">
      <x:c r="A180" s="5" t="inlineStr">
        <x:is>
          <x:t xml:space="preserve">P015</x:t>
        </x:is>
      </x:c>
      <x:c r="B180" s="5" t="inlineStr">
        <x:is>
          <x:t xml:space="preserve">8</x:t>
        </x:is>
      </x:c>
      <x:c r="C180" s="5" t="inlineStr">
        <x:is>
          <x:t xml:space="preserve">V12_creativity_constraints</x:t>
        </x:is>
      </x:c>
      <x:c r="D180" s="5" t="inlineStr">
        <x:is>
          <x:t xml:space="preserve">bcc</x:t>
        </x:is>
      </x:c>
      <x:c r="E180" s="5" t="inlineStr">
        <x:is>
          <x:t xml:space="preserve">audio_on</x:t>
        </x:is>
      </x:c>
      <x:c r="F180" s="6" t="inlineStr">
        <x:is>
          <x:t xml:space="preserve"/>
        </x:is>
      </x:c>
      <x:c r="G180" s="6" t="inlineStr">
        <x:is>
          <x:t xml:space="preserve">6</x:t>
        </x:is>
      </x:c>
      <x:c r="H180" s="5" t="inlineStr">
        <x:is>
          <x:t xml:space="preserve"/>
        </x:is>
      </x:c>
      <x:c r="I180" s="5" t="inlineStr">
        <x:is>
          <x:t xml:space="preserve"/>
        </x:is>
      </x:c>
      <x:c r="J180" s="5" t="inlineStr">
        <x:is>
          <x:t xml:space="preserve"/>
        </x:is>
      </x:c>
      <x:c r="K180" s="5" t="inlineStr">
        <x:is>
          <x:t xml:space="preserve"/>
        </x:is>
      </x:c>
      <x:c r="L180" s="5" t="inlineStr">
        <x:is>
          <x:t xml:space="preserve"/>
        </x:is>
      </x:c>
      <x:c r="M180" s="5" t="inlineStr">
        <x:is>
          <x:t xml:space="preserve"/>
        </x:is>
      </x:c>
      <x:c r="N180" s="5" t="inlineStr">
        <x:is>
          <x:t xml:space="preserve"/>
        </x:is>
      </x:c>
      <x:c r="O180" s="5" t="inlineStr">
        <x:is>
          <x:t xml:space="preserve"/>
        </x:is>
      </x:c>
      <x:c r="P180" s="5" t="inlineStr">
        <x:is>
          <x:t xml:space="preserve"/>
        </x:is>
      </x:c>
      <x:c r="Q180" s="5" t="inlineStr">
        <x:is>
          <x:t xml:space="preserve"/>
        </x:is>
      </x:c>
      <x:c r="R180" s="5">
        <x:f>IF(OR(F180="",G180=""),"",IF(F180&gt;=0.95*G180,1,0))</x:f>
      </x:c>
      <x:c r="S180" s="7">
        <x:f>IFERROR((I180+J180+K180)/F180,"")</x:f>
      </x:c>
      <x:c r="T180" s="5">
        <x:f>IFERROR(I180+J180+K180,"")</x:f>
        <x:v>0</x:v>
      </x:c>
    </x:row>
    <x:row r="181" ht="22" customHeight="1">
      <x:c r="A181" s="5" t="inlineStr">
        <x:is>
          <x:t xml:space="preserve">P015</x:t>
        </x:is>
      </x:c>
      <x:c r="B181" s="5" t="inlineStr">
        <x:is>
          <x:t xml:space="preserve">9</x:t>
        </x:is>
      </x:c>
      <x:c r="C181" s="5" t="inlineStr">
        <x:is>
          <x:t xml:space="preserve">V06_overload_open_loops</x:t>
        </x:is>
      </x:c>
      <x:c r="D181" s="5" t="inlineStr">
        <x:is>
          <x:t xml:space="preserve">bcc_plus</x:t>
        </x:is>
      </x:c>
      <x:c r="E181" s="5" t="inlineStr">
        <x:is>
          <x:t xml:space="preserve">muted</x:t>
        </x:is>
      </x:c>
      <x:c r="F181" s="6" t="inlineStr">
        <x:is>
          <x:t xml:space="preserve"/>
        </x:is>
      </x:c>
      <x:c r="G181" s="6" t="inlineStr">
        <x:is>
          <x:t xml:space="preserve">6</x:t>
        </x:is>
      </x:c>
      <x:c r="H181" s="5" t="inlineStr">
        <x:is>
          <x:t xml:space="preserve"/>
        </x:is>
      </x:c>
      <x:c r="I181" s="5" t="inlineStr">
        <x:is>
          <x:t xml:space="preserve"/>
        </x:is>
      </x:c>
      <x:c r="J181" s="5" t="inlineStr">
        <x:is>
          <x:t xml:space="preserve"/>
        </x:is>
      </x:c>
      <x:c r="K181" s="5" t="inlineStr">
        <x:is>
          <x:t xml:space="preserve"/>
        </x:is>
      </x:c>
      <x:c r="L181" s="5" t="inlineStr">
        <x:is>
          <x:t xml:space="preserve"/>
        </x:is>
      </x:c>
      <x:c r="M181" s="5" t="inlineStr">
        <x:is>
          <x:t xml:space="preserve"/>
        </x:is>
      </x:c>
      <x:c r="N181" s="5" t="inlineStr">
        <x:is>
          <x:t xml:space="preserve"/>
        </x:is>
      </x:c>
      <x:c r="O181" s="5" t="inlineStr">
        <x:is>
          <x:t xml:space="preserve"/>
        </x:is>
      </x:c>
      <x:c r="P181" s="5" t="inlineStr">
        <x:is>
          <x:t xml:space="preserve"/>
        </x:is>
      </x:c>
      <x:c r="Q181" s="5" t="inlineStr">
        <x:is>
          <x:t xml:space="preserve"/>
        </x:is>
      </x:c>
      <x:c r="R181" s="5">
        <x:f>IF(OR(F181="",G181=""),"",IF(F181&gt;=0.95*G181,1,0))</x:f>
      </x:c>
      <x:c r="S181" s="7">
        <x:f>IFERROR((I181+J181+K181)/F181,"")</x:f>
      </x:c>
      <x:c r="T181" s="5">
        <x:f>IFERROR(I181+J181+K181,"")</x:f>
        <x:v>0</x:v>
      </x:c>
    </x:row>
    <x:row r="182" ht="22" customHeight="1">
      <x:c r="A182" s="5" t="inlineStr">
        <x:is>
          <x:t xml:space="preserve">P015</x:t>
        </x:is>
      </x:c>
      <x:c r="B182" s="5" t="inlineStr">
        <x:is>
          <x:t xml:space="preserve">10</x:t>
        </x:is>
      </x:c>
      <x:c r="C182" s="5" t="inlineStr">
        <x:is>
          <x:t xml:space="preserve">V02_study_recall</x:t>
        </x:is>
      </x:c>
      <x:c r="D182" s="5" t="inlineStr">
        <x:is>
          <x:t xml:space="preserve">heavy_bionic</x:t>
        </x:is>
      </x:c>
      <x:c r="E182" s="5" t="inlineStr">
        <x:is>
          <x:t xml:space="preserve">audio_on</x:t>
        </x:is>
      </x:c>
      <x:c r="F182" s="6" t="inlineStr">
        <x:is>
          <x:t xml:space="preserve"/>
        </x:is>
      </x:c>
      <x:c r="G182" s="6" t="inlineStr">
        <x:is>
          <x:t xml:space="preserve">6</x:t>
        </x:is>
      </x:c>
      <x:c r="H182" s="5" t="inlineStr">
        <x:is>
          <x:t xml:space="preserve"/>
        </x:is>
      </x:c>
      <x:c r="I182" s="5" t="inlineStr">
        <x:is>
          <x:t xml:space="preserve"/>
        </x:is>
      </x:c>
      <x:c r="J182" s="5" t="inlineStr">
        <x:is>
          <x:t xml:space="preserve"/>
        </x:is>
      </x:c>
      <x:c r="K182" s="5" t="inlineStr">
        <x:is>
          <x:t xml:space="preserve"/>
        </x:is>
      </x:c>
      <x:c r="L182" s="5" t="inlineStr">
        <x:is>
          <x:t xml:space="preserve"/>
        </x:is>
      </x:c>
      <x:c r="M182" s="5" t="inlineStr">
        <x:is>
          <x:t xml:space="preserve"/>
        </x:is>
      </x:c>
      <x:c r="N182" s="5" t="inlineStr">
        <x:is>
          <x:t xml:space="preserve"/>
        </x:is>
      </x:c>
      <x:c r="O182" s="5" t="inlineStr">
        <x:is>
          <x:t xml:space="preserve"/>
        </x:is>
      </x:c>
      <x:c r="P182" s="5" t="inlineStr">
        <x:is>
          <x:t xml:space="preserve"/>
        </x:is>
      </x:c>
      <x:c r="Q182" s="5" t="inlineStr">
        <x:is>
          <x:t xml:space="preserve"/>
        </x:is>
      </x:c>
      <x:c r="R182" s="5">
        <x:f>IF(OR(F182="",G182=""),"",IF(F182&gt;=0.95*G182,1,0))</x:f>
      </x:c>
      <x:c r="S182" s="7">
        <x:f>IFERROR((I182+J182+K182)/F182,"")</x:f>
      </x:c>
      <x:c r="T182" s="5">
        <x:f>IFERROR(I182+J182+K182,"")</x:f>
        <x:v>0</x:v>
      </x:c>
    </x:row>
    <x:row r="183" ht="22" customHeight="1">
      <x:c r="A183" s="5" t="inlineStr">
        <x:is>
          <x:t xml:space="preserve">P015</x:t>
        </x:is>
      </x:c>
      <x:c r="B183" s="5" t="inlineStr">
        <x:is>
          <x:t xml:space="preserve">11</x:t>
        </x:is>
      </x:c>
      <x:c r="C183" s="5" t="inlineStr">
        <x:is>
          <x:t xml:space="preserve">V10_tutorial_ui</x:t>
        </x:is>
      </x:c>
      <x:c r="D183" s="5" t="inlineStr">
        <x:is>
          <x:t xml:space="preserve">full_transcript</x:t>
        </x:is>
      </x:c>
      <x:c r="E183" s="5" t="inlineStr">
        <x:is>
          <x:t xml:space="preserve">muted</x:t>
        </x:is>
      </x:c>
      <x:c r="F183" s="6" t="inlineStr">
        <x:is>
          <x:t xml:space="preserve"/>
        </x:is>
      </x:c>
      <x:c r="G183" s="6" t="inlineStr">
        <x:is>
          <x:t xml:space="preserve">6</x:t>
        </x:is>
      </x:c>
      <x:c r="H183" s="5" t="inlineStr">
        <x:is>
          <x:t xml:space="preserve"/>
        </x:is>
      </x:c>
      <x:c r="I183" s="5" t="inlineStr">
        <x:is>
          <x:t xml:space="preserve"/>
        </x:is>
      </x:c>
      <x:c r="J183" s="5" t="inlineStr">
        <x:is>
          <x:t xml:space="preserve"/>
        </x:is>
      </x:c>
      <x:c r="K183" s="5" t="inlineStr">
        <x:is>
          <x:t xml:space="preserve"/>
        </x:is>
      </x:c>
      <x:c r="L183" s="5" t="inlineStr">
        <x:is>
          <x:t xml:space="preserve"/>
        </x:is>
      </x:c>
      <x:c r="M183" s="5" t="inlineStr">
        <x:is>
          <x:t xml:space="preserve"/>
        </x:is>
      </x:c>
      <x:c r="N183" s="5" t="inlineStr">
        <x:is>
          <x:t xml:space="preserve"/>
        </x:is>
      </x:c>
      <x:c r="O183" s="5" t="inlineStr">
        <x:is>
          <x:t xml:space="preserve"/>
        </x:is>
      </x:c>
      <x:c r="P183" s="5" t="inlineStr">
        <x:is>
          <x:t xml:space="preserve"/>
        </x:is>
      </x:c>
      <x:c r="Q183" s="5" t="inlineStr">
        <x:is>
          <x:t xml:space="preserve"/>
        </x:is>
      </x:c>
      <x:c r="R183" s="5">
        <x:f>IF(OR(F183="",G183=""),"",IF(F183&gt;=0.95*G183,1,0))</x:f>
      </x:c>
      <x:c r="S183" s="7">
        <x:f>IFERROR((I183+J183+K183)/F183,"")</x:f>
      </x:c>
      <x:c r="T183" s="5">
        <x:f>IFERROR(I183+J183+K183,"")</x:f>
        <x:v>0</x:v>
      </x:c>
    </x:row>
    <x:row r="184" ht="22" customHeight="1">
      <x:c r="A184" s="5" t="inlineStr">
        <x:is>
          <x:t xml:space="preserve">P015</x:t>
        </x:is>
      </x:c>
      <x:c r="B184" s="5" t="inlineStr">
        <x:is>
          <x:t xml:space="preserve">12</x:t>
        </x:is>
      </x:c>
      <x:c r="C184" s="5" t="inlineStr">
        <x:is>
          <x:t xml:space="preserve">V04_money_visibility</x:t>
        </x:is>
      </x:c>
      <x:c r="D184" s="5" t="inlineStr">
        <x:is>
          <x:t xml:space="preserve">keyword_highlight</x:t>
        </x:is>
      </x:c>
      <x:c r="E184" s="5" t="inlineStr">
        <x:is>
          <x:t xml:space="preserve">audio_on</x:t>
        </x:is>
      </x:c>
      <x:c r="F184" s="6" t="inlineStr">
        <x:is>
          <x:t xml:space="preserve"/>
        </x:is>
      </x:c>
      <x:c r="G184" s="6" t="inlineStr">
        <x:is>
          <x:t xml:space="preserve">6</x:t>
        </x:is>
      </x:c>
      <x:c r="H184" s="5" t="inlineStr">
        <x:is>
          <x:t xml:space="preserve"/>
        </x:is>
      </x:c>
      <x:c r="I184" s="5" t="inlineStr">
        <x:is>
          <x:t xml:space="preserve"/>
        </x:is>
      </x:c>
      <x:c r="J184" s="5" t="inlineStr">
        <x:is>
          <x:t xml:space="preserve"/>
        </x:is>
      </x:c>
      <x:c r="K184" s="5" t="inlineStr">
        <x:is>
          <x:t xml:space="preserve"/>
        </x:is>
      </x:c>
      <x:c r="L184" s="5" t="inlineStr">
        <x:is>
          <x:t xml:space="preserve"/>
        </x:is>
      </x:c>
      <x:c r="M184" s="5" t="inlineStr">
        <x:is>
          <x:t xml:space="preserve"/>
        </x:is>
      </x:c>
      <x:c r="N184" s="5" t="inlineStr">
        <x:is>
          <x:t xml:space="preserve"/>
        </x:is>
      </x:c>
      <x:c r="O184" s="5" t="inlineStr">
        <x:is>
          <x:t xml:space="preserve"/>
        </x:is>
      </x:c>
      <x:c r="P184" s="5" t="inlineStr">
        <x:is>
          <x:t xml:space="preserve"/>
        </x:is>
      </x:c>
      <x:c r="Q184" s="5" t="inlineStr">
        <x:is>
          <x:t xml:space="preserve"/>
        </x:is>
      </x:c>
      <x:c r="R184" s="5">
        <x:f>IF(OR(F184="",G184=""),"",IF(F184&gt;=0.95*G184,1,0))</x:f>
      </x:c>
      <x:c r="S184" s="7">
        <x:f>IFERROR((I184+J184+K184)/F184,"")</x:f>
      </x:c>
      <x:c r="T184" s="5">
        <x:f>IFERROR(I184+J184+K184,"")</x:f>
        <x:v>0</x:v>
      </x:c>
    </x:row>
    <x:row r="185" ht="22" customHeight="1">
      <x:c r="A185" s="5" t="inlineStr">
        <x:is>
          <x:t xml:space="preserve">P016</x:t>
        </x:is>
      </x:c>
      <x:c r="B185" s="5" t="inlineStr">
        <x:is>
          <x:t xml:space="preserve">1</x:t>
        </x:is>
      </x:c>
      <x:c r="C185" s="5" t="inlineStr">
        <x:is>
          <x:t xml:space="preserve">V01_productivity_friction</x:t>
        </x:is>
      </x:c>
      <x:c r="D185" s="5" t="inlineStr">
        <x:is>
          <x:t xml:space="preserve">bcc</x:t>
        </x:is>
      </x:c>
      <x:c r="E185" s="5" t="inlineStr">
        <x:is>
          <x:t xml:space="preserve">audio_on</x:t>
        </x:is>
      </x:c>
      <x:c r="F185" s="6" t="inlineStr">
        <x:is>
          <x:t xml:space="preserve"/>
        </x:is>
      </x:c>
      <x:c r="G185" s="6" t="inlineStr">
        <x:is>
          <x:t xml:space="preserve">6</x:t>
        </x:is>
      </x:c>
      <x:c r="H185" s="5" t="inlineStr">
        <x:is>
          <x:t xml:space="preserve"/>
        </x:is>
      </x:c>
      <x:c r="I185" s="5" t="inlineStr">
        <x:is>
          <x:t xml:space="preserve"/>
        </x:is>
      </x:c>
      <x:c r="J185" s="5" t="inlineStr">
        <x:is>
          <x:t xml:space="preserve"/>
        </x:is>
      </x:c>
      <x:c r="K185" s="5" t="inlineStr">
        <x:is>
          <x:t xml:space="preserve"/>
        </x:is>
      </x:c>
      <x:c r="L185" s="5" t="inlineStr">
        <x:is>
          <x:t xml:space="preserve"/>
        </x:is>
      </x:c>
      <x:c r="M185" s="5" t="inlineStr">
        <x:is>
          <x:t xml:space="preserve"/>
        </x:is>
      </x:c>
      <x:c r="N185" s="5" t="inlineStr">
        <x:is>
          <x:t xml:space="preserve"/>
        </x:is>
      </x:c>
      <x:c r="O185" s="5" t="inlineStr">
        <x:is>
          <x:t xml:space="preserve"/>
        </x:is>
      </x:c>
      <x:c r="P185" s="5" t="inlineStr">
        <x:is>
          <x:t xml:space="preserve"/>
        </x:is>
      </x:c>
      <x:c r="Q185" s="5" t="inlineStr">
        <x:is>
          <x:t xml:space="preserve"/>
        </x:is>
      </x:c>
      <x:c r="R185" s="5">
        <x:f>IF(OR(F185="",G185=""),"",IF(F185&gt;=0.95*G185,1,0))</x:f>
      </x:c>
      <x:c r="S185" s="7">
        <x:f>IFERROR((I185+J185+K185)/F185,"")</x:f>
      </x:c>
      <x:c r="T185" s="5">
        <x:f>IFERROR(I185+J185+K185,"")</x:f>
        <x:v>0</x:v>
      </x:c>
    </x:row>
    <x:row r="186" ht="22" customHeight="1">
      <x:c r="A186" s="5" t="inlineStr">
        <x:is>
          <x:t xml:space="preserve">P016</x:t>
        </x:is>
      </x:c>
      <x:c r="B186" s="5" t="inlineStr">
        <x:is>
          <x:t xml:space="preserve">2</x:t>
        </x:is>
      </x:c>
      <x:c r="C186" s="5" t="inlineStr">
        <x:is>
          <x:t xml:space="preserve">V08_calendar_system</x:t>
        </x:is>
      </x:c>
      <x:c r="D186" s="5" t="inlineStr">
        <x:is>
          <x:t xml:space="preserve">bcc_plus</x:t>
        </x:is>
      </x:c>
      <x:c r="E186" s="5" t="inlineStr">
        <x:is>
          <x:t xml:space="preserve">muted</x:t>
        </x:is>
      </x:c>
      <x:c r="F186" s="6" t="inlineStr">
        <x:is>
          <x:t xml:space="preserve"/>
        </x:is>
      </x:c>
      <x:c r="G186" s="6" t="inlineStr">
        <x:is>
          <x:t xml:space="preserve">6</x:t>
        </x:is>
      </x:c>
      <x:c r="H186" s="5" t="inlineStr">
        <x:is>
          <x:t xml:space="preserve"/>
        </x:is>
      </x:c>
      <x:c r="I186" s="5" t="inlineStr">
        <x:is>
          <x:t xml:space="preserve"/>
        </x:is>
      </x:c>
      <x:c r="J186" s="5" t="inlineStr">
        <x:is>
          <x:t xml:space="preserve"/>
        </x:is>
      </x:c>
      <x:c r="K186" s="5" t="inlineStr">
        <x:is>
          <x:t xml:space="preserve"/>
        </x:is>
      </x:c>
      <x:c r="L186" s="5" t="inlineStr">
        <x:is>
          <x:t xml:space="preserve"/>
        </x:is>
      </x:c>
      <x:c r="M186" s="5" t="inlineStr">
        <x:is>
          <x:t xml:space="preserve"/>
        </x:is>
      </x:c>
      <x:c r="N186" s="5" t="inlineStr">
        <x:is>
          <x:t xml:space="preserve"/>
        </x:is>
      </x:c>
      <x:c r="O186" s="5" t="inlineStr">
        <x:is>
          <x:t xml:space="preserve"/>
        </x:is>
      </x:c>
      <x:c r="P186" s="5" t="inlineStr">
        <x:is>
          <x:t xml:space="preserve"/>
        </x:is>
      </x:c>
      <x:c r="Q186" s="5" t="inlineStr">
        <x:is>
          <x:t xml:space="preserve"/>
        </x:is>
      </x:c>
      <x:c r="R186" s="5">
        <x:f>IF(OR(F186="",G186=""),"",IF(F186&gt;=0.95*G186,1,0))</x:f>
      </x:c>
      <x:c r="S186" s="7">
        <x:f>IFERROR((I186+J186+K186)/F186,"")</x:f>
      </x:c>
      <x:c r="T186" s="5">
        <x:f>IFERROR(I186+J186+K186,"")</x:f>
        <x:v>0</x:v>
      </x:c>
    </x:row>
    <x:row r="187" ht="22" customHeight="1">
      <x:c r="A187" s="5" t="inlineStr">
        <x:is>
          <x:t xml:space="preserve">P016</x:t>
        </x:is>
      </x:c>
      <x:c r="B187" s="5" t="inlineStr">
        <x:is>
          <x:t xml:space="preserve">3</x:t>
        </x:is>
      </x:c>
      <x:c r="C187" s="5" t="inlineStr">
        <x:is>
          <x:t xml:space="preserve">V11_story_burnout</x:t>
        </x:is>
      </x:c>
      <x:c r="D187" s="5" t="inlineStr">
        <x:is>
          <x:t xml:space="preserve">heavy_bionic</x:t>
        </x:is>
      </x:c>
      <x:c r="E187" s="5" t="inlineStr">
        <x:is>
          <x:t xml:space="preserve">audio_on</x:t>
        </x:is>
      </x:c>
      <x:c r="F187" s="6" t="inlineStr">
        <x:is>
          <x:t xml:space="preserve"/>
        </x:is>
      </x:c>
      <x:c r="G187" s="6" t="inlineStr">
        <x:is>
          <x:t xml:space="preserve">6</x:t>
        </x:is>
      </x:c>
      <x:c r="H187" s="5" t="inlineStr">
        <x:is>
          <x:t xml:space="preserve"/>
        </x:is>
      </x:c>
      <x:c r="I187" s="5" t="inlineStr">
        <x:is>
          <x:t xml:space="preserve"/>
        </x:is>
      </x:c>
      <x:c r="J187" s="5" t="inlineStr">
        <x:is>
          <x:t xml:space="preserve"/>
        </x:is>
      </x:c>
      <x:c r="K187" s="5" t="inlineStr">
        <x:is>
          <x:t xml:space="preserve"/>
        </x:is>
      </x:c>
      <x:c r="L187" s="5" t="inlineStr">
        <x:is>
          <x:t xml:space="preserve"/>
        </x:is>
      </x:c>
      <x:c r="M187" s="5" t="inlineStr">
        <x:is>
          <x:t xml:space="preserve"/>
        </x:is>
      </x:c>
      <x:c r="N187" s="5" t="inlineStr">
        <x:is>
          <x:t xml:space="preserve"/>
        </x:is>
      </x:c>
      <x:c r="O187" s="5" t="inlineStr">
        <x:is>
          <x:t xml:space="preserve"/>
        </x:is>
      </x:c>
      <x:c r="P187" s="5" t="inlineStr">
        <x:is>
          <x:t xml:space="preserve"/>
        </x:is>
      </x:c>
      <x:c r="Q187" s="5" t="inlineStr">
        <x:is>
          <x:t xml:space="preserve"/>
        </x:is>
      </x:c>
      <x:c r="R187" s="5">
        <x:f>IF(OR(F187="",G187=""),"",IF(F187&gt;=0.95*G187,1,0))</x:f>
      </x:c>
      <x:c r="S187" s="7">
        <x:f>IFERROR((I187+J187+K187)/F187,"")</x:f>
      </x:c>
      <x:c r="T187" s="5">
        <x:f>IFERROR(I187+J187+K187,"")</x:f>
        <x:v>0</x:v>
      </x:c>
    </x:row>
    <x:row r="188" ht="22" customHeight="1">
      <x:c r="A188" s="5" t="inlineStr">
        <x:is>
          <x:t xml:space="preserve">P016</x:t>
        </x:is>
      </x:c>
      <x:c r="B188" s="5" t="inlineStr">
        <x:is>
          <x:t xml:space="preserve">4</x:t>
        </x:is>
      </x:c>
      <x:c r="C188" s="5" t="inlineStr">
        <x:is>
          <x:t xml:space="preserve">V06_overload_open_loops</x:t>
        </x:is>
      </x:c>
      <x:c r="D188" s="5" t="inlineStr">
        <x:is>
          <x:t xml:space="preserve">full_transcript</x:t>
        </x:is>
      </x:c>
      <x:c r="E188" s="5" t="inlineStr">
        <x:is>
          <x:t xml:space="preserve">muted</x:t>
        </x:is>
      </x:c>
      <x:c r="F188" s="6" t="inlineStr">
        <x:is>
          <x:t xml:space="preserve"/>
        </x:is>
      </x:c>
      <x:c r="G188" s="6" t="inlineStr">
        <x:is>
          <x:t xml:space="preserve">6</x:t>
        </x:is>
      </x:c>
      <x:c r="H188" s="5" t="inlineStr">
        <x:is>
          <x:t xml:space="preserve"/>
        </x:is>
      </x:c>
      <x:c r="I188" s="5" t="inlineStr">
        <x:is>
          <x:t xml:space="preserve"/>
        </x:is>
      </x:c>
      <x:c r="J188" s="5" t="inlineStr">
        <x:is>
          <x:t xml:space="preserve"/>
        </x:is>
      </x:c>
      <x:c r="K188" s="5" t="inlineStr">
        <x:is>
          <x:t xml:space="preserve"/>
        </x:is>
      </x:c>
      <x:c r="L188" s="5" t="inlineStr">
        <x:is>
          <x:t xml:space="preserve"/>
        </x:is>
      </x:c>
      <x:c r="M188" s="5" t="inlineStr">
        <x:is>
          <x:t xml:space="preserve"/>
        </x:is>
      </x:c>
      <x:c r="N188" s="5" t="inlineStr">
        <x:is>
          <x:t xml:space="preserve"/>
        </x:is>
      </x:c>
      <x:c r="O188" s="5" t="inlineStr">
        <x:is>
          <x:t xml:space="preserve"/>
        </x:is>
      </x:c>
      <x:c r="P188" s="5" t="inlineStr">
        <x:is>
          <x:t xml:space="preserve"/>
        </x:is>
      </x:c>
      <x:c r="Q188" s="5" t="inlineStr">
        <x:is>
          <x:t xml:space="preserve"/>
        </x:is>
      </x:c>
      <x:c r="R188" s="5">
        <x:f>IF(OR(F188="",G188=""),"",IF(F188&gt;=0.95*G188,1,0))</x:f>
      </x:c>
      <x:c r="S188" s="7">
        <x:f>IFERROR((I188+J188+K188)/F188,"")</x:f>
      </x:c>
      <x:c r="T188" s="5">
        <x:f>IFERROR(I188+J188+K188,"")</x:f>
        <x:v>0</x:v>
      </x:c>
    </x:row>
    <x:row r="189" ht="22" customHeight="1">
      <x:c r="A189" s="5" t="inlineStr">
        <x:is>
          <x:t xml:space="preserve">P016</x:t>
        </x:is>
      </x:c>
      <x:c r="B189" s="5" t="inlineStr">
        <x:is>
          <x:t xml:space="preserve">5</x:t>
        </x:is>
      </x:c>
      <x:c r="C189" s="5" t="inlineStr">
        <x:is>
          <x:t xml:space="preserve">V07_business_clarity</x:t>
        </x:is>
      </x:c>
      <x:c r="D189" s="5" t="inlineStr">
        <x:is>
          <x:t xml:space="preserve">keyword_highlight</x:t>
        </x:is>
      </x:c>
      <x:c r="E189" s="5" t="inlineStr">
        <x:is>
          <x:t xml:space="preserve">audio_on</x:t>
        </x:is>
      </x:c>
      <x:c r="F189" s="6" t="inlineStr">
        <x:is>
          <x:t xml:space="preserve"/>
        </x:is>
      </x:c>
      <x:c r="G189" s="6" t="inlineStr">
        <x:is>
          <x:t xml:space="preserve">6</x:t>
        </x:is>
      </x:c>
      <x:c r="H189" s="5" t="inlineStr">
        <x:is>
          <x:t xml:space="preserve"/>
        </x:is>
      </x:c>
      <x:c r="I189" s="5" t="inlineStr">
        <x:is>
          <x:t xml:space="preserve"/>
        </x:is>
      </x:c>
      <x:c r="J189" s="5" t="inlineStr">
        <x:is>
          <x:t xml:space="preserve"/>
        </x:is>
      </x:c>
      <x:c r="K189" s="5" t="inlineStr">
        <x:is>
          <x:t xml:space="preserve"/>
        </x:is>
      </x:c>
      <x:c r="L189" s="5" t="inlineStr">
        <x:is>
          <x:t xml:space="preserve"/>
        </x:is>
      </x:c>
      <x:c r="M189" s="5" t="inlineStr">
        <x:is>
          <x:t xml:space="preserve"/>
        </x:is>
      </x:c>
      <x:c r="N189" s="5" t="inlineStr">
        <x:is>
          <x:t xml:space="preserve"/>
        </x:is>
      </x:c>
      <x:c r="O189" s="5" t="inlineStr">
        <x:is>
          <x:t xml:space="preserve"/>
        </x:is>
      </x:c>
      <x:c r="P189" s="5" t="inlineStr">
        <x:is>
          <x:t xml:space="preserve"/>
        </x:is>
      </x:c>
      <x:c r="Q189" s="5" t="inlineStr">
        <x:is>
          <x:t xml:space="preserve"/>
        </x:is>
      </x:c>
      <x:c r="R189" s="5">
        <x:f>IF(OR(F189="",G189=""),"",IF(F189&gt;=0.95*G189,1,0))</x:f>
      </x:c>
      <x:c r="S189" s="7">
        <x:f>IFERROR((I189+J189+K189)/F189,"")</x:f>
      </x:c>
      <x:c r="T189" s="5">
        <x:f>IFERROR(I189+J189+K189,"")</x:f>
        <x:v>0</x:v>
      </x:c>
    </x:row>
    <x:row r="190" ht="22" customHeight="1">
      <x:c r="A190" s="5" t="inlineStr">
        <x:is>
          <x:t xml:space="preserve">P016</x:t>
        </x:is>
      </x:c>
      <x:c r="B190" s="5" t="inlineStr">
        <x:is>
          <x:t xml:space="preserve">6</x:t>
        </x:is>
      </x:c>
      <x:c r="C190" s="5" t="inlineStr">
        <x:is>
          <x:t xml:space="preserve">V12_creativity_constraints</x:t>
        </x:is>
      </x:c>
      <x:c r="D190" s="5" t="inlineStr">
        <x:is>
          <x:t xml:space="preserve">semantic_compression</x:t>
        </x:is>
      </x:c>
      <x:c r="E190" s="5" t="inlineStr">
        <x:is>
          <x:t xml:space="preserve">muted</x:t>
        </x:is>
      </x:c>
      <x:c r="F190" s="6" t="inlineStr">
        <x:is>
          <x:t xml:space="preserve"/>
        </x:is>
      </x:c>
      <x:c r="G190" s="6" t="inlineStr">
        <x:is>
          <x:t xml:space="preserve">6</x:t>
        </x:is>
      </x:c>
      <x:c r="H190" s="5" t="inlineStr">
        <x:is>
          <x:t xml:space="preserve"/>
        </x:is>
      </x:c>
      <x:c r="I190" s="5" t="inlineStr">
        <x:is>
          <x:t xml:space="preserve"/>
        </x:is>
      </x:c>
      <x:c r="J190" s="5" t="inlineStr">
        <x:is>
          <x:t xml:space="preserve"/>
        </x:is>
      </x:c>
      <x:c r="K190" s="5" t="inlineStr">
        <x:is>
          <x:t xml:space="preserve"/>
        </x:is>
      </x:c>
      <x:c r="L190" s="5" t="inlineStr">
        <x:is>
          <x:t xml:space="preserve"/>
        </x:is>
      </x:c>
      <x:c r="M190" s="5" t="inlineStr">
        <x:is>
          <x:t xml:space="preserve"/>
        </x:is>
      </x:c>
      <x:c r="N190" s="5" t="inlineStr">
        <x:is>
          <x:t xml:space="preserve"/>
        </x:is>
      </x:c>
      <x:c r="O190" s="5" t="inlineStr">
        <x:is>
          <x:t xml:space="preserve"/>
        </x:is>
      </x:c>
      <x:c r="P190" s="5" t="inlineStr">
        <x:is>
          <x:t xml:space="preserve"/>
        </x:is>
      </x:c>
      <x:c r="Q190" s="5" t="inlineStr">
        <x:is>
          <x:t xml:space="preserve"/>
        </x:is>
      </x:c>
      <x:c r="R190" s="5">
        <x:f>IF(OR(F190="",G190=""),"",IF(F190&gt;=0.95*G190,1,0))</x:f>
      </x:c>
      <x:c r="S190" s="7">
        <x:f>IFERROR((I190+J190+K190)/F190,"")</x:f>
      </x:c>
      <x:c r="T190" s="5">
        <x:f>IFERROR(I190+J190+K190,"")</x:f>
        <x:v>0</x:v>
      </x:c>
    </x:row>
    <x:row r="191" ht="22" customHeight="1">
      <x:c r="A191" s="5" t="inlineStr">
        <x:is>
          <x:t xml:space="preserve">P016</x:t>
        </x:is>
      </x:c>
      <x:c r="B191" s="5" t="inlineStr">
        <x:is>
          <x:t xml:space="preserve">7</x:t>
        </x:is>
      </x:c>
      <x:c r="C191" s="5" t="inlineStr">
        <x:is>
          <x:t xml:space="preserve">V03_fitness_setup</x:t>
        </x:is>
      </x:c>
      <x:c r="D191" s="5" t="inlineStr">
        <x:is>
          <x:t xml:space="preserve">bcc</x:t>
        </x:is>
      </x:c>
      <x:c r="E191" s="5" t="inlineStr">
        <x:is>
          <x:t xml:space="preserve">audio_on</x:t>
        </x:is>
      </x:c>
      <x:c r="F191" s="6" t="inlineStr">
        <x:is>
          <x:t xml:space="preserve"/>
        </x:is>
      </x:c>
      <x:c r="G191" s="6" t="inlineStr">
        <x:is>
          <x:t xml:space="preserve">6</x:t>
        </x:is>
      </x:c>
      <x:c r="H191" s="5" t="inlineStr">
        <x:is>
          <x:t xml:space="preserve"/>
        </x:is>
      </x:c>
      <x:c r="I191" s="5" t="inlineStr">
        <x:is>
          <x:t xml:space="preserve"/>
        </x:is>
      </x:c>
      <x:c r="J191" s="5" t="inlineStr">
        <x:is>
          <x:t xml:space="preserve"/>
        </x:is>
      </x:c>
      <x:c r="K191" s="5" t="inlineStr">
        <x:is>
          <x:t xml:space="preserve"/>
        </x:is>
      </x:c>
      <x:c r="L191" s="5" t="inlineStr">
        <x:is>
          <x:t xml:space="preserve"/>
        </x:is>
      </x:c>
      <x:c r="M191" s="5" t="inlineStr">
        <x:is>
          <x:t xml:space="preserve"/>
        </x:is>
      </x:c>
      <x:c r="N191" s="5" t="inlineStr">
        <x:is>
          <x:t xml:space="preserve"/>
        </x:is>
      </x:c>
      <x:c r="O191" s="5" t="inlineStr">
        <x:is>
          <x:t xml:space="preserve"/>
        </x:is>
      </x:c>
      <x:c r="P191" s="5" t="inlineStr">
        <x:is>
          <x:t xml:space="preserve"/>
        </x:is>
      </x:c>
      <x:c r="Q191" s="5" t="inlineStr">
        <x:is>
          <x:t xml:space="preserve"/>
        </x:is>
      </x:c>
      <x:c r="R191" s="5">
        <x:f>IF(OR(F191="",G191=""),"",IF(F191&gt;=0.95*G191,1,0))</x:f>
      </x:c>
      <x:c r="S191" s="7">
        <x:f>IFERROR((I191+J191+K191)/F191,"")</x:f>
      </x:c>
      <x:c r="T191" s="5">
        <x:f>IFERROR(I191+J191+K191,"")</x:f>
        <x:v>0</x:v>
      </x:c>
    </x:row>
    <x:row r="192" ht="22" customHeight="1">
      <x:c r="A192" s="5" t="inlineStr">
        <x:is>
          <x:t xml:space="preserve">P016</x:t>
        </x:is>
      </x:c>
      <x:c r="B192" s="5" t="inlineStr">
        <x:is>
          <x:t xml:space="preserve">8</x:t>
        </x:is>
      </x:c>
      <x:c r="C192" s="5" t="inlineStr">
        <x:is>
          <x:t xml:space="preserve">V10_tutorial_ui</x:t>
        </x:is>
      </x:c>
      <x:c r="D192" s="5" t="inlineStr">
        <x:is>
          <x:t xml:space="preserve">bcc_plus</x:t>
        </x:is>
      </x:c>
      <x:c r="E192" s="5" t="inlineStr">
        <x:is>
          <x:t xml:space="preserve">muted</x:t>
        </x:is>
      </x:c>
      <x:c r="F192" s="6" t="inlineStr">
        <x:is>
          <x:t xml:space="preserve"/>
        </x:is>
      </x:c>
      <x:c r="G192" s="6" t="inlineStr">
        <x:is>
          <x:t xml:space="preserve">6</x:t>
        </x:is>
      </x:c>
      <x:c r="H192" s="5" t="inlineStr">
        <x:is>
          <x:t xml:space="preserve"/>
        </x:is>
      </x:c>
      <x:c r="I192" s="5" t="inlineStr">
        <x:is>
          <x:t xml:space="preserve"/>
        </x:is>
      </x:c>
      <x:c r="J192" s="5" t="inlineStr">
        <x:is>
          <x:t xml:space="preserve"/>
        </x:is>
      </x:c>
      <x:c r="K192" s="5" t="inlineStr">
        <x:is>
          <x:t xml:space="preserve"/>
        </x:is>
      </x:c>
      <x:c r="L192" s="5" t="inlineStr">
        <x:is>
          <x:t xml:space="preserve"/>
        </x:is>
      </x:c>
      <x:c r="M192" s="5" t="inlineStr">
        <x:is>
          <x:t xml:space="preserve"/>
        </x:is>
      </x:c>
      <x:c r="N192" s="5" t="inlineStr">
        <x:is>
          <x:t xml:space="preserve"/>
        </x:is>
      </x:c>
      <x:c r="O192" s="5" t="inlineStr">
        <x:is>
          <x:t xml:space="preserve"/>
        </x:is>
      </x:c>
      <x:c r="P192" s="5" t="inlineStr">
        <x:is>
          <x:t xml:space="preserve"/>
        </x:is>
      </x:c>
      <x:c r="Q192" s="5" t="inlineStr">
        <x:is>
          <x:t xml:space="preserve"/>
        </x:is>
      </x:c>
      <x:c r="R192" s="5">
        <x:f>IF(OR(F192="",G192=""),"",IF(F192&gt;=0.95*G192,1,0))</x:f>
      </x:c>
      <x:c r="S192" s="7">
        <x:f>IFERROR((I192+J192+K192)/F192,"")</x:f>
      </x:c>
      <x:c r="T192" s="5">
        <x:f>IFERROR(I192+J192+K192,"")</x:f>
        <x:v>0</x:v>
      </x:c>
    </x:row>
    <x:row r="193" ht="22" customHeight="1">
      <x:c r="A193" s="5" t="inlineStr">
        <x:is>
          <x:t xml:space="preserve">P016</x:t>
        </x:is>
      </x:c>
      <x:c r="B193" s="5" t="inlineStr">
        <x:is>
          <x:t xml:space="preserve">9</x:t>
        </x:is>
      </x:c>
      <x:c r="C193" s="5" t="inlineStr">
        <x:is>
          <x:t xml:space="preserve">V09_nutrition_satiety</x:t>
        </x:is>
      </x:c>
      <x:c r="D193" s="5" t="inlineStr">
        <x:is>
          <x:t xml:space="preserve">heavy_bionic</x:t>
        </x:is>
      </x:c>
      <x:c r="E193" s="5" t="inlineStr">
        <x:is>
          <x:t xml:space="preserve">audio_on</x:t>
        </x:is>
      </x:c>
      <x:c r="F193" s="6" t="inlineStr">
        <x:is>
          <x:t xml:space="preserve"/>
        </x:is>
      </x:c>
      <x:c r="G193" s="6" t="inlineStr">
        <x:is>
          <x:t xml:space="preserve">6</x:t>
        </x:is>
      </x:c>
      <x:c r="H193" s="5" t="inlineStr">
        <x:is>
          <x:t xml:space="preserve"/>
        </x:is>
      </x:c>
      <x:c r="I193" s="5" t="inlineStr">
        <x:is>
          <x:t xml:space="preserve"/>
        </x:is>
      </x:c>
      <x:c r="J193" s="5" t="inlineStr">
        <x:is>
          <x:t xml:space="preserve"/>
        </x:is>
      </x:c>
      <x:c r="K193" s="5" t="inlineStr">
        <x:is>
          <x:t xml:space="preserve"/>
        </x:is>
      </x:c>
      <x:c r="L193" s="5" t="inlineStr">
        <x:is>
          <x:t xml:space="preserve"/>
        </x:is>
      </x:c>
      <x:c r="M193" s="5" t="inlineStr">
        <x:is>
          <x:t xml:space="preserve"/>
        </x:is>
      </x:c>
      <x:c r="N193" s="5" t="inlineStr">
        <x:is>
          <x:t xml:space="preserve"/>
        </x:is>
      </x:c>
      <x:c r="O193" s="5" t="inlineStr">
        <x:is>
          <x:t xml:space="preserve"/>
        </x:is>
      </x:c>
      <x:c r="P193" s="5" t="inlineStr">
        <x:is>
          <x:t xml:space="preserve"/>
        </x:is>
      </x:c>
      <x:c r="Q193" s="5" t="inlineStr">
        <x:is>
          <x:t xml:space="preserve"/>
        </x:is>
      </x:c>
      <x:c r="R193" s="5">
        <x:f>IF(OR(F193="",G193=""),"",IF(F193&gt;=0.95*G193,1,0))</x:f>
      </x:c>
      <x:c r="S193" s="7">
        <x:f>IFERROR((I193+J193+K193)/F193,"")</x:f>
      </x:c>
      <x:c r="T193" s="5">
        <x:f>IFERROR(I193+J193+K193,"")</x:f>
        <x:v>0</x:v>
      </x:c>
    </x:row>
    <x:row r="194" ht="22" customHeight="1">
      <x:c r="A194" s="5" t="inlineStr">
        <x:is>
          <x:t xml:space="preserve">P016</x:t>
        </x:is>
      </x:c>
      <x:c r="B194" s="5" t="inlineStr">
        <x:is>
          <x:t xml:space="preserve">10</x:t>
        </x:is>
      </x:c>
      <x:c r="C194" s="5" t="inlineStr">
        <x:is>
          <x:t xml:space="preserve">V02_study_recall</x:t>
        </x:is>
      </x:c>
      <x:c r="D194" s="5" t="inlineStr">
        <x:is>
          <x:t xml:space="preserve">full_transcript</x:t>
        </x:is>
      </x:c>
      <x:c r="E194" s="5" t="inlineStr">
        <x:is>
          <x:t xml:space="preserve">muted</x:t>
        </x:is>
      </x:c>
      <x:c r="F194" s="6" t="inlineStr">
        <x:is>
          <x:t xml:space="preserve"/>
        </x:is>
      </x:c>
      <x:c r="G194" s="6" t="inlineStr">
        <x:is>
          <x:t xml:space="preserve">6</x:t>
        </x:is>
      </x:c>
      <x:c r="H194" s="5" t="inlineStr">
        <x:is>
          <x:t xml:space="preserve"/>
        </x:is>
      </x:c>
      <x:c r="I194" s="5" t="inlineStr">
        <x:is>
          <x:t xml:space="preserve"/>
        </x:is>
      </x:c>
      <x:c r="J194" s="5" t="inlineStr">
        <x:is>
          <x:t xml:space="preserve"/>
        </x:is>
      </x:c>
      <x:c r="K194" s="5" t="inlineStr">
        <x:is>
          <x:t xml:space="preserve"/>
        </x:is>
      </x:c>
      <x:c r="L194" s="5" t="inlineStr">
        <x:is>
          <x:t xml:space="preserve"/>
        </x:is>
      </x:c>
      <x:c r="M194" s="5" t="inlineStr">
        <x:is>
          <x:t xml:space="preserve"/>
        </x:is>
      </x:c>
      <x:c r="N194" s="5" t="inlineStr">
        <x:is>
          <x:t xml:space="preserve"/>
        </x:is>
      </x:c>
      <x:c r="O194" s="5" t="inlineStr">
        <x:is>
          <x:t xml:space="preserve"/>
        </x:is>
      </x:c>
      <x:c r="P194" s="5" t="inlineStr">
        <x:is>
          <x:t xml:space="preserve"/>
        </x:is>
      </x:c>
      <x:c r="Q194" s="5" t="inlineStr">
        <x:is>
          <x:t xml:space="preserve"/>
        </x:is>
      </x:c>
      <x:c r="R194" s="5">
        <x:f>IF(OR(F194="",G194=""),"",IF(F194&gt;=0.95*G194,1,0))</x:f>
      </x:c>
      <x:c r="S194" s="7">
        <x:f>IFERROR((I194+J194+K194)/F194,"")</x:f>
      </x:c>
      <x:c r="T194" s="5">
        <x:f>IFERROR(I194+J194+K194,"")</x:f>
        <x:v>0</x:v>
      </x:c>
    </x:row>
    <x:row r="195" ht="22" customHeight="1">
      <x:c r="A195" s="5" t="inlineStr">
        <x:is>
          <x:t xml:space="preserve">P016</x:t>
        </x:is>
      </x:c>
      <x:c r="B195" s="5" t="inlineStr">
        <x:is>
          <x:t xml:space="preserve">11</x:t>
        </x:is>
      </x:c>
      <x:c r="C195" s="5" t="inlineStr">
        <x:is>
          <x:t xml:space="preserve">V04_money_visibility</x:t>
        </x:is>
      </x:c>
      <x:c r="D195" s="5" t="inlineStr">
        <x:is>
          <x:t xml:space="preserve">keyword_highlight</x:t>
        </x:is>
      </x:c>
      <x:c r="E195" s="5" t="inlineStr">
        <x:is>
          <x:t xml:space="preserve">audio_on</x:t>
        </x:is>
      </x:c>
      <x:c r="F195" s="6" t="inlineStr">
        <x:is>
          <x:t xml:space="preserve"/>
        </x:is>
      </x:c>
      <x:c r="G195" s="6" t="inlineStr">
        <x:is>
          <x:t xml:space="preserve">6</x:t>
        </x:is>
      </x:c>
      <x:c r="H195" s="5" t="inlineStr">
        <x:is>
          <x:t xml:space="preserve"/>
        </x:is>
      </x:c>
      <x:c r="I195" s="5" t="inlineStr">
        <x:is>
          <x:t xml:space="preserve"/>
        </x:is>
      </x:c>
      <x:c r="J195" s="5" t="inlineStr">
        <x:is>
          <x:t xml:space="preserve"/>
        </x:is>
      </x:c>
      <x:c r="K195" s="5" t="inlineStr">
        <x:is>
          <x:t xml:space="preserve"/>
        </x:is>
      </x:c>
      <x:c r="L195" s="5" t="inlineStr">
        <x:is>
          <x:t xml:space="preserve"/>
        </x:is>
      </x:c>
      <x:c r="M195" s="5" t="inlineStr">
        <x:is>
          <x:t xml:space="preserve"/>
        </x:is>
      </x:c>
      <x:c r="N195" s="5" t="inlineStr">
        <x:is>
          <x:t xml:space="preserve"/>
        </x:is>
      </x:c>
      <x:c r="O195" s="5" t="inlineStr">
        <x:is>
          <x:t xml:space="preserve"/>
        </x:is>
      </x:c>
      <x:c r="P195" s="5" t="inlineStr">
        <x:is>
          <x:t xml:space="preserve"/>
        </x:is>
      </x:c>
      <x:c r="Q195" s="5" t="inlineStr">
        <x:is>
          <x:t xml:space="preserve"/>
        </x:is>
      </x:c>
      <x:c r="R195" s="5">
        <x:f>IF(OR(F195="",G195=""),"",IF(F195&gt;=0.95*G195,1,0))</x:f>
      </x:c>
      <x:c r="S195" s="7">
        <x:f>IFERROR((I195+J195+K195)/F195,"")</x:f>
      </x:c>
      <x:c r="T195" s="5">
        <x:f>IFERROR(I195+J195+K195,"")</x:f>
        <x:v>0</x:v>
      </x:c>
    </x:row>
    <x:row r="196" ht="22" customHeight="1">
      <x:c r="A196" s="5" t="inlineStr">
        <x:is>
          <x:t xml:space="preserve">P016</x:t>
        </x:is>
      </x:c>
      <x:c r="B196" s="5" t="inlineStr">
        <x:is>
          <x:t xml:space="preserve">12</x:t>
        </x:is>
      </x:c>
      <x:c r="C196" s="5" t="inlineStr">
        <x:is>
          <x:t xml:space="preserve">V05_coding_assumptions</x:t>
        </x:is>
      </x:c>
      <x:c r="D196" s="5" t="inlineStr">
        <x:is>
          <x:t xml:space="preserve">semantic_compression</x:t>
        </x:is>
      </x:c>
      <x:c r="E196" s="5" t="inlineStr">
        <x:is>
          <x:t xml:space="preserve">muted</x:t>
        </x:is>
      </x:c>
      <x:c r="F196" s="6" t="inlineStr">
        <x:is>
          <x:t xml:space="preserve"/>
        </x:is>
      </x:c>
      <x:c r="G196" s="6" t="inlineStr">
        <x:is>
          <x:t xml:space="preserve">6</x:t>
        </x:is>
      </x:c>
      <x:c r="H196" s="5" t="inlineStr">
        <x:is>
          <x:t xml:space="preserve"/>
        </x:is>
      </x:c>
      <x:c r="I196" s="5" t="inlineStr">
        <x:is>
          <x:t xml:space="preserve"/>
        </x:is>
      </x:c>
      <x:c r="J196" s="5" t="inlineStr">
        <x:is>
          <x:t xml:space="preserve"/>
        </x:is>
      </x:c>
      <x:c r="K196" s="5" t="inlineStr">
        <x:is>
          <x:t xml:space="preserve"/>
        </x:is>
      </x:c>
      <x:c r="L196" s="5" t="inlineStr">
        <x:is>
          <x:t xml:space="preserve"/>
        </x:is>
      </x:c>
      <x:c r="M196" s="5" t="inlineStr">
        <x:is>
          <x:t xml:space="preserve"/>
        </x:is>
      </x:c>
      <x:c r="N196" s="5" t="inlineStr">
        <x:is>
          <x:t xml:space="preserve"/>
        </x:is>
      </x:c>
      <x:c r="O196" s="5" t="inlineStr">
        <x:is>
          <x:t xml:space="preserve"/>
        </x:is>
      </x:c>
      <x:c r="P196" s="5" t="inlineStr">
        <x:is>
          <x:t xml:space="preserve"/>
        </x:is>
      </x:c>
      <x:c r="Q196" s="5" t="inlineStr">
        <x:is>
          <x:t xml:space="preserve"/>
        </x:is>
      </x:c>
      <x:c r="R196" s="5">
        <x:f>IF(OR(F196="",G196=""),"",IF(F196&gt;=0.95*G196,1,0))</x:f>
      </x:c>
      <x:c r="S196" s="7">
        <x:f>IFERROR((I196+J196+K196)/F196,"")</x:f>
      </x:c>
      <x:c r="T196" s="5">
        <x:f>IFERROR(I196+J196+K196,"")</x:f>
        <x:v>0</x:v>
      </x:c>
    </x:row>
    <x:row r="197" ht="22" customHeight="1">
      <x:c r="A197" s="5" t="inlineStr">
        <x:is>
          <x:t xml:space="preserve">P017</x:t>
        </x:is>
      </x:c>
      <x:c r="B197" s="5" t="inlineStr">
        <x:is>
          <x:t xml:space="preserve">1</x:t>
        </x:is>
      </x:c>
      <x:c r="C197" s="5" t="inlineStr">
        <x:is>
          <x:t xml:space="preserve">V11_story_burnout</x:t>
        </x:is>
      </x:c>
      <x:c r="D197" s="5" t="inlineStr">
        <x:is>
          <x:t xml:space="preserve">bcc_plus</x:t>
        </x:is>
      </x:c>
      <x:c r="E197" s="5" t="inlineStr">
        <x:is>
          <x:t xml:space="preserve">muted</x:t>
        </x:is>
      </x:c>
      <x:c r="F197" s="6" t="inlineStr">
        <x:is>
          <x:t xml:space="preserve"/>
        </x:is>
      </x:c>
      <x:c r="G197" s="6" t="inlineStr">
        <x:is>
          <x:t xml:space="preserve">6</x:t>
        </x:is>
      </x:c>
      <x:c r="H197" s="5" t="inlineStr">
        <x:is>
          <x:t xml:space="preserve"/>
        </x:is>
      </x:c>
      <x:c r="I197" s="5" t="inlineStr">
        <x:is>
          <x:t xml:space="preserve"/>
        </x:is>
      </x:c>
      <x:c r="J197" s="5" t="inlineStr">
        <x:is>
          <x:t xml:space="preserve"/>
        </x:is>
      </x:c>
      <x:c r="K197" s="5" t="inlineStr">
        <x:is>
          <x:t xml:space="preserve"/>
        </x:is>
      </x:c>
      <x:c r="L197" s="5" t="inlineStr">
        <x:is>
          <x:t xml:space="preserve"/>
        </x:is>
      </x:c>
      <x:c r="M197" s="5" t="inlineStr">
        <x:is>
          <x:t xml:space="preserve"/>
        </x:is>
      </x:c>
      <x:c r="N197" s="5" t="inlineStr">
        <x:is>
          <x:t xml:space="preserve"/>
        </x:is>
      </x:c>
      <x:c r="O197" s="5" t="inlineStr">
        <x:is>
          <x:t xml:space="preserve"/>
        </x:is>
      </x:c>
      <x:c r="P197" s="5" t="inlineStr">
        <x:is>
          <x:t xml:space="preserve"/>
        </x:is>
      </x:c>
      <x:c r="Q197" s="5" t="inlineStr">
        <x:is>
          <x:t xml:space="preserve"/>
        </x:is>
      </x:c>
      <x:c r="R197" s="5">
        <x:f>IF(OR(F197="",G197=""),"",IF(F197&gt;=0.95*G197,1,0))</x:f>
      </x:c>
      <x:c r="S197" s="7">
        <x:f>IFERROR((I197+J197+K197)/F197,"")</x:f>
      </x:c>
      <x:c r="T197" s="5">
        <x:f>IFERROR(I197+J197+K197,"")</x:f>
        <x:v>0</x:v>
      </x:c>
    </x:row>
    <x:row r="198" ht="22" customHeight="1">
      <x:c r="A198" s="5" t="inlineStr">
        <x:is>
          <x:t xml:space="preserve">P017</x:t>
        </x:is>
      </x:c>
      <x:c r="B198" s="5" t="inlineStr">
        <x:is>
          <x:t xml:space="preserve">2</x:t>
        </x:is>
      </x:c>
      <x:c r="C198" s="5" t="inlineStr">
        <x:is>
          <x:t xml:space="preserve">V03_fitness_setup</x:t>
        </x:is>
      </x:c>
      <x:c r="D198" s="5" t="inlineStr">
        <x:is>
          <x:t xml:space="preserve">heavy_bionic</x:t>
        </x:is>
      </x:c>
      <x:c r="E198" s="5" t="inlineStr">
        <x:is>
          <x:t xml:space="preserve">audio_on</x:t>
        </x:is>
      </x:c>
      <x:c r="F198" s="6" t="inlineStr">
        <x:is>
          <x:t xml:space="preserve"/>
        </x:is>
      </x:c>
      <x:c r="G198" s="6" t="inlineStr">
        <x:is>
          <x:t xml:space="preserve">6</x:t>
        </x:is>
      </x:c>
      <x:c r="H198" s="5" t="inlineStr">
        <x:is>
          <x:t xml:space="preserve"/>
        </x:is>
      </x:c>
      <x:c r="I198" s="5" t="inlineStr">
        <x:is>
          <x:t xml:space="preserve"/>
        </x:is>
      </x:c>
      <x:c r="J198" s="5" t="inlineStr">
        <x:is>
          <x:t xml:space="preserve"/>
        </x:is>
      </x:c>
      <x:c r="K198" s="5" t="inlineStr">
        <x:is>
          <x:t xml:space="preserve"/>
        </x:is>
      </x:c>
      <x:c r="L198" s="5" t="inlineStr">
        <x:is>
          <x:t xml:space="preserve"/>
        </x:is>
      </x:c>
      <x:c r="M198" s="5" t="inlineStr">
        <x:is>
          <x:t xml:space="preserve"/>
        </x:is>
      </x:c>
      <x:c r="N198" s="5" t="inlineStr">
        <x:is>
          <x:t xml:space="preserve"/>
        </x:is>
      </x:c>
      <x:c r="O198" s="5" t="inlineStr">
        <x:is>
          <x:t xml:space="preserve"/>
        </x:is>
      </x:c>
      <x:c r="P198" s="5" t="inlineStr">
        <x:is>
          <x:t xml:space="preserve"/>
        </x:is>
      </x:c>
      <x:c r="Q198" s="5" t="inlineStr">
        <x:is>
          <x:t xml:space="preserve"/>
        </x:is>
      </x:c>
      <x:c r="R198" s="5">
        <x:f>IF(OR(F198="",G198=""),"",IF(F198&gt;=0.95*G198,1,0))</x:f>
      </x:c>
      <x:c r="S198" s="7">
        <x:f>IFERROR((I198+J198+K198)/F198,"")</x:f>
      </x:c>
      <x:c r="T198" s="5">
        <x:f>IFERROR(I198+J198+K198,"")</x:f>
        <x:v>0</x:v>
      </x:c>
    </x:row>
    <x:row r="199" ht="22" customHeight="1">
      <x:c r="A199" s="5" t="inlineStr">
        <x:is>
          <x:t xml:space="preserve">P017</x:t>
        </x:is>
      </x:c>
      <x:c r="B199" s="5" t="inlineStr">
        <x:is>
          <x:t xml:space="preserve">3</x:t>
        </x:is>
      </x:c>
      <x:c r="C199" s="5" t="inlineStr">
        <x:is>
          <x:t xml:space="preserve">V04_money_visibility</x:t>
        </x:is>
      </x:c>
      <x:c r="D199" s="5" t="inlineStr">
        <x:is>
          <x:t xml:space="preserve">full_transcript</x:t>
        </x:is>
      </x:c>
      <x:c r="E199" s="5" t="inlineStr">
        <x:is>
          <x:t xml:space="preserve">muted</x:t>
        </x:is>
      </x:c>
      <x:c r="F199" s="6" t="inlineStr">
        <x:is>
          <x:t xml:space="preserve"/>
        </x:is>
      </x:c>
      <x:c r="G199" s="6" t="inlineStr">
        <x:is>
          <x:t xml:space="preserve">6</x:t>
        </x:is>
      </x:c>
      <x:c r="H199" s="5" t="inlineStr">
        <x:is>
          <x:t xml:space="preserve"/>
        </x:is>
      </x:c>
      <x:c r="I199" s="5" t="inlineStr">
        <x:is>
          <x:t xml:space="preserve"/>
        </x:is>
      </x:c>
      <x:c r="J199" s="5" t="inlineStr">
        <x:is>
          <x:t xml:space="preserve"/>
        </x:is>
      </x:c>
      <x:c r="K199" s="5" t="inlineStr">
        <x:is>
          <x:t xml:space="preserve"/>
        </x:is>
      </x:c>
      <x:c r="L199" s="5" t="inlineStr">
        <x:is>
          <x:t xml:space="preserve"/>
        </x:is>
      </x:c>
      <x:c r="M199" s="5" t="inlineStr">
        <x:is>
          <x:t xml:space="preserve"/>
        </x:is>
      </x:c>
      <x:c r="N199" s="5" t="inlineStr">
        <x:is>
          <x:t xml:space="preserve"/>
        </x:is>
      </x:c>
      <x:c r="O199" s="5" t="inlineStr">
        <x:is>
          <x:t xml:space="preserve"/>
        </x:is>
      </x:c>
      <x:c r="P199" s="5" t="inlineStr">
        <x:is>
          <x:t xml:space="preserve"/>
        </x:is>
      </x:c>
      <x:c r="Q199" s="5" t="inlineStr">
        <x:is>
          <x:t xml:space="preserve"/>
        </x:is>
      </x:c>
      <x:c r="R199" s="5">
        <x:f>IF(OR(F199="",G199=""),"",IF(F199&gt;=0.95*G199,1,0))</x:f>
      </x:c>
      <x:c r="S199" s="7">
        <x:f>IFERROR((I199+J199+K199)/F199,"")</x:f>
      </x:c>
      <x:c r="T199" s="5">
        <x:f>IFERROR(I199+J199+K199,"")</x:f>
        <x:v>0</x:v>
      </x:c>
    </x:row>
    <x:row r="200" ht="22" customHeight="1">
      <x:c r="A200" s="5" t="inlineStr">
        <x:is>
          <x:t xml:space="preserve">P017</x:t>
        </x:is>
      </x:c>
      <x:c r="B200" s="5" t="inlineStr">
        <x:is>
          <x:t xml:space="preserve">4</x:t>
        </x:is>
      </x:c>
      <x:c r="C200" s="5" t="inlineStr">
        <x:is>
          <x:t xml:space="preserve">V02_study_recall</x:t>
        </x:is>
      </x:c>
      <x:c r="D200" s="5" t="inlineStr">
        <x:is>
          <x:t xml:space="preserve">keyword_highlight</x:t>
        </x:is>
      </x:c>
      <x:c r="E200" s="5" t="inlineStr">
        <x:is>
          <x:t xml:space="preserve">audio_on</x:t>
        </x:is>
      </x:c>
      <x:c r="F200" s="6" t="inlineStr">
        <x:is>
          <x:t xml:space="preserve"/>
        </x:is>
      </x:c>
      <x:c r="G200" s="6" t="inlineStr">
        <x:is>
          <x:t xml:space="preserve">6</x:t>
        </x:is>
      </x:c>
      <x:c r="H200" s="5" t="inlineStr">
        <x:is>
          <x:t xml:space="preserve"/>
        </x:is>
      </x:c>
      <x:c r="I200" s="5" t="inlineStr">
        <x:is>
          <x:t xml:space="preserve"/>
        </x:is>
      </x:c>
      <x:c r="J200" s="5" t="inlineStr">
        <x:is>
          <x:t xml:space="preserve"/>
        </x:is>
      </x:c>
      <x:c r="K200" s="5" t="inlineStr">
        <x:is>
          <x:t xml:space="preserve"/>
        </x:is>
      </x:c>
      <x:c r="L200" s="5" t="inlineStr">
        <x:is>
          <x:t xml:space="preserve"/>
        </x:is>
      </x:c>
      <x:c r="M200" s="5" t="inlineStr">
        <x:is>
          <x:t xml:space="preserve"/>
        </x:is>
      </x:c>
      <x:c r="N200" s="5" t="inlineStr">
        <x:is>
          <x:t xml:space="preserve"/>
        </x:is>
      </x:c>
      <x:c r="O200" s="5" t="inlineStr">
        <x:is>
          <x:t xml:space="preserve"/>
        </x:is>
      </x:c>
      <x:c r="P200" s="5" t="inlineStr">
        <x:is>
          <x:t xml:space="preserve"/>
        </x:is>
      </x:c>
      <x:c r="Q200" s="5" t="inlineStr">
        <x:is>
          <x:t xml:space="preserve"/>
        </x:is>
      </x:c>
      <x:c r="R200" s="5">
        <x:f>IF(OR(F200="",G200=""),"",IF(F200&gt;=0.95*G200,1,0))</x:f>
      </x:c>
      <x:c r="S200" s="7">
        <x:f>IFERROR((I200+J200+K200)/F200,"")</x:f>
      </x:c>
      <x:c r="T200" s="5">
        <x:f>IFERROR(I200+J200+K200,"")</x:f>
        <x:v>0</x:v>
      </x:c>
    </x:row>
    <x:row r="201" ht="22" customHeight="1">
      <x:c r="A201" s="5" t="inlineStr">
        <x:is>
          <x:t xml:space="preserve">P017</x:t>
        </x:is>
      </x:c>
      <x:c r="B201" s="5" t="inlineStr">
        <x:is>
          <x:t xml:space="preserve">5</x:t>
        </x:is>
      </x:c>
      <x:c r="C201" s="5" t="inlineStr">
        <x:is>
          <x:t xml:space="preserve">V08_calendar_system</x:t>
        </x:is>
      </x:c>
      <x:c r="D201" s="5" t="inlineStr">
        <x:is>
          <x:t xml:space="preserve">semantic_compression</x:t>
        </x:is>
      </x:c>
      <x:c r="E201" s="5" t="inlineStr">
        <x:is>
          <x:t xml:space="preserve">muted</x:t>
        </x:is>
      </x:c>
      <x:c r="F201" s="6" t="inlineStr">
        <x:is>
          <x:t xml:space="preserve"/>
        </x:is>
      </x:c>
      <x:c r="G201" s="6" t="inlineStr">
        <x:is>
          <x:t xml:space="preserve">6</x:t>
        </x:is>
      </x:c>
      <x:c r="H201" s="5" t="inlineStr">
        <x:is>
          <x:t xml:space="preserve"/>
        </x:is>
      </x:c>
      <x:c r="I201" s="5" t="inlineStr">
        <x:is>
          <x:t xml:space="preserve"/>
        </x:is>
      </x:c>
      <x:c r="J201" s="5" t="inlineStr">
        <x:is>
          <x:t xml:space="preserve"/>
        </x:is>
      </x:c>
      <x:c r="K201" s="5" t="inlineStr">
        <x:is>
          <x:t xml:space="preserve"/>
        </x:is>
      </x:c>
      <x:c r="L201" s="5" t="inlineStr">
        <x:is>
          <x:t xml:space="preserve"/>
        </x:is>
      </x:c>
      <x:c r="M201" s="5" t="inlineStr">
        <x:is>
          <x:t xml:space="preserve"/>
        </x:is>
      </x:c>
      <x:c r="N201" s="5" t="inlineStr">
        <x:is>
          <x:t xml:space="preserve"/>
        </x:is>
      </x:c>
      <x:c r="O201" s="5" t="inlineStr">
        <x:is>
          <x:t xml:space="preserve"/>
        </x:is>
      </x:c>
      <x:c r="P201" s="5" t="inlineStr">
        <x:is>
          <x:t xml:space="preserve"/>
        </x:is>
      </x:c>
      <x:c r="Q201" s="5" t="inlineStr">
        <x:is>
          <x:t xml:space="preserve"/>
        </x:is>
      </x:c>
      <x:c r="R201" s="5">
        <x:f>IF(OR(F201="",G201=""),"",IF(F201&gt;=0.95*G201,1,0))</x:f>
      </x:c>
      <x:c r="S201" s="7">
        <x:f>IFERROR((I201+J201+K201)/F201,"")</x:f>
      </x:c>
      <x:c r="T201" s="5">
        <x:f>IFERROR(I201+J201+K201,"")</x:f>
        <x:v>0</x:v>
      </x:c>
    </x:row>
    <x:row r="202" ht="22" customHeight="1">
      <x:c r="A202" s="5" t="inlineStr">
        <x:is>
          <x:t xml:space="preserve">P017</x:t>
        </x:is>
      </x:c>
      <x:c r="B202" s="5" t="inlineStr">
        <x:is>
          <x:t xml:space="preserve">6</x:t>
        </x:is>
      </x:c>
      <x:c r="C202" s="5" t="inlineStr">
        <x:is>
          <x:t xml:space="preserve">V06_overload_open_loops</x:t>
        </x:is>
      </x:c>
      <x:c r="D202" s="5" t="inlineStr">
        <x:is>
          <x:t xml:space="preserve">bcc</x:t>
        </x:is>
      </x:c>
      <x:c r="E202" s="5" t="inlineStr">
        <x:is>
          <x:t xml:space="preserve">audio_on</x:t>
        </x:is>
      </x:c>
      <x:c r="F202" s="6" t="inlineStr">
        <x:is>
          <x:t xml:space="preserve"/>
        </x:is>
      </x:c>
      <x:c r="G202" s="6" t="inlineStr">
        <x:is>
          <x:t xml:space="preserve">6</x:t>
        </x:is>
      </x:c>
      <x:c r="H202" s="5" t="inlineStr">
        <x:is>
          <x:t xml:space="preserve"/>
        </x:is>
      </x:c>
      <x:c r="I202" s="5" t="inlineStr">
        <x:is>
          <x:t xml:space="preserve"/>
        </x:is>
      </x:c>
      <x:c r="J202" s="5" t="inlineStr">
        <x:is>
          <x:t xml:space="preserve"/>
        </x:is>
      </x:c>
      <x:c r="K202" s="5" t="inlineStr">
        <x:is>
          <x:t xml:space="preserve"/>
        </x:is>
      </x:c>
      <x:c r="L202" s="5" t="inlineStr">
        <x:is>
          <x:t xml:space="preserve"/>
        </x:is>
      </x:c>
      <x:c r="M202" s="5" t="inlineStr">
        <x:is>
          <x:t xml:space="preserve"/>
        </x:is>
      </x:c>
      <x:c r="N202" s="5" t="inlineStr">
        <x:is>
          <x:t xml:space="preserve"/>
        </x:is>
      </x:c>
      <x:c r="O202" s="5" t="inlineStr">
        <x:is>
          <x:t xml:space="preserve"/>
        </x:is>
      </x:c>
      <x:c r="P202" s="5" t="inlineStr">
        <x:is>
          <x:t xml:space="preserve"/>
        </x:is>
      </x:c>
      <x:c r="Q202" s="5" t="inlineStr">
        <x:is>
          <x:t xml:space="preserve"/>
        </x:is>
      </x:c>
      <x:c r="R202" s="5">
        <x:f>IF(OR(F202="",G202=""),"",IF(F202&gt;=0.95*G202,1,0))</x:f>
      </x:c>
      <x:c r="S202" s="7">
        <x:f>IFERROR((I202+J202+K202)/F202,"")</x:f>
      </x:c>
      <x:c r="T202" s="5">
        <x:f>IFERROR(I202+J202+K202,"")</x:f>
        <x:v>0</x:v>
      </x:c>
    </x:row>
    <x:row r="203" ht="22" customHeight="1">
      <x:c r="A203" s="5" t="inlineStr">
        <x:is>
          <x:t xml:space="preserve">P017</x:t>
        </x:is>
      </x:c>
      <x:c r="B203" s="5" t="inlineStr">
        <x:is>
          <x:t xml:space="preserve">7</x:t>
        </x:is>
      </x:c>
      <x:c r="C203" s="5" t="inlineStr">
        <x:is>
          <x:t xml:space="preserve">V07_business_clarity</x:t>
        </x:is>
      </x:c>
      <x:c r="D203" s="5" t="inlineStr">
        <x:is>
          <x:t xml:space="preserve">bcc_plus</x:t>
        </x:is>
      </x:c>
      <x:c r="E203" s="5" t="inlineStr">
        <x:is>
          <x:t xml:space="preserve">muted</x:t>
        </x:is>
      </x:c>
      <x:c r="F203" s="6" t="inlineStr">
        <x:is>
          <x:t xml:space="preserve"/>
        </x:is>
      </x:c>
      <x:c r="G203" s="6" t="inlineStr">
        <x:is>
          <x:t xml:space="preserve">6</x:t>
        </x:is>
      </x:c>
      <x:c r="H203" s="5" t="inlineStr">
        <x:is>
          <x:t xml:space="preserve"/>
        </x:is>
      </x:c>
      <x:c r="I203" s="5" t="inlineStr">
        <x:is>
          <x:t xml:space="preserve"/>
        </x:is>
      </x:c>
      <x:c r="J203" s="5" t="inlineStr">
        <x:is>
          <x:t xml:space="preserve"/>
        </x:is>
      </x:c>
      <x:c r="K203" s="5" t="inlineStr">
        <x:is>
          <x:t xml:space="preserve"/>
        </x:is>
      </x:c>
      <x:c r="L203" s="5" t="inlineStr">
        <x:is>
          <x:t xml:space="preserve"/>
        </x:is>
      </x:c>
      <x:c r="M203" s="5" t="inlineStr">
        <x:is>
          <x:t xml:space="preserve"/>
        </x:is>
      </x:c>
      <x:c r="N203" s="5" t="inlineStr">
        <x:is>
          <x:t xml:space="preserve"/>
        </x:is>
      </x:c>
      <x:c r="O203" s="5" t="inlineStr">
        <x:is>
          <x:t xml:space="preserve"/>
        </x:is>
      </x:c>
      <x:c r="P203" s="5" t="inlineStr">
        <x:is>
          <x:t xml:space="preserve"/>
        </x:is>
      </x:c>
      <x:c r="Q203" s="5" t="inlineStr">
        <x:is>
          <x:t xml:space="preserve"/>
        </x:is>
      </x:c>
      <x:c r="R203" s="5">
        <x:f>IF(OR(F203="",G203=""),"",IF(F203&gt;=0.95*G203,1,0))</x:f>
      </x:c>
      <x:c r="S203" s="7">
        <x:f>IFERROR((I203+J203+K203)/F203,"")</x:f>
      </x:c>
      <x:c r="T203" s="5">
        <x:f>IFERROR(I203+J203+K203,"")</x:f>
        <x:v>0</x:v>
      </x:c>
    </x:row>
    <x:row r="204" ht="22" customHeight="1">
      <x:c r="A204" s="5" t="inlineStr">
        <x:is>
          <x:t xml:space="preserve">P017</x:t>
        </x:is>
      </x:c>
      <x:c r="B204" s="5" t="inlineStr">
        <x:is>
          <x:t xml:space="preserve">8</x:t>
        </x:is>
      </x:c>
      <x:c r="C204" s="5" t="inlineStr">
        <x:is>
          <x:t xml:space="preserve">V01_productivity_friction</x:t>
        </x:is>
      </x:c>
      <x:c r="D204" s="5" t="inlineStr">
        <x:is>
          <x:t xml:space="preserve">heavy_bionic</x:t>
        </x:is>
      </x:c>
      <x:c r="E204" s="5" t="inlineStr">
        <x:is>
          <x:t xml:space="preserve">audio_on</x:t>
        </x:is>
      </x:c>
      <x:c r="F204" s="6" t="inlineStr">
        <x:is>
          <x:t xml:space="preserve"/>
        </x:is>
      </x:c>
      <x:c r="G204" s="6" t="inlineStr">
        <x:is>
          <x:t xml:space="preserve">6</x:t>
        </x:is>
      </x:c>
      <x:c r="H204" s="5" t="inlineStr">
        <x:is>
          <x:t xml:space="preserve"/>
        </x:is>
      </x:c>
      <x:c r="I204" s="5" t="inlineStr">
        <x:is>
          <x:t xml:space="preserve"/>
        </x:is>
      </x:c>
      <x:c r="J204" s="5" t="inlineStr">
        <x:is>
          <x:t xml:space="preserve"/>
        </x:is>
      </x:c>
      <x:c r="K204" s="5" t="inlineStr">
        <x:is>
          <x:t xml:space="preserve"/>
        </x:is>
      </x:c>
      <x:c r="L204" s="5" t="inlineStr">
        <x:is>
          <x:t xml:space="preserve"/>
        </x:is>
      </x:c>
      <x:c r="M204" s="5" t="inlineStr">
        <x:is>
          <x:t xml:space="preserve"/>
        </x:is>
      </x:c>
      <x:c r="N204" s="5" t="inlineStr">
        <x:is>
          <x:t xml:space="preserve"/>
        </x:is>
      </x:c>
      <x:c r="O204" s="5" t="inlineStr">
        <x:is>
          <x:t xml:space="preserve"/>
        </x:is>
      </x:c>
      <x:c r="P204" s="5" t="inlineStr">
        <x:is>
          <x:t xml:space="preserve"/>
        </x:is>
      </x:c>
      <x:c r="Q204" s="5" t="inlineStr">
        <x:is>
          <x:t xml:space="preserve"/>
        </x:is>
      </x:c>
      <x:c r="R204" s="5">
        <x:f>IF(OR(F204="",G204=""),"",IF(F204&gt;=0.95*G204,1,0))</x:f>
      </x:c>
      <x:c r="S204" s="7">
        <x:f>IFERROR((I204+J204+K204)/F204,"")</x:f>
      </x:c>
      <x:c r="T204" s="5">
        <x:f>IFERROR(I204+J204+K204,"")</x:f>
        <x:v>0</x:v>
      </x:c>
    </x:row>
    <x:row r="205" ht="22" customHeight="1">
      <x:c r="A205" s="5" t="inlineStr">
        <x:is>
          <x:t xml:space="preserve">P017</x:t>
        </x:is>
      </x:c>
      <x:c r="B205" s="5" t="inlineStr">
        <x:is>
          <x:t xml:space="preserve">9</x:t>
        </x:is>
      </x:c>
      <x:c r="C205" s="5" t="inlineStr">
        <x:is>
          <x:t xml:space="preserve">V05_coding_assumptions</x:t>
        </x:is>
      </x:c>
      <x:c r="D205" s="5" t="inlineStr">
        <x:is>
          <x:t xml:space="preserve">full_transcript</x:t>
        </x:is>
      </x:c>
      <x:c r="E205" s="5" t="inlineStr">
        <x:is>
          <x:t xml:space="preserve">muted</x:t>
        </x:is>
      </x:c>
      <x:c r="F205" s="6" t="inlineStr">
        <x:is>
          <x:t xml:space="preserve"/>
        </x:is>
      </x:c>
      <x:c r="G205" s="6" t="inlineStr">
        <x:is>
          <x:t xml:space="preserve">6</x:t>
        </x:is>
      </x:c>
      <x:c r="H205" s="5" t="inlineStr">
        <x:is>
          <x:t xml:space="preserve"/>
        </x:is>
      </x:c>
      <x:c r="I205" s="5" t="inlineStr">
        <x:is>
          <x:t xml:space="preserve"/>
        </x:is>
      </x:c>
      <x:c r="J205" s="5" t="inlineStr">
        <x:is>
          <x:t xml:space="preserve"/>
        </x:is>
      </x:c>
      <x:c r="K205" s="5" t="inlineStr">
        <x:is>
          <x:t xml:space="preserve"/>
        </x:is>
      </x:c>
      <x:c r="L205" s="5" t="inlineStr">
        <x:is>
          <x:t xml:space="preserve"/>
        </x:is>
      </x:c>
      <x:c r="M205" s="5" t="inlineStr">
        <x:is>
          <x:t xml:space="preserve"/>
        </x:is>
      </x:c>
      <x:c r="N205" s="5" t="inlineStr">
        <x:is>
          <x:t xml:space="preserve"/>
        </x:is>
      </x:c>
      <x:c r="O205" s="5" t="inlineStr">
        <x:is>
          <x:t xml:space="preserve"/>
        </x:is>
      </x:c>
      <x:c r="P205" s="5" t="inlineStr">
        <x:is>
          <x:t xml:space="preserve"/>
        </x:is>
      </x:c>
      <x:c r="Q205" s="5" t="inlineStr">
        <x:is>
          <x:t xml:space="preserve"/>
        </x:is>
      </x:c>
      <x:c r="R205" s="5">
        <x:f>IF(OR(F205="",G205=""),"",IF(F205&gt;=0.95*G205,1,0))</x:f>
      </x:c>
      <x:c r="S205" s="7">
        <x:f>IFERROR((I205+J205+K205)/F205,"")</x:f>
      </x:c>
      <x:c r="T205" s="5">
        <x:f>IFERROR(I205+J205+K205,"")</x:f>
        <x:v>0</x:v>
      </x:c>
    </x:row>
    <x:row r="206" ht="22" customHeight="1">
      <x:c r="A206" s="5" t="inlineStr">
        <x:is>
          <x:t xml:space="preserve">P017</x:t>
        </x:is>
      </x:c>
      <x:c r="B206" s="5" t="inlineStr">
        <x:is>
          <x:t xml:space="preserve">10</x:t>
        </x:is>
      </x:c>
      <x:c r="C206" s="5" t="inlineStr">
        <x:is>
          <x:t xml:space="preserve">V09_nutrition_satiety</x:t>
        </x:is>
      </x:c>
      <x:c r="D206" s="5" t="inlineStr">
        <x:is>
          <x:t xml:space="preserve">keyword_highlight</x:t>
        </x:is>
      </x:c>
      <x:c r="E206" s="5" t="inlineStr">
        <x:is>
          <x:t xml:space="preserve">audio_on</x:t>
        </x:is>
      </x:c>
      <x:c r="F206" s="6" t="inlineStr">
        <x:is>
          <x:t xml:space="preserve"/>
        </x:is>
      </x:c>
      <x:c r="G206" s="6" t="inlineStr">
        <x:is>
          <x:t xml:space="preserve">6</x:t>
        </x:is>
      </x:c>
      <x:c r="H206" s="5" t="inlineStr">
        <x:is>
          <x:t xml:space="preserve"/>
        </x:is>
      </x:c>
      <x:c r="I206" s="5" t="inlineStr">
        <x:is>
          <x:t xml:space="preserve"/>
        </x:is>
      </x:c>
      <x:c r="J206" s="5" t="inlineStr">
        <x:is>
          <x:t xml:space="preserve"/>
        </x:is>
      </x:c>
      <x:c r="K206" s="5" t="inlineStr">
        <x:is>
          <x:t xml:space="preserve"/>
        </x:is>
      </x:c>
      <x:c r="L206" s="5" t="inlineStr">
        <x:is>
          <x:t xml:space="preserve"/>
        </x:is>
      </x:c>
      <x:c r="M206" s="5" t="inlineStr">
        <x:is>
          <x:t xml:space="preserve"/>
        </x:is>
      </x:c>
      <x:c r="N206" s="5" t="inlineStr">
        <x:is>
          <x:t xml:space="preserve"/>
        </x:is>
      </x:c>
      <x:c r="O206" s="5" t="inlineStr">
        <x:is>
          <x:t xml:space="preserve"/>
        </x:is>
      </x:c>
      <x:c r="P206" s="5" t="inlineStr">
        <x:is>
          <x:t xml:space="preserve"/>
        </x:is>
      </x:c>
      <x:c r="Q206" s="5" t="inlineStr">
        <x:is>
          <x:t xml:space="preserve"/>
        </x:is>
      </x:c>
      <x:c r="R206" s="5">
        <x:f>IF(OR(F206="",G206=""),"",IF(F206&gt;=0.95*G206,1,0))</x:f>
      </x:c>
      <x:c r="S206" s="7">
        <x:f>IFERROR((I206+J206+K206)/F206,"")</x:f>
      </x:c>
      <x:c r="T206" s="5">
        <x:f>IFERROR(I206+J206+K206,"")</x:f>
        <x:v>0</x:v>
      </x:c>
    </x:row>
    <x:row r="207" ht="22" customHeight="1">
      <x:c r="A207" s="5" t="inlineStr">
        <x:is>
          <x:t xml:space="preserve">P017</x:t>
        </x:is>
      </x:c>
      <x:c r="B207" s="5" t="inlineStr">
        <x:is>
          <x:t xml:space="preserve">11</x:t>
        </x:is>
      </x:c>
      <x:c r="C207" s="5" t="inlineStr">
        <x:is>
          <x:t xml:space="preserve">V10_tutorial_ui</x:t>
        </x:is>
      </x:c>
      <x:c r="D207" s="5" t="inlineStr">
        <x:is>
          <x:t xml:space="preserve">semantic_compression</x:t>
        </x:is>
      </x:c>
      <x:c r="E207" s="5" t="inlineStr">
        <x:is>
          <x:t xml:space="preserve">muted</x:t>
        </x:is>
      </x:c>
      <x:c r="F207" s="6" t="inlineStr">
        <x:is>
          <x:t xml:space="preserve"/>
        </x:is>
      </x:c>
      <x:c r="G207" s="6" t="inlineStr">
        <x:is>
          <x:t xml:space="preserve">6</x:t>
        </x:is>
      </x:c>
      <x:c r="H207" s="5" t="inlineStr">
        <x:is>
          <x:t xml:space="preserve"/>
        </x:is>
      </x:c>
      <x:c r="I207" s="5" t="inlineStr">
        <x:is>
          <x:t xml:space="preserve"/>
        </x:is>
      </x:c>
      <x:c r="J207" s="5" t="inlineStr">
        <x:is>
          <x:t xml:space="preserve"/>
        </x:is>
      </x:c>
      <x:c r="K207" s="5" t="inlineStr">
        <x:is>
          <x:t xml:space="preserve"/>
        </x:is>
      </x:c>
      <x:c r="L207" s="5" t="inlineStr">
        <x:is>
          <x:t xml:space="preserve"/>
        </x:is>
      </x:c>
      <x:c r="M207" s="5" t="inlineStr">
        <x:is>
          <x:t xml:space="preserve"/>
        </x:is>
      </x:c>
      <x:c r="N207" s="5" t="inlineStr">
        <x:is>
          <x:t xml:space="preserve"/>
        </x:is>
      </x:c>
      <x:c r="O207" s="5" t="inlineStr">
        <x:is>
          <x:t xml:space="preserve"/>
        </x:is>
      </x:c>
      <x:c r="P207" s="5" t="inlineStr">
        <x:is>
          <x:t xml:space="preserve"/>
        </x:is>
      </x:c>
      <x:c r="Q207" s="5" t="inlineStr">
        <x:is>
          <x:t xml:space="preserve"/>
        </x:is>
      </x:c>
      <x:c r="R207" s="5">
        <x:f>IF(OR(F207="",G207=""),"",IF(F207&gt;=0.95*G207,1,0))</x:f>
      </x:c>
      <x:c r="S207" s="7">
        <x:f>IFERROR((I207+J207+K207)/F207,"")</x:f>
      </x:c>
      <x:c r="T207" s="5">
        <x:f>IFERROR(I207+J207+K207,"")</x:f>
        <x:v>0</x:v>
      </x:c>
    </x:row>
    <x:row r="208" ht="22" customHeight="1">
      <x:c r="A208" s="5" t="inlineStr">
        <x:is>
          <x:t xml:space="preserve">P017</x:t>
        </x:is>
      </x:c>
      <x:c r="B208" s="5" t="inlineStr">
        <x:is>
          <x:t xml:space="preserve">12</x:t>
        </x:is>
      </x:c>
      <x:c r="C208" s="5" t="inlineStr">
        <x:is>
          <x:t xml:space="preserve">V12_creativity_constraints</x:t>
        </x:is>
      </x:c>
      <x:c r="D208" s="5" t="inlineStr">
        <x:is>
          <x:t xml:space="preserve">bcc</x:t>
        </x:is>
      </x:c>
      <x:c r="E208" s="5" t="inlineStr">
        <x:is>
          <x:t xml:space="preserve">audio_on</x:t>
        </x:is>
      </x:c>
      <x:c r="F208" s="6" t="inlineStr">
        <x:is>
          <x:t xml:space="preserve"/>
        </x:is>
      </x:c>
      <x:c r="G208" s="6" t="inlineStr">
        <x:is>
          <x:t xml:space="preserve">6</x:t>
        </x:is>
      </x:c>
      <x:c r="H208" s="5" t="inlineStr">
        <x:is>
          <x:t xml:space="preserve"/>
        </x:is>
      </x:c>
      <x:c r="I208" s="5" t="inlineStr">
        <x:is>
          <x:t xml:space="preserve"/>
        </x:is>
      </x:c>
      <x:c r="J208" s="5" t="inlineStr">
        <x:is>
          <x:t xml:space="preserve"/>
        </x:is>
      </x:c>
      <x:c r="K208" s="5" t="inlineStr">
        <x:is>
          <x:t xml:space="preserve"/>
        </x:is>
      </x:c>
      <x:c r="L208" s="5" t="inlineStr">
        <x:is>
          <x:t xml:space="preserve"/>
        </x:is>
      </x:c>
      <x:c r="M208" s="5" t="inlineStr">
        <x:is>
          <x:t xml:space="preserve"/>
        </x:is>
      </x:c>
      <x:c r="N208" s="5" t="inlineStr">
        <x:is>
          <x:t xml:space="preserve"/>
        </x:is>
      </x:c>
      <x:c r="O208" s="5" t="inlineStr">
        <x:is>
          <x:t xml:space="preserve"/>
        </x:is>
      </x:c>
      <x:c r="P208" s="5" t="inlineStr">
        <x:is>
          <x:t xml:space="preserve"/>
        </x:is>
      </x:c>
      <x:c r="Q208" s="5" t="inlineStr">
        <x:is>
          <x:t xml:space="preserve"/>
        </x:is>
      </x:c>
      <x:c r="R208" s="5">
        <x:f>IF(OR(F208="",G208=""),"",IF(F208&gt;=0.95*G208,1,0))</x:f>
      </x:c>
      <x:c r="S208" s="7">
        <x:f>IFERROR((I208+J208+K208)/F208,"")</x:f>
      </x:c>
      <x:c r="T208" s="5">
        <x:f>IFERROR(I208+J208+K208,"")</x:f>
        <x:v>0</x:v>
      </x:c>
    </x:row>
    <x:row r="209" ht="22" customHeight="1">
      <x:c r="A209" s="5" t="inlineStr">
        <x:is>
          <x:t xml:space="preserve">P018</x:t>
        </x:is>
      </x:c>
      <x:c r="B209" s="5" t="inlineStr">
        <x:is>
          <x:t xml:space="preserve">1</x:t>
        </x:is>
      </x:c>
      <x:c r="C209" s="5" t="inlineStr">
        <x:is>
          <x:t xml:space="preserve">V06_overload_open_loops</x:t>
        </x:is>
      </x:c>
      <x:c r="D209" s="5" t="inlineStr">
        <x:is>
          <x:t xml:space="preserve">heavy_bionic</x:t>
        </x:is>
      </x:c>
      <x:c r="E209" s="5" t="inlineStr">
        <x:is>
          <x:t xml:space="preserve">audio_on</x:t>
        </x:is>
      </x:c>
      <x:c r="F209" s="6" t="inlineStr">
        <x:is>
          <x:t xml:space="preserve"/>
        </x:is>
      </x:c>
      <x:c r="G209" s="6" t="inlineStr">
        <x:is>
          <x:t xml:space="preserve">6</x:t>
        </x:is>
      </x:c>
      <x:c r="H209" s="5" t="inlineStr">
        <x:is>
          <x:t xml:space="preserve"/>
        </x:is>
      </x:c>
      <x:c r="I209" s="5" t="inlineStr">
        <x:is>
          <x:t xml:space="preserve"/>
        </x:is>
      </x:c>
      <x:c r="J209" s="5" t="inlineStr">
        <x:is>
          <x:t xml:space="preserve"/>
        </x:is>
      </x:c>
      <x:c r="K209" s="5" t="inlineStr">
        <x:is>
          <x:t xml:space="preserve"/>
        </x:is>
      </x:c>
      <x:c r="L209" s="5" t="inlineStr">
        <x:is>
          <x:t xml:space="preserve"/>
        </x:is>
      </x:c>
      <x:c r="M209" s="5" t="inlineStr">
        <x:is>
          <x:t xml:space="preserve"/>
        </x:is>
      </x:c>
      <x:c r="N209" s="5" t="inlineStr">
        <x:is>
          <x:t xml:space="preserve"/>
        </x:is>
      </x:c>
      <x:c r="O209" s="5" t="inlineStr">
        <x:is>
          <x:t xml:space="preserve"/>
        </x:is>
      </x:c>
      <x:c r="P209" s="5" t="inlineStr">
        <x:is>
          <x:t xml:space="preserve"/>
        </x:is>
      </x:c>
      <x:c r="Q209" s="5" t="inlineStr">
        <x:is>
          <x:t xml:space="preserve"/>
        </x:is>
      </x:c>
      <x:c r="R209" s="5">
        <x:f>IF(OR(F209="",G209=""),"",IF(F209&gt;=0.95*G209,1,0))</x:f>
      </x:c>
      <x:c r="S209" s="7">
        <x:f>IFERROR((I209+J209+K209)/F209,"")</x:f>
      </x:c>
      <x:c r="T209" s="5">
        <x:f>IFERROR(I209+J209+K209,"")</x:f>
        <x:v>0</x:v>
      </x:c>
    </x:row>
    <x:row r="210" ht="22" customHeight="1">
      <x:c r="A210" s="5" t="inlineStr">
        <x:is>
          <x:t xml:space="preserve">P018</x:t>
        </x:is>
      </x:c>
      <x:c r="B210" s="5" t="inlineStr">
        <x:is>
          <x:t xml:space="preserve">2</x:t>
        </x:is>
      </x:c>
      <x:c r="C210" s="5" t="inlineStr">
        <x:is>
          <x:t xml:space="preserve">V01_productivity_friction</x:t>
        </x:is>
      </x:c>
      <x:c r="D210" s="5" t="inlineStr">
        <x:is>
          <x:t xml:space="preserve">full_transcript</x:t>
        </x:is>
      </x:c>
      <x:c r="E210" s="5" t="inlineStr">
        <x:is>
          <x:t xml:space="preserve">muted</x:t>
        </x:is>
      </x:c>
      <x:c r="F210" s="6" t="inlineStr">
        <x:is>
          <x:t xml:space="preserve"/>
        </x:is>
      </x:c>
      <x:c r="G210" s="6" t="inlineStr">
        <x:is>
          <x:t xml:space="preserve">6</x:t>
        </x:is>
      </x:c>
      <x:c r="H210" s="5" t="inlineStr">
        <x:is>
          <x:t xml:space="preserve"/>
        </x:is>
      </x:c>
      <x:c r="I210" s="5" t="inlineStr">
        <x:is>
          <x:t xml:space="preserve"/>
        </x:is>
      </x:c>
      <x:c r="J210" s="5" t="inlineStr">
        <x:is>
          <x:t xml:space="preserve"/>
        </x:is>
      </x:c>
      <x:c r="K210" s="5" t="inlineStr">
        <x:is>
          <x:t xml:space="preserve"/>
        </x:is>
      </x:c>
      <x:c r="L210" s="5" t="inlineStr">
        <x:is>
          <x:t xml:space="preserve"/>
        </x:is>
      </x:c>
      <x:c r="M210" s="5" t="inlineStr">
        <x:is>
          <x:t xml:space="preserve"/>
        </x:is>
      </x:c>
      <x:c r="N210" s="5" t="inlineStr">
        <x:is>
          <x:t xml:space="preserve"/>
        </x:is>
      </x:c>
      <x:c r="O210" s="5" t="inlineStr">
        <x:is>
          <x:t xml:space="preserve"/>
        </x:is>
      </x:c>
      <x:c r="P210" s="5" t="inlineStr">
        <x:is>
          <x:t xml:space="preserve"/>
        </x:is>
      </x:c>
      <x:c r="Q210" s="5" t="inlineStr">
        <x:is>
          <x:t xml:space="preserve"/>
        </x:is>
      </x:c>
      <x:c r="R210" s="5">
        <x:f>IF(OR(F210="",G210=""),"",IF(F210&gt;=0.95*G210,1,0))</x:f>
      </x:c>
      <x:c r="S210" s="7">
        <x:f>IFERROR((I210+J210+K210)/F210,"")</x:f>
      </x:c>
      <x:c r="T210" s="5">
        <x:f>IFERROR(I210+J210+K210,"")</x:f>
        <x:v>0</x:v>
      </x:c>
    </x:row>
    <x:row r="211" ht="22" customHeight="1">
      <x:c r="A211" s="5" t="inlineStr">
        <x:is>
          <x:t xml:space="preserve">P018</x:t>
        </x:is>
      </x:c>
      <x:c r="B211" s="5" t="inlineStr">
        <x:is>
          <x:t xml:space="preserve">3</x:t>
        </x:is>
      </x:c>
      <x:c r="C211" s="5" t="inlineStr">
        <x:is>
          <x:t xml:space="preserve">V10_tutorial_ui</x:t>
        </x:is>
      </x:c>
      <x:c r="D211" s="5" t="inlineStr">
        <x:is>
          <x:t xml:space="preserve">keyword_highlight</x:t>
        </x:is>
      </x:c>
      <x:c r="E211" s="5" t="inlineStr">
        <x:is>
          <x:t xml:space="preserve">audio_on</x:t>
        </x:is>
      </x:c>
      <x:c r="F211" s="6" t="inlineStr">
        <x:is>
          <x:t xml:space="preserve"/>
        </x:is>
      </x:c>
      <x:c r="G211" s="6" t="inlineStr">
        <x:is>
          <x:t xml:space="preserve">6</x:t>
        </x:is>
      </x:c>
      <x:c r="H211" s="5" t="inlineStr">
        <x:is>
          <x:t xml:space="preserve"/>
        </x:is>
      </x:c>
      <x:c r="I211" s="5" t="inlineStr">
        <x:is>
          <x:t xml:space="preserve"/>
        </x:is>
      </x:c>
      <x:c r="J211" s="5" t="inlineStr">
        <x:is>
          <x:t xml:space="preserve"/>
        </x:is>
      </x:c>
      <x:c r="K211" s="5" t="inlineStr">
        <x:is>
          <x:t xml:space="preserve"/>
        </x:is>
      </x:c>
      <x:c r="L211" s="5" t="inlineStr">
        <x:is>
          <x:t xml:space="preserve"/>
        </x:is>
      </x:c>
      <x:c r="M211" s="5" t="inlineStr">
        <x:is>
          <x:t xml:space="preserve"/>
        </x:is>
      </x:c>
      <x:c r="N211" s="5" t="inlineStr">
        <x:is>
          <x:t xml:space="preserve"/>
        </x:is>
      </x:c>
      <x:c r="O211" s="5" t="inlineStr">
        <x:is>
          <x:t xml:space="preserve"/>
        </x:is>
      </x:c>
      <x:c r="P211" s="5" t="inlineStr">
        <x:is>
          <x:t xml:space="preserve"/>
        </x:is>
      </x:c>
      <x:c r="Q211" s="5" t="inlineStr">
        <x:is>
          <x:t xml:space="preserve"/>
        </x:is>
      </x:c>
      <x:c r="R211" s="5">
        <x:f>IF(OR(F211="",G211=""),"",IF(F211&gt;=0.95*G211,1,0))</x:f>
      </x:c>
      <x:c r="S211" s="7">
        <x:f>IFERROR((I211+J211+K211)/F211,"")</x:f>
      </x:c>
      <x:c r="T211" s="5">
        <x:f>IFERROR(I211+J211+K211,"")</x:f>
        <x:v>0</x:v>
      </x:c>
    </x:row>
    <x:row r="212" ht="22" customHeight="1">
      <x:c r="A212" s="5" t="inlineStr">
        <x:is>
          <x:t xml:space="preserve">P018</x:t>
        </x:is>
      </x:c>
      <x:c r="B212" s="5" t="inlineStr">
        <x:is>
          <x:t xml:space="preserve">4</x:t>
        </x:is>
      </x:c>
      <x:c r="C212" s="5" t="inlineStr">
        <x:is>
          <x:t xml:space="preserve">V09_nutrition_satiety</x:t>
        </x:is>
      </x:c>
      <x:c r="D212" s="5" t="inlineStr">
        <x:is>
          <x:t xml:space="preserve">semantic_compression</x:t>
        </x:is>
      </x:c>
      <x:c r="E212" s="5" t="inlineStr">
        <x:is>
          <x:t xml:space="preserve">muted</x:t>
        </x:is>
      </x:c>
      <x:c r="F212" s="6" t="inlineStr">
        <x:is>
          <x:t xml:space="preserve"/>
        </x:is>
      </x:c>
      <x:c r="G212" s="6" t="inlineStr">
        <x:is>
          <x:t xml:space="preserve">6</x:t>
        </x:is>
      </x:c>
      <x:c r="H212" s="5" t="inlineStr">
        <x:is>
          <x:t xml:space="preserve"/>
        </x:is>
      </x:c>
      <x:c r="I212" s="5" t="inlineStr">
        <x:is>
          <x:t xml:space="preserve"/>
        </x:is>
      </x:c>
      <x:c r="J212" s="5" t="inlineStr">
        <x:is>
          <x:t xml:space="preserve"/>
        </x:is>
      </x:c>
      <x:c r="K212" s="5" t="inlineStr">
        <x:is>
          <x:t xml:space="preserve"/>
        </x:is>
      </x:c>
      <x:c r="L212" s="5" t="inlineStr">
        <x:is>
          <x:t xml:space="preserve"/>
        </x:is>
      </x:c>
      <x:c r="M212" s="5" t="inlineStr">
        <x:is>
          <x:t xml:space="preserve"/>
        </x:is>
      </x:c>
      <x:c r="N212" s="5" t="inlineStr">
        <x:is>
          <x:t xml:space="preserve"/>
        </x:is>
      </x:c>
      <x:c r="O212" s="5" t="inlineStr">
        <x:is>
          <x:t xml:space="preserve"/>
        </x:is>
      </x:c>
      <x:c r="P212" s="5" t="inlineStr">
        <x:is>
          <x:t xml:space="preserve"/>
        </x:is>
      </x:c>
      <x:c r="Q212" s="5" t="inlineStr">
        <x:is>
          <x:t xml:space="preserve"/>
        </x:is>
      </x:c>
      <x:c r="R212" s="5">
        <x:f>IF(OR(F212="",G212=""),"",IF(F212&gt;=0.95*G212,1,0))</x:f>
      </x:c>
      <x:c r="S212" s="7">
        <x:f>IFERROR((I212+J212+K212)/F212,"")</x:f>
      </x:c>
      <x:c r="T212" s="5">
        <x:f>IFERROR(I212+J212+K212,"")</x:f>
        <x:v>0</x:v>
      </x:c>
    </x:row>
    <x:row r="213" ht="22" customHeight="1">
      <x:c r="A213" s="5" t="inlineStr">
        <x:is>
          <x:t xml:space="preserve">P018</x:t>
        </x:is>
      </x:c>
      <x:c r="B213" s="5" t="inlineStr">
        <x:is>
          <x:t xml:space="preserve">5</x:t>
        </x:is>
      </x:c>
      <x:c r="C213" s="5" t="inlineStr">
        <x:is>
          <x:t xml:space="preserve">V05_coding_assumptions</x:t>
        </x:is>
      </x:c>
      <x:c r="D213" s="5" t="inlineStr">
        <x:is>
          <x:t xml:space="preserve">bcc</x:t>
        </x:is>
      </x:c>
      <x:c r="E213" s="5" t="inlineStr">
        <x:is>
          <x:t xml:space="preserve">audio_on</x:t>
        </x:is>
      </x:c>
      <x:c r="F213" s="6" t="inlineStr">
        <x:is>
          <x:t xml:space="preserve"/>
        </x:is>
      </x:c>
      <x:c r="G213" s="6" t="inlineStr">
        <x:is>
          <x:t xml:space="preserve">6</x:t>
        </x:is>
      </x:c>
      <x:c r="H213" s="5" t="inlineStr">
        <x:is>
          <x:t xml:space="preserve"/>
        </x:is>
      </x:c>
      <x:c r="I213" s="5" t="inlineStr">
        <x:is>
          <x:t xml:space="preserve"/>
        </x:is>
      </x:c>
      <x:c r="J213" s="5" t="inlineStr">
        <x:is>
          <x:t xml:space="preserve"/>
        </x:is>
      </x:c>
      <x:c r="K213" s="5" t="inlineStr">
        <x:is>
          <x:t xml:space="preserve"/>
        </x:is>
      </x:c>
      <x:c r="L213" s="5" t="inlineStr">
        <x:is>
          <x:t xml:space="preserve"/>
        </x:is>
      </x:c>
      <x:c r="M213" s="5" t="inlineStr">
        <x:is>
          <x:t xml:space="preserve"/>
        </x:is>
      </x:c>
      <x:c r="N213" s="5" t="inlineStr">
        <x:is>
          <x:t xml:space="preserve"/>
        </x:is>
      </x:c>
      <x:c r="O213" s="5" t="inlineStr">
        <x:is>
          <x:t xml:space="preserve"/>
        </x:is>
      </x:c>
      <x:c r="P213" s="5" t="inlineStr">
        <x:is>
          <x:t xml:space="preserve"/>
        </x:is>
      </x:c>
      <x:c r="Q213" s="5" t="inlineStr">
        <x:is>
          <x:t xml:space="preserve"/>
        </x:is>
      </x:c>
      <x:c r="R213" s="5">
        <x:f>IF(OR(F213="",G213=""),"",IF(F213&gt;=0.95*G213,1,0))</x:f>
      </x:c>
      <x:c r="S213" s="7">
        <x:f>IFERROR((I213+J213+K213)/F213,"")</x:f>
      </x:c>
      <x:c r="T213" s="5">
        <x:f>IFERROR(I213+J213+K213,"")</x:f>
        <x:v>0</x:v>
      </x:c>
    </x:row>
    <x:row r="214" ht="22" customHeight="1">
      <x:c r="A214" s="5" t="inlineStr">
        <x:is>
          <x:t xml:space="preserve">P018</x:t>
        </x:is>
      </x:c>
      <x:c r="B214" s="5" t="inlineStr">
        <x:is>
          <x:t xml:space="preserve">6</x:t>
        </x:is>
      </x:c>
      <x:c r="C214" s="5" t="inlineStr">
        <x:is>
          <x:t xml:space="preserve">V02_study_recall</x:t>
        </x:is>
      </x:c>
      <x:c r="D214" s="5" t="inlineStr">
        <x:is>
          <x:t xml:space="preserve">bcc_plus</x:t>
        </x:is>
      </x:c>
      <x:c r="E214" s="5" t="inlineStr">
        <x:is>
          <x:t xml:space="preserve">muted</x:t>
        </x:is>
      </x:c>
      <x:c r="F214" s="6" t="inlineStr">
        <x:is>
          <x:t xml:space="preserve"/>
        </x:is>
      </x:c>
      <x:c r="G214" s="6" t="inlineStr">
        <x:is>
          <x:t xml:space="preserve">6</x:t>
        </x:is>
      </x:c>
      <x:c r="H214" s="5" t="inlineStr">
        <x:is>
          <x:t xml:space="preserve"/>
        </x:is>
      </x:c>
      <x:c r="I214" s="5" t="inlineStr">
        <x:is>
          <x:t xml:space="preserve"/>
        </x:is>
      </x:c>
      <x:c r="J214" s="5" t="inlineStr">
        <x:is>
          <x:t xml:space="preserve"/>
        </x:is>
      </x:c>
      <x:c r="K214" s="5" t="inlineStr">
        <x:is>
          <x:t xml:space="preserve"/>
        </x:is>
      </x:c>
      <x:c r="L214" s="5" t="inlineStr">
        <x:is>
          <x:t xml:space="preserve"/>
        </x:is>
      </x:c>
      <x:c r="M214" s="5" t="inlineStr">
        <x:is>
          <x:t xml:space="preserve"/>
        </x:is>
      </x:c>
      <x:c r="N214" s="5" t="inlineStr">
        <x:is>
          <x:t xml:space="preserve"/>
        </x:is>
      </x:c>
      <x:c r="O214" s="5" t="inlineStr">
        <x:is>
          <x:t xml:space="preserve"/>
        </x:is>
      </x:c>
      <x:c r="P214" s="5" t="inlineStr">
        <x:is>
          <x:t xml:space="preserve"/>
        </x:is>
      </x:c>
      <x:c r="Q214" s="5" t="inlineStr">
        <x:is>
          <x:t xml:space="preserve"/>
        </x:is>
      </x:c>
      <x:c r="R214" s="5">
        <x:f>IF(OR(F214="",G214=""),"",IF(F214&gt;=0.95*G214,1,0))</x:f>
      </x:c>
      <x:c r="S214" s="7">
        <x:f>IFERROR((I214+J214+K214)/F214,"")</x:f>
      </x:c>
      <x:c r="T214" s="5">
        <x:f>IFERROR(I214+J214+K214,"")</x:f>
        <x:v>0</x:v>
      </x:c>
    </x:row>
    <x:row r="215" ht="22" customHeight="1">
      <x:c r="A215" s="5" t="inlineStr">
        <x:is>
          <x:t xml:space="preserve">P018</x:t>
        </x:is>
      </x:c>
      <x:c r="B215" s="5" t="inlineStr">
        <x:is>
          <x:t xml:space="preserve">7</x:t>
        </x:is>
      </x:c>
      <x:c r="C215" s="5" t="inlineStr">
        <x:is>
          <x:t xml:space="preserve">V08_calendar_system</x:t>
        </x:is>
      </x:c>
      <x:c r="D215" s="5" t="inlineStr">
        <x:is>
          <x:t xml:space="preserve">heavy_bionic</x:t>
        </x:is>
      </x:c>
      <x:c r="E215" s="5" t="inlineStr">
        <x:is>
          <x:t xml:space="preserve">audio_on</x:t>
        </x:is>
      </x:c>
      <x:c r="F215" s="6" t="inlineStr">
        <x:is>
          <x:t xml:space="preserve"/>
        </x:is>
      </x:c>
      <x:c r="G215" s="6" t="inlineStr">
        <x:is>
          <x:t xml:space="preserve">6</x:t>
        </x:is>
      </x:c>
      <x:c r="H215" s="5" t="inlineStr">
        <x:is>
          <x:t xml:space="preserve"/>
        </x:is>
      </x:c>
      <x:c r="I215" s="5" t="inlineStr">
        <x:is>
          <x:t xml:space="preserve"/>
        </x:is>
      </x:c>
      <x:c r="J215" s="5" t="inlineStr">
        <x:is>
          <x:t xml:space="preserve"/>
        </x:is>
      </x:c>
      <x:c r="K215" s="5" t="inlineStr">
        <x:is>
          <x:t xml:space="preserve"/>
        </x:is>
      </x:c>
      <x:c r="L215" s="5" t="inlineStr">
        <x:is>
          <x:t xml:space="preserve"/>
        </x:is>
      </x:c>
      <x:c r="M215" s="5" t="inlineStr">
        <x:is>
          <x:t xml:space="preserve"/>
        </x:is>
      </x:c>
      <x:c r="N215" s="5" t="inlineStr">
        <x:is>
          <x:t xml:space="preserve"/>
        </x:is>
      </x:c>
      <x:c r="O215" s="5" t="inlineStr">
        <x:is>
          <x:t xml:space="preserve"/>
        </x:is>
      </x:c>
      <x:c r="P215" s="5" t="inlineStr">
        <x:is>
          <x:t xml:space="preserve"/>
        </x:is>
      </x:c>
      <x:c r="Q215" s="5" t="inlineStr">
        <x:is>
          <x:t xml:space="preserve"/>
        </x:is>
      </x:c>
      <x:c r="R215" s="5">
        <x:f>IF(OR(F215="",G215=""),"",IF(F215&gt;=0.95*G215,1,0))</x:f>
      </x:c>
      <x:c r="S215" s="7">
        <x:f>IFERROR((I215+J215+K215)/F215,"")</x:f>
      </x:c>
      <x:c r="T215" s="5">
        <x:f>IFERROR(I215+J215+K215,"")</x:f>
        <x:v>0</x:v>
      </x:c>
    </x:row>
    <x:row r="216" ht="22" customHeight="1">
      <x:c r="A216" s="5" t="inlineStr">
        <x:is>
          <x:t xml:space="preserve">P018</x:t>
        </x:is>
      </x:c>
      <x:c r="B216" s="5" t="inlineStr">
        <x:is>
          <x:t xml:space="preserve">8</x:t>
        </x:is>
      </x:c>
      <x:c r="C216" s="5" t="inlineStr">
        <x:is>
          <x:t xml:space="preserve">V07_business_clarity</x:t>
        </x:is>
      </x:c>
      <x:c r="D216" s="5" t="inlineStr">
        <x:is>
          <x:t xml:space="preserve">full_transcript</x:t>
        </x:is>
      </x:c>
      <x:c r="E216" s="5" t="inlineStr">
        <x:is>
          <x:t xml:space="preserve">muted</x:t>
        </x:is>
      </x:c>
      <x:c r="F216" s="6" t="inlineStr">
        <x:is>
          <x:t xml:space="preserve"/>
        </x:is>
      </x:c>
      <x:c r="G216" s="6" t="inlineStr">
        <x:is>
          <x:t xml:space="preserve">6</x:t>
        </x:is>
      </x:c>
      <x:c r="H216" s="5" t="inlineStr">
        <x:is>
          <x:t xml:space="preserve"/>
        </x:is>
      </x:c>
      <x:c r="I216" s="5" t="inlineStr">
        <x:is>
          <x:t xml:space="preserve"/>
        </x:is>
      </x:c>
      <x:c r="J216" s="5" t="inlineStr">
        <x:is>
          <x:t xml:space="preserve"/>
        </x:is>
      </x:c>
      <x:c r="K216" s="5" t="inlineStr">
        <x:is>
          <x:t xml:space="preserve"/>
        </x:is>
      </x:c>
      <x:c r="L216" s="5" t="inlineStr">
        <x:is>
          <x:t xml:space="preserve"/>
        </x:is>
      </x:c>
      <x:c r="M216" s="5" t="inlineStr">
        <x:is>
          <x:t xml:space="preserve"/>
        </x:is>
      </x:c>
      <x:c r="N216" s="5" t="inlineStr">
        <x:is>
          <x:t xml:space="preserve"/>
        </x:is>
      </x:c>
      <x:c r="O216" s="5" t="inlineStr">
        <x:is>
          <x:t xml:space="preserve"/>
        </x:is>
      </x:c>
      <x:c r="P216" s="5" t="inlineStr">
        <x:is>
          <x:t xml:space="preserve"/>
        </x:is>
      </x:c>
      <x:c r="Q216" s="5" t="inlineStr">
        <x:is>
          <x:t xml:space="preserve"/>
        </x:is>
      </x:c>
      <x:c r="R216" s="5">
        <x:f>IF(OR(F216="",G216=""),"",IF(F216&gt;=0.95*G216,1,0))</x:f>
      </x:c>
      <x:c r="S216" s="7">
        <x:f>IFERROR((I216+J216+K216)/F216,"")</x:f>
      </x:c>
      <x:c r="T216" s="5">
        <x:f>IFERROR(I216+J216+K216,"")</x:f>
        <x:v>0</x:v>
      </x:c>
    </x:row>
    <x:row r="217" ht="22" customHeight="1">
      <x:c r="A217" s="5" t="inlineStr">
        <x:is>
          <x:t xml:space="preserve">P018</x:t>
        </x:is>
      </x:c>
      <x:c r="B217" s="5" t="inlineStr">
        <x:is>
          <x:t xml:space="preserve">9</x:t>
        </x:is>
      </x:c>
      <x:c r="C217" s="5" t="inlineStr">
        <x:is>
          <x:t xml:space="preserve">V12_creativity_constraints</x:t>
        </x:is>
      </x:c>
      <x:c r="D217" s="5" t="inlineStr">
        <x:is>
          <x:t xml:space="preserve">keyword_highlight</x:t>
        </x:is>
      </x:c>
      <x:c r="E217" s="5" t="inlineStr">
        <x:is>
          <x:t xml:space="preserve">audio_on</x:t>
        </x:is>
      </x:c>
      <x:c r="F217" s="6" t="inlineStr">
        <x:is>
          <x:t xml:space="preserve"/>
        </x:is>
      </x:c>
      <x:c r="G217" s="6" t="inlineStr">
        <x:is>
          <x:t xml:space="preserve">6</x:t>
        </x:is>
      </x:c>
      <x:c r="H217" s="5" t="inlineStr">
        <x:is>
          <x:t xml:space="preserve"/>
        </x:is>
      </x:c>
      <x:c r="I217" s="5" t="inlineStr">
        <x:is>
          <x:t xml:space="preserve"/>
        </x:is>
      </x:c>
      <x:c r="J217" s="5" t="inlineStr">
        <x:is>
          <x:t xml:space="preserve"/>
        </x:is>
      </x:c>
      <x:c r="K217" s="5" t="inlineStr">
        <x:is>
          <x:t xml:space="preserve"/>
        </x:is>
      </x:c>
      <x:c r="L217" s="5" t="inlineStr">
        <x:is>
          <x:t xml:space="preserve"/>
        </x:is>
      </x:c>
      <x:c r="M217" s="5" t="inlineStr">
        <x:is>
          <x:t xml:space="preserve"/>
        </x:is>
      </x:c>
      <x:c r="N217" s="5" t="inlineStr">
        <x:is>
          <x:t xml:space="preserve"/>
        </x:is>
      </x:c>
      <x:c r="O217" s="5" t="inlineStr">
        <x:is>
          <x:t xml:space="preserve"/>
        </x:is>
      </x:c>
      <x:c r="P217" s="5" t="inlineStr">
        <x:is>
          <x:t xml:space="preserve"/>
        </x:is>
      </x:c>
      <x:c r="Q217" s="5" t="inlineStr">
        <x:is>
          <x:t xml:space="preserve"/>
        </x:is>
      </x:c>
      <x:c r="R217" s="5">
        <x:f>IF(OR(F217="",G217=""),"",IF(F217&gt;=0.95*G217,1,0))</x:f>
      </x:c>
      <x:c r="S217" s="7">
        <x:f>IFERROR((I217+J217+K217)/F217,"")</x:f>
      </x:c>
      <x:c r="T217" s="5">
        <x:f>IFERROR(I217+J217+K217,"")</x:f>
        <x:v>0</x:v>
      </x:c>
    </x:row>
    <x:row r="218" ht="22" customHeight="1">
      <x:c r="A218" s="5" t="inlineStr">
        <x:is>
          <x:t xml:space="preserve">P018</x:t>
        </x:is>
      </x:c>
      <x:c r="B218" s="5" t="inlineStr">
        <x:is>
          <x:t xml:space="preserve">10</x:t>
        </x:is>
      </x:c>
      <x:c r="C218" s="5" t="inlineStr">
        <x:is>
          <x:t xml:space="preserve">V11_story_burnout</x:t>
        </x:is>
      </x:c>
      <x:c r="D218" s="5" t="inlineStr">
        <x:is>
          <x:t xml:space="preserve">semantic_compression</x:t>
        </x:is>
      </x:c>
      <x:c r="E218" s="5" t="inlineStr">
        <x:is>
          <x:t xml:space="preserve">muted</x:t>
        </x:is>
      </x:c>
      <x:c r="F218" s="6" t="inlineStr">
        <x:is>
          <x:t xml:space="preserve"/>
        </x:is>
      </x:c>
      <x:c r="G218" s="6" t="inlineStr">
        <x:is>
          <x:t xml:space="preserve">6</x:t>
        </x:is>
      </x:c>
      <x:c r="H218" s="5" t="inlineStr">
        <x:is>
          <x:t xml:space="preserve"/>
        </x:is>
      </x:c>
      <x:c r="I218" s="5" t="inlineStr">
        <x:is>
          <x:t xml:space="preserve"/>
        </x:is>
      </x:c>
      <x:c r="J218" s="5" t="inlineStr">
        <x:is>
          <x:t xml:space="preserve"/>
        </x:is>
      </x:c>
      <x:c r="K218" s="5" t="inlineStr">
        <x:is>
          <x:t xml:space="preserve"/>
        </x:is>
      </x:c>
      <x:c r="L218" s="5" t="inlineStr">
        <x:is>
          <x:t xml:space="preserve"/>
        </x:is>
      </x:c>
      <x:c r="M218" s="5" t="inlineStr">
        <x:is>
          <x:t xml:space="preserve"/>
        </x:is>
      </x:c>
      <x:c r="N218" s="5" t="inlineStr">
        <x:is>
          <x:t xml:space="preserve"/>
        </x:is>
      </x:c>
      <x:c r="O218" s="5" t="inlineStr">
        <x:is>
          <x:t xml:space="preserve"/>
        </x:is>
      </x:c>
      <x:c r="P218" s="5" t="inlineStr">
        <x:is>
          <x:t xml:space="preserve"/>
        </x:is>
      </x:c>
      <x:c r="Q218" s="5" t="inlineStr">
        <x:is>
          <x:t xml:space="preserve"/>
        </x:is>
      </x:c>
      <x:c r="R218" s="5">
        <x:f>IF(OR(F218="",G218=""),"",IF(F218&gt;=0.95*G218,1,0))</x:f>
      </x:c>
      <x:c r="S218" s="7">
        <x:f>IFERROR((I218+J218+K218)/F218,"")</x:f>
      </x:c>
      <x:c r="T218" s="5">
        <x:f>IFERROR(I218+J218+K218,"")</x:f>
        <x:v>0</x:v>
      </x:c>
    </x:row>
    <x:row r="219" ht="22" customHeight="1">
      <x:c r="A219" s="5" t="inlineStr">
        <x:is>
          <x:t xml:space="preserve">P018</x:t>
        </x:is>
      </x:c>
      <x:c r="B219" s="5" t="inlineStr">
        <x:is>
          <x:t xml:space="preserve">11</x:t>
        </x:is>
      </x:c>
      <x:c r="C219" s="5" t="inlineStr">
        <x:is>
          <x:t xml:space="preserve">V03_fitness_setup</x:t>
        </x:is>
      </x:c>
      <x:c r="D219" s="5" t="inlineStr">
        <x:is>
          <x:t xml:space="preserve">bcc</x:t>
        </x:is>
      </x:c>
      <x:c r="E219" s="5" t="inlineStr">
        <x:is>
          <x:t xml:space="preserve">audio_on</x:t>
        </x:is>
      </x:c>
      <x:c r="F219" s="6" t="inlineStr">
        <x:is>
          <x:t xml:space="preserve"/>
        </x:is>
      </x:c>
      <x:c r="G219" s="6" t="inlineStr">
        <x:is>
          <x:t xml:space="preserve">6</x:t>
        </x:is>
      </x:c>
      <x:c r="H219" s="5" t="inlineStr">
        <x:is>
          <x:t xml:space="preserve"/>
        </x:is>
      </x:c>
      <x:c r="I219" s="5" t="inlineStr">
        <x:is>
          <x:t xml:space="preserve"/>
        </x:is>
      </x:c>
      <x:c r="J219" s="5" t="inlineStr">
        <x:is>
          <x:t xml:space="preserve"/>
        </x:is>
      </x:c>
      <x:c r="K219" s="5" t="inlineStr">
        <x:is>
          <x:t xml:space="preserve"/>
        </x:is>
      </x:c>
      <x:c r="L219" s="5" t="inlineStr">
        <x:is>
          <x:t xml:space="preserve"/>
        </x:is>
      </x:c>
      <x:c r="M219" s="5" t="inlineStr">
        <x:is>
          <x:t xml:space="preserve"/>
        </x:is>
      </x:c>
      <x:c r="N219" s="5" t="inlineStr">
        <x:is>
          <x:t xml:space="preserve"/>
        </x:is>
      </x:c>
      <x:c r="O219" s="5" t="inlineStr">
        <x:is>
          <x:t xml:space="preserve"/>
        </x:is>
      </x:c>
      <x:c r="P219" s="5" t="inlineStr">
        <x:is>
          <x:t xml:space="preserve"/>
        </x:is>
      </x:c>
      <x:c r="Q219" s="5" t="inlineStr">
        <x:is>
          <x:t xml:space="preserve"/>
        </x:is>
      </x:c>
      <x:c r="R219" s="5">
        <x:f>IF(OR(F219="",G219=""),"",IF(F219&gt;=0.95*G219,1,0))</x:f>
      </x:c>
      <x:c r="S219" s="7">
        <x:f>IFERROR((I219+J219+K219)/F219,"")</x:f>
      </x:c>
      <x:c r="T219" s="5">
        <x:f>IFERROR(I219+J219+K219,"")</x:f>
        <x:v>0</x:v>
      </x:c>
    </x:row>
    <x:row r="220" ht="22" customHeight="1">
      <x:c r="A220" s="5" t="inlineStr">
        <x:is>
          <x:t xml:space="preserve">P018</x:t>
        </x:is>
      </x:c>
      <x:c r="B220" s="5" t="inlineStr">
        <x:is>
          <x:t xml:space="preserve">12</x:t>
        </x:is>
      </x:c>
      <x:c r="C220" s="5" t="inlineStr">
        <x:is>
          <x:t xml:space="preserve">V04_money_visibility</x:t>
        </x:is>
      </x:c>
      <x:c r="D220" s="5" t="inlineStr">
        <x:is>
          <x:t xml:space="preserve">bcc_plus</x:t>
        </x:is>
      </x:c>
      <x:c r="E220" s="5" t="inlineStr">
        <x:is>
          <x:t xml:space="preserve">muted</x:t>
        </x:is>
      </x:c>
      <x:c r="F220" s="6" t="inlineStr">
        <x:is>
          <x:t xml:space="preserve"/>
        </x:is>
      </x:c>
      <x:c r="G220" s="6" t="inlineStr">
        <x:is>
          <x:t xml:space="preserve">6</x:t>
        </x:is>
      </x:c>
      <x:c r="H220" s="5" t="inlineStr">
        <x:is>
          <x:t xml:space="preserve"/>
        </x:is>
      </x:c>
      <x:c r="I220" s="5" t="inlineStr">
        <x:is>
          <x:t xml:space="preserve"/>
        </x:is>
      </x:c>
      <x:c r="J220" s="5" t="inlineStr">
        <x:is>
          <x:t xml:space="preserve"/>
        </x:is>
      </x:c>
      <x:c r="K220" s="5" t="inlineStr">
        <x:is>
          <x:t xml:space="preserve"/>
        </x:is>
      </x:c>
      <x:c r="L220" s="5" t="inlineStr">
        <x:is>
          <x:t xml:space="preserve"/>
        </x:is>
      </x:c>
      <x:c r="M220" s="5" t="inlineStr">
        <x:is>
          <x:t xml:space="preserve"/>
        </x:is>
      </x:c>
      <x:c r="N220" s="5" t="inlineStr">
        <x:is>
          <x:t xml:space="preserve"/>
        </x:is>
      </x:c>
      <x:c r="O220" s="5" t="inlineStr">
        <x:is>
          <x:t xml:space="preserve"/>
        </x:is>
      </x:c>
      <x:c r="P220" s="5" t="inlineStr">
        <x:is>
          <x:t xml:space="preserve"/>
        </x:is>
      </x:c>
      <x:c r="Q220" s="5" t="inlineStr">
        <x:is>
          <x:t xml:space="preserve"/>
        </x:is>
      </x:c>
      <x:c r="R220" s="5">
        <x:f>IF(OR(F220="",G220=""),"",IF(F220&gt;=0.95*G220,1,0))</x:f>
      </x:c>
      <x:c r="S220" s="7">
        <x:f>IFERROR((I220+J220+K220)/F220,"")</x:f>
      </x:c>
      <x:c r="T220" s="5">
        <x:f>IFERROR(I220+J220+K220,"")</x:f>
        <x:v>0</x:v>
      </x:c>
    </x:row>
    <x:row r="221" ht="22" customHeight="1">
      <x:c r="A221" s="5" t="inlineStr">
        <x:is>
          <x:t xml:space="preserve">P019</x:t>
        </x:is>
      </x:c>
      <x:c r="B221" s="5" t="inlineStr">
        <x:is>
          <x:t xml:space="preserve">1</x:t>
        </x:is>
      </x:c>
      <x:c r="C221" s="5" t="inlineStr">
        <x:is>
          <x:t xml:space="preserve">V04_money_visibility</x:t>
        </x:is>
      </x:c>
      <x:c r="D221" s="5" t="inlineStr">
        <x:is>
          <x:t xml:space="preserve">full_transcript</x:t>
        </x:is>
      </x:c>
      <x:c r="E221" s="5" t="inlineStr">
        <x:is>
          <x:t xml:space="preserve">muted</x:t>
        </x:is>
      </x:c>
      <x:c r="F221" s="6" t="inlineStr">
        <x:is>
          <x:t xml:space="preserve"/>
        </x:is>
      </x:c>
      <x:c r="G221" s="6" t="inlineStr">
        <x:is>
          <x:t xml:space="preserve">6</x:t>
        </x:is>
      </x:c>
      <x:c r="H221" s="5" t="inlineStr">
        <x:is>
          <x:t xml:space="preserve"/>
        </x:is>
      </x:c>
      <x:c r="I221" s="5" t="inlineStr">
        <x:is>
          <x:t xml:space="preserve"/>
        </x:is>
      </x:c>
      <x:c r="J221" s="5" t="inlineStr">
        <x:is>
          <x:t xml:space="preserve"/>
        </x:is>
      </x:c>
      <x:c r="K221" s="5" t="inlineStr">
        <x:is>
          <x:t xml:space="preserve"/>
        </x:is>
      </x:c>
      <x:c r="L221" s="5" t="inlineStr">
        <x:is>
          <x:t xml:space="preserve"/>
        </x:is>
      </x:c>
      <x:c r="M221" s="5" t="inlineStr">
        <x:is>
          <x:t xml:space="preserve"/>
        </x:is>
      </x:c>
      <x:c r="N221" s="5" t="inlineStr">
        <x:is>
          <x:t xml:space="preserve"/>
        </x:is>
      </x:c>
      <x:c r="O221" s="5" t="inlineStr">
        <x:is>
          <x:t xml:space="preserve"/>
        </x:is>
      </x:c>
      <x:c r="P221" s="5" t="inlineStr">
        <x:is>
          <x:t xml:space="preserve"/>
        </x:is>
      </x:c>
      <x:c r="Q221" s="5" t="inlineStr">
        <x:is>
          <x:t xml:space="preserve"/>
        </x:is>
      </x:c>
      <x:c r="R221" s="5">
        <x:f>IF(OR(F221="",G221=""),"",IF(F221&gt;=0.95*G221,1,0))</x:f>
      </x:c>
      <x:c r="S221" s="7">
        <x:f>IFERROR((I221+J221+K221)/F221,"")</x:f>
      </x:c>
      <x:c r="T221" s="5">
        <x:f>IFERROR(I221+J221+K221,"")</x:f>
        <x:v>0</x:v>
      </x:c>
    </x:row>
    <x:row r="222" ht="22" customHeight="1">
      <x:c r="A222" s="5" t="inlineStr">
        <x:is>
          <x:t xml:space="preserve">P019</x:t>
        </x:is>
      </x:c>
      <x:c r="B222" s="5" t="inlineStr">
        <x:is>
          <x:t xml:space="preserve">2</x:t>
        </x:is>
      </x:c>
      <x:c r="C222" s="5" t="inlineStr">
        <x:is>
          <x:t xml:space="preserve">V09_nutrition_satiety</x:t>
        </x:is>
      </x:c>
      <x:c r="D222" s="5" t="inlineStr">
        <x:is>
          <x:t xml:space="preserve">keyword_highlight</x:t>
        </x:is>
      </x:c>
      <x:c r="E222" s="5" t="inlineStr">
        <x:is>
          <x:t xml:space="preserve">audio_on</x:t>
        </x:is>
      </x:c>
      <x:c r="F222" s="6" t="inlineStr">
        <x:is>
          <x:t xml:space="preserve"/>
        </x:is>
      </x:c>
      <x:c r="G222" s="6" t="inlineStr">
        <x:is>
          <x:t xml:space="preserve">6</x:t>
        </x:is>
      </x:c>
      <x:c r="H222" s="5" t="inlineStr">
        <x:is>
          <x:t xml:space="preserve"/>
        </x:is>
      </x:c>
      <x:c r="I222" s="5" t="inlineStr">
        <x:is>
          <x:t xml:space="preserve"/>
        </x:is>
      </x:c>
      <x:c r="J222" s="5" t="inlineStr">
        <x:is>
          <x:t xml:space="preserve"/>
        </x:is>
      </x:c>
      <x:c r="K222" s="5" t="inlineStr">
        <x:is>
          <x:t xml:space="preserve"/>
        </x:is>
      </x:c>
      <x:c r="L222" s="5" t="inlineStr">
        <x:is>
          <x:t xml:space="preserve"/>
        </x:is>
      </x:c>
      <x:c r="M222" s="5" t="inlineStr">
        <x:is>
          <x:t xml:space="preserve"/>
        </x:is>
      </x:c>
      <x:c r="N222" s="5" t="inlineStr">
        <x:is>
          <x:t xml:space="preserve"/>
        </x:is>
      </x:c>
      <x:c r="O222" s="5" t="inlineStr">
        <x:is>
          <x:t xml:space="preserve"/>
        </x:is>
      </x:c>
      <x:c r="P222" s="5" t="inlineStr">
        <x:is>
          <x:t xml:space="preserve"/>
        </x:is>
      </x:c>
      <x:c r="Q222" s="5" t="inlineStr">
        <x:is>
          <x:t xml:space="preserve"/>
        </x:is>
      </x:c>
      <x:c r="R222" s="5">
        <x:f>IF(OR(F222="",G222=""),"",IF(F222&gt;=0.95*G222,1,0))</x:f>
      </x:c>
      <x:c r="S222" s="7">
        <x:f>IFERROR((I222+J222+K222)/F222,"")</x:f>
      </x:c>
      <x:c r="T222" s="5">
        <x:f>IFERROR(I222+J222+K222,"")</x:f>
        <x:v>0</x:v>
      </x:c>
    </x:row>
    <x:row r="223" ht="22" customHeight="1">
      <x:c r="A223" s="5" t="inlineStr">
        <x:is>
          <x:t xml:space="preserve">P019</x:t>
        </x:is>
      </x:c>
      <x:c r="B223" s="5" t="inlineStr">
        <x:is>
          <x:t xml:space="preserve">3</x:t>
        </x:is>
      </x:c>
      <x:c r="C223" s="5" t="inlineStr">
        <x:is>
          <x:t xml:space="preserve">V08_calendar_system</x:t>
        </x:is>
      </x:c>
      <x:c r="D223" s="5" t="inlineStr">
        <x:is>
          <x:t xml:space="preserve">semantic_compression</x:t>
        </x:is>
      </x:c>
      <x:c r="E223" s="5" t="inlineStr">
        <x:is>
          <x:t xml:space="preserve">muted</x:t>
        </x:is>
      </x:c>
      <x:c r="F223" s="6" t="inlineStr">
        <x:is>
          <x:t xml:space="preserve"/>
        </x:is>
      </x:c>
      <x:c r="G223" s="6" t="inlineStr">
        <x:is>
          <x:t xml:space="preserve">6</x:t>
        </x:is>
      </x:c>
      <x:c r="H223" s="5" t="inlineStr">
        <x:is>
          <x:t xml:space="preserve"/>
        </x:is>
      </x:c>
      <x:c r="I223" s="5" t="inlineStr">
        <x:is>
          <x:t xml:space="preserve"/>
        </x:is>
      </x:c>
      <x:c r="J223" s="5" t="inlineStr">
        <x:is>
          <x:t xml:space="preserve"/>
        </x:is>
      </x:c>
      <x:c r="K223" s="5" t="inlineStr">
        <x:is>
          <x:t xml:space="preserve"/>
        </x:is>
      </x:c>
      <x:c r="L223" s="5" t="inlineStr">
        <x:is>
          <x:t xml:space="preserve"/>
        </x:is>
      </x:c>
      <x:c r="M223" s="5" t="inlineStr">
        <x:is>
          <x:t xml:space="preserve"/>
        </x:is>
      </x:c>
      <x:c r="N223" s="5" t="inlineStr">
        <x:is>
          <x:t xml:space="preserve"/>
        </x:is>
      </x:c>
      <x:c r="O223" s="5" t="inlineStr">
        <x:is>
          <x:t xml:space="preserve"/>
        </x:is>
      </x:c>
      <x:c r="P223" s="5" t="inlineStr">
        <x:is>
          <x:t xml:space="preserve"/>
        </x:is>
      </x:c>
      <x:c r="Q223" s="5" t="inlineStr">
        <x:is>
          <x:t xml:space="preserve"/>
        </x:is>
      </x:c>
      <x:c r="R223" s="5">
        <x:f>IF(OR(F223="",G223=""),"",IF(F223&gt;=0.95*G223,1,0))</x:f>
      </x:c>
      <x:c r="S223" s="7">
        <x:f>IFERROR((I223+J223+K223)/F223,"")</x:f>
      </x:c>
      <x:c r="T223" s="5">
        <x:f>IFERROR(I223+J223+K223,"")</x:f>
        <x:v>0</x:v>
      </x:c>
    </x:row>
    <x:row r="224" ht="22" customHeight="1">
      <x:c r="A224" s="5" t="inlineStr">
        <x:is>
          <x:t xml:space="preserve">P019</x:t>
        </x:is>
      </x:c>
      <x:c r="B224" s="5" t="inlineStr">
        <x:is>
          <x:t xml:space="preserve">4</x:t>
        </x:is>
      </x:c>
      <x:c r="C224" s="5" t="inlineStr">
        <x:is>
          <x:t xml:space="preserve">V01_productivity_friction</x:t>
        </x:is>
      </x:c>
      <x:c r="D224" s="5" t="inlineStr">
        <x:is>
          <x:t xml:space="preserve">bcc</x:t>
        </x:is>
      </x:c>
      <x:c r="E224" s="5" t="inlineStr">
        <x:is>
          <x:t xml:space="preserve">audio_on</x:t>
        </x:is>
      </x:c>
      <x:c r="F224" s="6" t="inlineStr">
        <x:is>
          <x:t xml:space="preserve"/>
        </x:is>
      </x:c>
      <x:c r="G224" s="6" t="inlineStr">
        <x:is>
          <x:t xml:space="preserve">6</x:t>
        </x:is>
      </x:c>
      <x:c r="H224" s="5" t="inlineStr">
        <x:is>
          <x:t xml:space="preserve"/>
        </x:is>
      </x:c>
      <x:c r="I224" s="5" t="inlineStr">
        <x:is>
          <x:t xml:space="preserve"/>
        </x:is>
      </x:c>
      <x:c r="J224" s="5" t="inlineStr">
        <x:is>
          <x:t xml:space="preserve"/>
        </x:is>
      </x:c>
      <x:c r="K224" s="5" t="inlineStr">
        <x:is>
          <x:t xml:space="preserve"/>
        </x:is>
      </x:c>
      <x:c r="L224" s="5" t="inlineStr">
        <x:is>
          <x:t xml:space="preserve"/>
        </x:is>
      </x:c>
      <x:c r="M224" s="5" t="inlineStr">
        <x:is>
          <x:t xml:space="preserve"/>
        </x:is>
      </x:c>
      <x:c r="N224" s="5" t="inlineStr">
        <x:is>
          <x:t xml:space="preserve"/>
        </x:is>
      </x:c>
      <x:c r="O224" s="5" t="inlineStr">
        <x:is>
          <x:t xml:space="preserve"/>
        </x:is>
      </x:c>
      <x:c r="P224" s="5" t="inlineStr">
        <x:is>
          <x:t xml:space="preserve"/>
        </x:is>
      </x:c>
      <x:c r="Q224" s="5" t="inlineStr">
        <x:is>
          <x:t xml:space="preserve"/>
        </x:is>
      </x:c>
      <x:c r="R224" s="5">
        <x:f>IF(OR(F224="",G224=""),"",IF(F224&gt;=0.95*G224,1,0))</x:f>
      </x:c>
      <x:c r="S224" s="7">
        <x:f>IFERROR((I224+J224+K224)/F224,"")</x:f>
      </x:c>
      <x:c r="T224" s="5">
        <x:f>IFERROR(I224+J224+K224,"")</x:f>
        <x:v>0</x:v>
      </x:c>
    </x:row>
    <x:row r="225" ht="22" customHeight="1">
      <x:c r="A225" s="5" t="inlineStr">
        <x:is>
          <x:t xml:space="preserve">P019</x:t>
        </x:is>
      </x:c>
      <x:c r="B225" s="5" t="inlineStr">
        <x:is>
          <x:t xml:space="preserve">5</x:t>
        </x:is>
      </x:c>
      <x:c r="C225" s="5" t="inlineStr">
        <x:is>
          <x:t xml:space="preserve">V07_business_clarity</x:t>
        </x:is>
      </x:c>
      <x:c r="D225" s="5" t="inlineStr">
        <x:is>
          <x:t xml:space="preserve">bcc_plus</x:t>
        </x:is>
      </x:c>
      <x:c r="E225" s="5" t="inlineStr">
        <x:is>
          <x:t xml:space="preserve">muted</x:t>
        </x:is>
      </x:c>
      <x:c r="F225" s="6" t="inlineStr">
        <x:is>
          <x:t xml:space="preserve"/>
        </x:is>
      </x:c>
      <x:c r="G225" s="6" t="inlineStr">
        <x:is>
          <x:t xml:space="preserve">6</x:t>
        </x:is>
      </x:c>
      <x:c r="H225" s="5" t="inlineStr">
        <x:is>
          <x:t xml:space="preserve"/>
        </x:is>
      </x:c>
      <x:c r="I225" s="5" t="inlineStr">
        <x:is>
          <x:t xml:space="preserve"/>
        </x:is>
      </x:c>
      <x:c r="J225" s="5" t="inlineStr">
        <x:is>
          <x:t xml:space="preserve"/>
        </x:is>
      </x:c>
      <x:c r="K225" s="5" t="inlineStr">
        <x:is>
          <x:t xml:space="preserve"/>
        </x:is>
      </x:c>
      <x:c r="L225" s="5" t="inlineStr">
        <x:is>
          <x:t xml:space="preserve"/>
        </x:is>
      </x:c>
      <x:c r="M225" s="5" t="inlineStr">
        <x:is>
          <x:t xml:space="preserve"/>
        </x:is>
      </x:c>
      <x:c r="N225" s="5" t="inlineStr">
        <x:is>
          <x:t xml:space="preserve"/>
        </x:is>
      </x:c>
      <x:c r="O225" s="5" t="inlineStr">
        <x:is>
          <x:t xml:space="preserve"/>
        </x:is>
      </x:c>
      <x:c r="P225" s="5" t="inlineStr">
        <x:is>
          <x:t xml:space="preserve"/>
        </x:is>
      </x:c>
      <x:c r="Q225" s="5" t="inlineStr">
        <x:is>
          <x:t xml:space="preserve"/>
        </x:is>
      </x:c>
      <x:c r="R225" s="5">
        <x:f>IF(OR(F225="",G225=""),"",IF(F225&gt;=0.95*G225,1,0))</x:f>
      </x:c>
      <x:c r="S225" s="7">
        <x:f>IFERROR((I225+J225+K225)/F225,"")</x:f>
      </x:c>
      <x:c r="T225" s="5">
        <x:f>IFERROR(I225+J225+K225,"")</x:f>
        <x:v>0</x:v>
      </x:c>
    </x:row>
    <x:row r="226" ht="22" customHeight="1">
      <x:c r="A226" s="5" t="inlineStr">
        <x:is>
          <x:t xml:space="preserve">P019</x:t>
        </x:is>
      </x:c>
      <x:c r="B226" s="5" t="inlineStr">
        <x:is>
          <x:t xml:space="preserve">6</x:t>
        </x:is>
      </x:c>
      <x:c r="C226" s="5" t="inlineStr">
        <x:is>
          <x:t xml:space="preserve">V10_tutorial_ui</x:t>
        </x:is>
      </x:c>
      <x:c r="D226" s="5" t="inlineStr">
        <x:is>
          <x:t xml:space="preserve">heavy_bionic</x:t>
        </x:is>
      </x:c>
      <x:c r="E226" s="5" t="inlineStr">
        <x:is>
          <x:t xml:space="preserve">audio_on</x:t>
        </x:is>
      </x:c>
      <x:c r="F226" s="6" t="inlineStr">
        <x:is>
          <x:t xml:space="preserve"/>
        </x:is>
      </x:c>
      <x:c r="G226" s="6" t="inlineStr">
        <x:is>
          <x:t xml:space="preserve">6</x:t>
        </x:is>
      </x:c>
      <x:c r="H226" s="5" t="inlineStr">
        <x:is>
          <x:t xml:space="preserve"/>
        </x:is>
      </x:c>
      <x:c r="I226" s="5" t="inlineStr">
        <x:is>
          <x:t xml:space="preserve"/>
        </x:is>
      </x:c>
      <x:c r="J226" s="5" t="inlineStr">
        <x:is>
          <x:t xml:space="preserve"/>
        </x:is>
      </x:c>
      <x:c r="K226" s="5" t="inlineStr">
        <x:is>
          <x:t xml:space="preserve"/>
        </x:is>
      </x:c>
      <x:c r="L226" s="5" t="inlineStr">
        <x:is>
          <x:t xml:space="preserve"/>
        </x:is>
      </x:c>
      <x:c r="M226" s="5" t="inlineStr">
        <x:is>
          <x:t xml:space="preserve"/>
        </x:is>
      </x:c>
      <x:c r="N226" s="5" t="inlineStr">
        <x:is>
          <x:t xml:space="preserve"/>
        </x:is>
      </x:c>
      <x:c r="O226" s="5" t="inlineStr">
        <x:is>
          <x:t xml:space="preserve"/>
        </x:is>
      </x:c>
      <x:c r="P226" s="5" t="inlineStr">
        <x:is>
          <x:t xml:space="preserve"/>
        </x:is>
      </x:c>
      <x:c r="Q226" s="5" t="inlineStr">
        <x:is>
          <x:t xml:space="preserve"/>
        </x:is>
      </x:c>
      <x:c r="R226" s="5">
        <x:f>IF(OR(F226="",G226=""),"",IF(F226&gt;=0.95*G226,1,0))</x:f>
      </x:c>
      <x:c r="S226" s="7">
        <x:f>IFERROR((I226+J226+K226)/F226,"")</x:f>
      </x:c>
      <x:c r="T226" s="5">
        <x:f>IFERROR(I226+J226+K226,"")</x:f>
        <x:v>0</x:v>
      </x:c>
    </x:row>
    <x:row r="227" ht="22" customHeight="1">
      <x:c r="A227" s="5" t="inlineStr">
        <x:is>
          <x:t xml:space="preserve">P019</x:t>
        </x:is>
      </x:c>
      <x:c r="B227" s="5" t="inlineStr">
        <x:is>
          <x:t xml:space="preserve">7</x:t>
        </x:is>
      </x:c>
      <x:c r="C227" s="5" t="inlineStr">
        <x:is>
          <x:t xml:space="preserve">V06_overload_open_loops</x:t>
        </x:is>
      </x:c>
      <x:c r="D227" s="5" t="inlineStr">
        <x:is>
          <x:t xml:space="preserve">full_transcript</x:t>
        </x:is>
      </x:c>
      <x:c r="E227" s="5" t="inlineStr">
        <x:is>
          <x:t xml:space="preserve">muted</x:t>
        </x:is>
      </x:c>
      <x:c r="F227" s="6" t="inlineStr">
        <x:is>
          <x:t xml:space="preserve"/>
        </x:is>
      </x:c>
      <x:c r="G227" s="6" t="inlineStr">
        <x:is>
          <x:t xml:space="preserve">6</x:t>
        </x:is>
      </x:c>
      <x:c r="H227" s="5" t="inlineStr">
        <x:is>
          <x:t xml:space="preserve"/>
        </x:is>
      </x:c>
      <x:c r="I227" s="5" t="inlineStr">
        <x:is>
          <x:t xml:space="preserve"/>
        </x:is>
      </x:c>
      <x:c r="J227" s="5" t="inlineStr">
        <x:is>
          <x:t xml:space="preserve"/>
        </x:is>
      </x:c>
      <x:c r="K227" s="5" t="inlineStr">
        <x:is>
          <x:t xml:space="preserve"/>
        </x:is>
      </x:c>
      <x:c r="L227" s="5" t="inlineStr">
        <x:is>
          <x:t xml:space="preserve"/>
        </x:is>
      </x:c>
      <x:c r="M227" s="5" t="inlineStr">
        <x:is>
          <x:t xml:space="preserve"/>
        </x:is>
      </x:c>
      <x:c r="N227" s="5" t="inlineStr">
        <x:is>
          <x:t xml:space="preserve"/>
        </x:is>
      </x:c>
      <x:c r="O227" s="5" t="inlineStr">
        <x:is>
          <x:t xml:space="preserve"/>
        </x:is>
      </x:c>
      <x:c r="P227" s="5" t="inlineStr">
        <x:is>
          <x:t xml:space="preserve"/>
        </x:is>
      </x:c>
      <x:c r="Q227" s="5" t="inlineStr">
        <x:is>
          <x:t xml:space="preserve"/>
        </x:is>
      </x:c>
      <x:c r="R227" s="5">
        <x:f>IF(OR(F227="",G227=""),"",IF(F227&gt;=0.95*G227,1,0))</x:f>
      </x:c>
      <x:c r="S227" s="7">
        <x:f>IFERROR((I227+J227+K227)/F227,"")</x:f>
      </x:c>
      <x:c r="T227" s="5">
        <x:f>IFERROR(I227+J227+K227,"")</x:f>
        <x:v>0</x:v>
      </x:c>
    </x:row>
    <x:row r="228" ht="22" customHeight="1">
      <x:c r="A228" s="5" t="inlineStr">
        <x:is>
          <x:t xml:space="preserve">P019</x:t>
        </x:is>
      </x:c>
      <x:c r="B228" s="5" t="inlineStr">
        <x:is>
          <x:t xml:space="preserve">8</x:t>
        </x:is>
      </x:c>
      <x:c r="C228" s="5" t="inlineStr">
        <x:is>
          <x:t xml:space="preserve">V02_study_recall</x:t>
        </x:is>
      </x:c>
      <x:c r="D228" s="5" t="inlineStr">
        <x:is>
          <x:t xml:space="preserve">keyword_highlight</x:t>
        </x:is>
      </x:c>
      <x:c r="E228" s="5" t="inlineStr">
        <x:is>
          <x:t xml:space="preserve">audio_on</x:t>
        </x:is>
      </x:c>
      <x:c r="F228" s="6" t="inlineStr">
        <x:is>
          <x:t xml:space="preserve"/>
        </x:is>
      </x:c>
      <x:c r="G228" s="6" t="inlineStr">
        <x:is>
          <x:t xml:space="preserve">6</x:t>
        </x:is>
      </x:c>
      <x:c r="H228" s="5" t="inlineStr">
        <x:is>
          <x:t xml:space="preserve"/>
        </x:is>
      </x:c>
      <x:c r="I228" s="5" t="inlineStr">
        <x:is>
          <x:t xml:space="preserve"/>
        </x:is>
      </x:c>
      <x:c r="J228" s="5" t="inlineStr">
        <x:is>
          <x:t xml:space="preserve"/>
        </x:is>
      </x:c>
      <x:c r="K228" s="5" t="inlineStr">
        <x:is>
          <x:t xml:space="preserve"/>
        </x:is>
      </x:c>
      <x:c r="L228" s="5" t="inlineStr">
        <x:is>
          <x:t xml:space="preserve"/>
        </x:is>
      </x:c>
      <x:c r="M228" s="5" t="inlineStr">
        <x:is>
          <x:t xml:space="preserve"/>
        </x:is>
      </x:c>
      <x:c r="N228" s="5" t="inlineStr">
        <x:is>
          <x:t xml:space="preserve"/>
        </x:is>
      </x:c>
      <x:c r="O228" s="5" t="inlineStr">
        <x:is>
          <x:t xml:space="preserve"/>
        </x:is>
      </x:c>
      <x:c r="P228" s="5" t="inlineStr">
        <x:is>
          <x:t xml:space="preserve"/>
        </x:is>
      </x:c>
      <x:c r="Q228" s="5" t="inlineStr">
        <x:is>
          <x:t xml:space="preserve"/>
        </x:is>
      </x:c>
      <x:c r="R228" s="5">
        <x:f>IF(OR(F228="",G228=""),"",IF(F228&gt;=0.95*G228,1,0))</x:f>
      </x:c>
      <x:c r="S228" s="7">
        <x:f>IFERROR((I228+J228+K228)/F228,"")</x:f>
      </x:c>
      <x:c r="T228" s="5">
        <x:f>IFERROR(I228+J228+K228,"")</x:f>
        <x:v>0</x:v>
      </x:c>
    </x:row>
    <x:row r="229" ht="22" customHeight="1">
      <x:c r="A229" s="5" t="inlineStr">
        <x:is>
          <x:t xml:space="preserve">P019</x:t>
        </x:is>
      </x:c>
      <x:c r="B229" s="5" t="inlineStr">
        <x:is>
          <x:t xml:space="preserve">9</x:t>
        </x:is>
      </x:c>
      <x:c r="C229" s="5" t="inlineStr">
        <x:is>
          <x:t xml:space="preserve">V05_coding_assumptions</x:t>
        </x:is>
      </x:c>
      <x:c r="D229" s="5" t="inlineStr">
        <x:is>
          <x:t xml:space="preserve">semantic_compression</x:t>
        </x:is>
      </x:c>
      <x:c r="E229" s="5" t="inlineStr">
        <x:is>
          <x:t xml:space="preserve">muted</x:t>
        </x:is>
      </x:c>
      <x:c r="F229" s="6" t="inlineStr">
        <x:is>
          <x:t xml:space="preserve"/>
        </x:is>
      </x:c>
      <x:c r="G229" s="6" t="inlineStr">
        <x:is>
          <x:t xml:space="preserve">6</x:t>
        </x:is>
      </x:c>
      <x:c r="H229" s="5" t="inlineStr">
        <x:is>
          <x:t xml:space="preserve"/>
        </x:is>
      </x:c>
      <x:c r="I229" s="5" t="inlineStr">
        <x:is>
          <x:t xml:space="preserve"/>
        </x:is>
      </x:c>
      <x:c r="J229" s="5" t="inlineStr">
        <x:is>
          <x:t xml:space="preserve"/>
        </x:is>
      </x:c>
      <x:c r="K229" s="5" t="inlineStr">
        <x:is>
          <x:t xml:space="preserve"/>
        </x:is>
      </x:c>
      <x:c r="L229" s="5" t="inlineStr">
        <x:is>
          <x:t xml:space="preserve"/>
        </x:is>
      </x:c>
      <x:c r="M229" s="5" t="inlineStr">
        <x:is>
          <x:t xml:space="preserve"/>
        </x:is>
      </x:c>
      <x:c r="N229" s="5" t="inlineStr">
        <x:is>
          <x:t xml:space="preserve"/>
        </x:is>
      </x:c>
      <x:c r="O229" s="5" t="inlineStr">
        <x:is>
          <x:t xml:space="preserve"/>
        </x:is>
      </x:c>
      <x:c r="P229" s="5" t="inlineStr">
        <x:is>
          <x:t xml:space="preserve"/>
        </x:is>
      </x:c>
      <x:c r="Q229" s="5" t="inlineStr">
        <x:is>
          <x:t xml:space="preserve"/>
        </x:is>
      </x:c>
      <x:c r="R229" s="5">
        <x:f>IF(OR(F229="",G229=""),"",IF(F229&gt;=0.95*G229,1,0))</x:f>
      </x:c>
      <x:c r="S229" s="7">
        <x:f>IFERROR((I229+J229+K229)/F229,"")</x:f>
      </x:c>
      <x:c r="T229" s="5">
        <x:f>IFERROR(I229+J229+K229,"")</x:f>
        <x:v>0</x:v>
      </x:c>
    </x:row>
    <x:row r="230" ht="22" customHeight="1">
      <x:c r="A230" s="5" t="inlineStr">
        <x:is>
          <x:t xml:space="preserve">P019</x:t>
        </x:is>
      </x:c>
      <x:c r="B230" s="5" t="inlineStr">
        <x:is>
          <x:t xml:space="preserve">10</x:t>
        </x:is>
      </x:c>
      <x:c r="C230" s="5" t="inlineStr">
        <x:is>
          <x:t xml:space="preserve">V03_fitness_setup</x:t>
        </x:is>
      </x:c>
      <x:c r="D230" s="5" t="inlineStr">
        <x:is>
          <x:t xml:space="preserve">bcc</x:t>
        </x:is>
      </x:c>
      <x:c r="E230" s="5" t="inlineStr">
        <x:is>
          <x:t xml:space="preserve">audio_on</x:t>
        </x:is>
      </x:c>
      <x:c r="F230" s="6" t="inlineStr">
        <x:is>
          <x:t xml:space="preserve"/>
        </x:is>
      </x:c>
      <x:c r="G230" s="6" t="inlineStr">
        <x:is>
          <x:t xml:space="preserve">6</x:t>
        </x:is>
      </x:c>
      <x:c r="H230" s="5" t="inlineStr">
        <x:is>
          <x:t xml:space="preserve"/>
        </x:is>
      </x:c>
      <x:c r="I230" s="5" t="inlineStr">
        <x:is>
          <x:t xml:space="preserve"/>
        </x:is>
      </x:c>
      <x:c r="J230" s="5" t="inlineStr">
        <x:is>
          <x:t xml:space="preserve"/>
        </x:is>
      </x:c>
      <x:c r="K230" s="5" t="inlineStr">
        <x:is>
          <x:t xml:space="preserve"/>
        </x:is>
      </x:c>
      <x:c r="L230" s="5" t="inlineStr">
        <x:is>
          <x:t xml:space="preserve"/>
        </x:is>
      </x:c>
      <x:c r="M230" s="5" t="inlineStr">
        <x:is>
          <x:t xml:space="preserve"/>
        </x:is>
      </x:c>
      <x:c r="N230" s="5" t="inlineStr">
        <x:is>
          <x:t xml:space="preserve"/>
        </x:is>
      </x:c>
      <x:c r="O230" s="5" t="inlineStr">
        <x:is>
          <x:t xml:space="preserve"/>
        </x:is>
      </x:c>
      <x:c r="P230" s="5" t="inlineStr">
        <x:is>
          <x:t xml:space="preserve"/>
        </x:is>
      </x:c>
      <x:c r="Q230" s="5" t="inlineStr">
        <x:is>
          <x:t xml:space="preserve"/>
        </x:is>
      </x:c>
      <x:c r="R230" s="5">
        <x:f>IF(OR(F230="",G230=""),"",IF(F230&gt;=0.95*G230,1,0))</x:f>
      </x:c>
      <x:c r="S230" s="7">
        <x:f>IFERROR((I230+J230+K230)/F230,"")</x:f>
      </x:c>
      <x:c r="T230" s="5">
        <x:f>IFERROR(I230+J230+K230,"")</x:f>
        <x:v>0</x:v>
      </x:c>
    </x:row>
    <x:row r="231" ht="22" customHeight="1">
      <x:c r="A231" s="5" t="inlineStr">
        <x:is>
          <x:t xml:space="preserve">P019</x:t>
        </x:is>
      </x:c>
      <x:c r="B231" s="5" t="inlineStr">
        <x:is>
          <x:t xml:space="preserve">11</x:t>
        </x:is>
      </x:c>
      <x:c r="C231" s="5" t="inlineStr">
        <x:is>
          <x:t xml:space="preserve">V11_story_burnout</x:t>
        </x:is>
      </x:c>
      <x:c r="D231" s="5" t="inlineStr">
        <x:is>
          <x:t xml:space="preserve">bcc_plus</x:t>
        </x:is>
      </x:c>
      <x:c r="E231" s="5" t="inlineStr">
        <x:is>
          <x:t xml:space="preserve">muted</x:t>
        </x:is>
      </x:c>
      <x:c r="F231" s="6" t="inlineStr">
        <x:is>
          <x:t xml:space="preserve"/>
        </x:is>
      </x:c>
      <x:c r="G231" s="6" t="inlineStr">
        <x:is>
          <x:t xml:space="preserve">6</x:t>
        </x:is>
      </x:c>
      <x:c r="H231" s="5" t="inlineStr">
        <x:is>
          <x:t xml:space="preserve"/>
        </x:is>
      </x:c>
      <x:c r="I231" s="5" t="inlineStr">
        <x:is>
          <x:t xml:space="preserve"/>
        </x:is>
      </x:c>
      <x:c r="J231" s="5" t="inlineStr">
        <x:is>
          <x:t xml:space="preserve"/>
        </x:is>
      </x:c>
      <x:c r="K231" s="5" t="inlineStr">
        <x:is>
          <x:t xml:space="preserve"/>
        </x:is>
      </x:c>
      <x:c r="L231" s="5" t="inlineStr">
        <x:is>
          <x:t xml:space="preserve"/>
        </x:is>
      </x:c>
      <x:c r="M231" s="5" t="inlineStr">
        <x:is>
          <x:t xml:space="preserve"/>
        </x:is>
      </x:c>
      <x:c r="N231" s="5" t="inlineStr">
        <x:is>
          <x:t xml:space="preserve"/>
        </x:is>
      </x:c>
      <x:c r="O231" s="5" t="inlineStr">
        <x:is>
          <x:t xml:space="preserve"/>
        </x:is>
      </x:c>
      <x:c r="P231" s="5" t="inlineStr">
        <x:is>
          <x:t xml:space="preserve"/>
        </x:is>
      </x:c>
      <x:c r="Q231" s="5" t="inlineStr">
        <x:is>
          <x:t xml:space="preserve"/>
        </x:is>
      </x:c>
      <x:c r="R231" s="5">
        <x:f>IF(OR(F231="",G231=""),"",IF(F231&gt;=0.95*G231,1,0))</x:f>
      </x:c>
      <x:c r="S231" s="7">
        <x:f>IFERROR((I231+J231+K231)/F231,"")</x:f>
      </x:c>
      <x:c r="T231" s="5">
        <x:f>IFERROR(I231+J231+K231,"")</x:f>
        <x:v>0</x:v>
      </x:c>
    </x:row>
    <x:row r="232" ht="22" customHeight="1">
      <x:c r="A232" s="5" t="inlineStr">
        <x:is>
          <x:t xml:space="preserve">P019</x:t>
        </x:is>
      </x:c>
      <x:c r="B232" s="5" t="inlineStr">
        <x:is>
          <x:t xml:space="preserve">12</x:t>
        </x:is>
      </x:c>
      <x:c r="C232" s="5" t="inlineStr">
        <x:is>
          <x:t xml:space="preserve">V12_creativity_constraints</x:t>
        </x:is>
      </x:c>
      <x:c r="D232" s="5" t="inlineStr">
        <x:is>
          <x:t xml:space="preserve">heavy_bionic</x:t>
        </x:is>
      </x:c>
      <x:c r="E232" s="5" t="inlineStr">
        <x:is>
          <x:t xml:space="preserve">audio_on</x:t>
        </x:is>
      </x:c>
      <x:c r="F232" s="6" t="inlineStr">
        <x:is>
          <x:t xml:space="preserve"/>
        </x:is>
      </x:c>
      <x:c r="G232" s="6" t="inlineStr">
        <x:is>
          <x:t xml:space="preserve">6</x:t>
        </x:is>
      </x:c>
      <x:c r="H232" s="5" t="inlineStr">
        <x:is>
          <x:t xml:space="preserve"/>
        </x:is>
      </x:c>
      <x:c r="I232" s="5" t="inlineStr">
        <x:is>
          <x:t xml:space="preserve"/>
        </x:is>
      </x:c>
      <x:c r="J232" s="5" t="inlineStr">
        <x:is>
          <x:t xml:space="preserve"/>
        </x:is>
      </x:c>
      <x:c r="K232" s="5" t="inlineStr">
        <x:is>
          <x:t xml:space="preserve"/>
        </x:is>
      </x:c>
      <x:c r="L232" s="5" t="inlineStr">
        <x:is>
          <x:t xml:space="preserve"/>
        </x:is>
      </x:c>
      <x:c r="M232" s="5" t="inlineStr">
        <x:is>
          <x:t xml:space="preserve"/>
        </x:is>
      </x:c>
      <x:c r="N232" s="5" t="inlineStr">
        <x:is>
          <x:t xml:space="preserve"/>
        </x:is>
      </x:c>
      <x:c r="O232" s="5" t="inlineStr">
        <x:is>
          <x:t xml:space="preserve"/>
        </x:is>
      </x:c>
      <x:c r="P232" s="5" t="inlineStr">
        <x:is>
          <x:t xml:space="preserve"/>
        </x:is>
      </x:c>
      <x:c r="Q232" s="5" t="inlineStr">
        <x:is>
          <x:t xml:space="preserve"/>
        </x:is>
      </x:c>
      <x:c r="R232" s="5">
        <x:f>IF(OR(F232="",G232=""),"",IF(F232&gt;=0.95*G232,1,0))</x:f>
      </x:c>
      <x:c r="S232" s="7">
        <x:f>IFERROR((I232+J232+K232)/F232,"")</x:f>
      </x:c>
      <x:c r="T232" s="5">
        <x:f>IFERROR(I232+J232+K232,"")</x:f>
        <x:v>0</x:v>
      </x:c>
    </x:row>
    <x:row r="233" ht="22" customHeight="1">
      <x:c r="A233" s="5" t="inlineStr">
        <x:is>
          <x:t xml:space="preserve">P020</x:t>
        </x:is>
      </x:c>
      <x:c r="B233" s="5" t="inlineStr">
        <x:is>
          <x:t xml:space="preserve">1</x:t>
        </x:is>
      </x:c>
      <x:c r="C233" s="5" t="inlineStr">
        <x:is>
          <x:t xml:space="preserve">V11_story_burnout</x:t>
        </x:is>
      </x:c>
      <x:c r="D233" s="5" t="inlineStr">
        <x:is>
          <x:t xml:space="preserve">keyword_highlight</x:t>
        </x:is>
      </x:c>
      <x:c r="E233" s="5" t="inlineStr">
        <x:is>
          <x:t xml:space="preserve">audio_on</x:t>
        </x:is>
      </x:c>
      <x:c r="F233" s="6" t="inlineStr">
        <x:is>
          <x:t xml:space="preserve"/>
        </x:is>
      </x:c>
      <x:c r="G233" s="6" t="inlineStr">
        <x:is>
          <x:t xml:space="preserve">6</x:t>
        </x:is>
      </x:c>
      <x:c r="H233" s="5" t="inlineStr">
        <x:is>
          <x:t xml:space="preserve"/>
        </x:is>
      </x:c>
      <x:c r="I233" s="5" t="inlineStr">
        <x:is>
          <x:t xml:space="preserve"/>
        </x:is>
      </x:c>
      <x:c r="J233" s="5" t="inlineStr">
        <x:is>
          <x:t xml:space="preserve"/>
        </x:is>
      </x:c>
      <x:c r="K233" s="5" t="inlineStr">
        <x:is>
          <x:t xml:space="preserve"/>
        </x:is>
      </x:c>
      <x:c r="L233" s="5" t="inlineStr">
        <x:is>
          <x:t xml:space="preserve"/>
        </x:is>
      </x:c>
      <x:c r="M233" s="5" t="inlineStr">
        <x:is>
          <x:t xml:space="preserve"/>
        </x:is>
      </x:c>
      <x:c r="N233" s="5" t="inlineStr">
        <x:is>
          <x:t xml:space="preserve"/>
        </x:is>
      </x:c>
      <x:c r="O233" s="5" t="inlineStr">
        <x:is>
          <x:t xml:space="preserve"/>
        </x:is>
      </x:c>
      <x:c r="P233" s="5" t="inlineStr">
        <x:is>
          <x:t xml:space="preserve"/>
        </x:is>
      </x:c>
      <x:c r="Q233" s="5" t="inlineStr">
        <x:is>
          <x:t xml:space="preserve"/>
        </x:is>
      </x:c>
      <x:c r="R233" s="5">
        <x:f>IF(OR(F233="",G233=""),"",IF(F233&gt;=0.95*G233,1,0))</x:f>
      </x:c>
      <x:c r="S233" s="7">
        <x:f>IFERROR((I233+J233+K233)/F233,"")</x:f>
      </x:c>
      <x:c r="T233" s="5">
        <x:f>IFERROR(I233+J233+K233,"")</x:f>
        <x:v>0</x:v>
      </x:c>
    </x:row>
    <x:row r="234" ht="22" customHeight="1">
      <x:c r="A234" s="5" t="inlineStr">
        <x:is>
          <x:t xml:space="preserve">P020</x:t>
        </x:is>
      </x:c>
      <x:c r="B234" s="5" t="inlineStr">
        <x:is>
          <x:t xml:space="preserve">2</x:t>
        </x:is>
      </x:c>
      <x:c r="C234" s="5" t="inlineStr">
        <x:is>
          <x:t xml:space="preserve">V12_creativity_constraints</x:t>
        </x:is>
      </x:c>
      <x:c r="D234" s="5" t="inlineStr">
        <x:is>
          <x:t xml:space="preserve">semantic_compression</x:t>
        </x:is>
      </x:c>
      <x:c r="E234" s="5" t="inlineStr">
        <x:is>
          <x:t xml:space="preserve">muted</x:t>
        </x:is>
      </x:c>
      <x:c r="F234" s="6" t="inlineStr">
        <x:is>
          <x:t xml:space="preserve"/>
        </x:is>
      </x:c>
      <x:c r="G234" s="6" t="inlineStr">
        <x:is>
          <x:t xml:space="preserve">6</x:t>
        </x:is>
      </x:c>
      <x:c r="H234" s="5" t="inlineStr">
        <x:is>
          <x:t xml:space="preserve"/>
        </x:is>
      </x:c>
      <x:c r="I234" s="5" t="inlineStr">
        <x:is>
          <x:t xml:space="preserve"/>
        </x:is>
      </x:c>
      <x:c r="J234" s="5" t="inlineStr">
        <x:is>
          <x:t xml:space="preserve"/>
        </x:is>
      </x:c>
      <x:c r="K234" s="5" t="inlineStr">
        <x:is>
          <x:t xml:space="preserve"/>
        </x:is>
      </x:c>
      <x:c r="L234" s="5" t="inlineStr">
        <x:is>
          <x:t xml:space="preserve"/>
        </x:is>
      </x:c>
      <x:c r="M234" s="5" t="inlineStr">
        <x:is>
          <x:t xml:space="preserve"/>
        </x:is>
      </x:c>
      <x:c r="N234" s="5" t="inlineStr">
        <x:is>
          <x:t xml:space="preserve"/>
        </x:is>
      </x:c>
      <x:c r="O234" s="5" t="inlineStr">
        <x:is>
          <x:t xml:space="preserve"/>
        </x:is>
      </x:c>
      <x:c r="P234" s="5" t="inlineStr">
        <x:is>
          <x:t xml:space="preserve"/>
        </x:is>
      </x:c>
      <x:c r="Q234" s="5" t="inlineStr">
        <x:is>
          <x:t xml:space="preserve"/>
        </x:is>
      </x:c>
      <x:c r="R234" s="5">
        <x:f>IF(OR(F234="",G234=""),"",IF(F234&gt;=0.95*G234,1,0))</x:f>
      </x:c>
      <x:c r="S234" s="7">
        <x:f>IFERROR((I234+J234+K234)/F234,"")</x:f>
      </x:c>
      <x:c r="T234" s="5">
        <x:f>IFERROR(I234+J234+K234,"")</x:f>
        <x:v>0</x:v>
      </x:c>
    </x:row>
    <x:row r="235" ht="22" customHeight="1">
      <x:c r="A235" s="5" t="inlineStr">
        <x:is>
          <x:t xml:space="preserve">P020</x:t>
        </x:is>
      </x:c>
      <x:c r="B235" s="5" t="inlineStr">
        <x:is>
          <x:t xml:space="preserve">3</x:t>
        </x:is>
      </x:c>
      <x:c r="C235" s="5" t="inlineStr">
        <x:is>
          <x:t xml:space="preserve">V06_overload_open_loops</x:t>
        </x:is>
      </x:c>
      <x:c r="D235" s="5" t="inlineStr">
        <x:is>
          <x:t xml:space="preserve">bcc</x:t>
        </x:is>
      </x:c>
      <x:c r="E235" s="5" t="inlineStr">
        <x:is>
          <x:t xml:space="preserve">audio_on</x:t>
        </x:is>
      </x:c>
      <x:c r="F235" s="6" t="inlineStr">
        <x:is>
          <x:t xml:space="preserve"/>
        </x:is>
      </x:c>
      <x:c r="G235" s="6" t="inlineStr">
        <x:is>
          <x:t xml:space="preserve">6</x:t>
        </x:is>
      </x:c>
      <x:c r="H235" s="5" t="inlineStr">
        <x:is>
          <x:t xml:space="preserve"/>
        </x:is>
      </x:c>
      <x:c r="I235" s="5" t="inlineStr">
        <x:is>
          <x:t xml:space="preserve"/>
        </x:is>
      </x:c>
      <x:c r="J235" s="5" t="inlineStr">
        <x:is>
          <x:t xml:space="preserve"/>
        </x:is>
      </x:c>
      <x:c r="K235" s="5" t="inlineStr">
        <x:is>
          <x:t xml:space="preserve"/>
        </x:is>
      </x:c>
      <x:c r="L235" s="5" t="inlineStr">
        <x:is>
          <x:t xml:space="preserve"/>
        </x:is>
      </x:c>
      <x:c r="M235" s="5" t="inlineStr">
        <x:is>
          <x:t xml:space="preserve"/>
        </x:is>
      </x:c>
      <x:c r="N235" s="5" t="inlineStr">
        <x:is>
          <x:t xml:space="preserve"/>
        </x:is>
      </x:c>
      <x:c r="O235" s="5" t="inlineStr">
        <x:is>
          <x:t xml:space="preserve"/>
        </x:is>
      </x:c>
      <x:c r="P235" s="5" t="inlineStr">
        <x:is>
          <x:t xml:space="preserve"/>
        </x:is>
      </x:c>
      <x:c r="Q235" s="5" t="inlineStr">
        <x:is>
          <x:t xml:space="preserve"/>
        </x:is>
      </x:c>
      <x:c r="R235" s="5">
        <x:f>IF(OR(F235="",G235=""),"",IF(F235&gt;=0.95*G235,1,0))</x:f>
      </x:c>
      <x:c r="S235" s="7">
        <x:f>IFERROR((I235+J235+K235)/F235,"")</x:f>
      </x:c>
      <x:c r="T235" s="5">
        <x:f>IFERROR(I235+J235+K235,"")</x:f>
        <x:v>0</x:v>
      </x:c>
    </x:row>
    <x:row r="236" ht="22" customHeight="1">
      <x:c r="A236" s="5" t="inlineStr">
        <x:is>
          <x:t xml:space="preserve">P020</x:t>
        </x:is>
      </x:c>
      <x:c r="B236" s="5" t="inlineStr">
        <x:is>
          <x:t xml:space="preserve">4</x:t>
        </x:is>
      </x:c>
      <x:c r="C236" s="5" t="inlineStr">
        <x:is>
          <x:t xml:space="preserve">V02_study_recall</x:t>
        </x:is>
      </x:c>
      <x:c r="D236" s="5" t="inlineStr">
        <x:is>
          <x:t xml:space="preserve">bcc_plus</x:t>
        </x:is>
      </x:c>
      <x:c r="E236" s="5" t="inlineStr">
        <x:is>
          <x:t xml:space="preserve">muted</x:t>
        </x:is>
      </x:c>
      <x:c r="F236" s="6" t="inlineStr">
        <x:is>
          <x:t xml:space="preserve"/>
        </x:is>
      </x:c>
      <x:c r="G236" s="6" t="inlineStr">
        <x:is>
          <x:t xml:space="preserve">6</x:t>
        </x:is>
      </x:c>
      <x:c r="H236" s="5" t="inlineStr">
        <x:is>
          <x:t xml:space="preserve"/>
        </x:is>
      </x:c>
      <x:c r="I236" s="5" t="inlineStr">
        <x:is>
          <x:t xml:space="preserve"/>
        </x:is>
      </x:c>
      <x:c r="J236" s="5" t="inlineStr">
        <x:is>
          <x:t xml:space="preserve"/>
        </x:is>
      </x:c>
      <x:c r="K236" s="5" t="inlineStr">
        <x:is>
          <x:t xml:space="preserve"/>
        </x:is>
      </x:c>
      <x:c r="L236" s="5" t="inlineStr">
        <x:is>
          <x:t xml:space="preserve"/>
        </x:is>
      </x:c>
      <x:c r="M236" s="5" t="inlineStr">
        <x:is>
          <x:t xml:space="preserve"/>
        </x:is>
      </x:c>
      <x:c r="N236" s="5" t="inlineStr">
        <x:is>
          <x:t xml:space="preserve"/>
        </x:is>
      </x:c>
      <x:c r="O236" s="5" t="inlineStr">
        <x:is>
          <x:t xml:space="preserve"/>
        </x:is>
      </x:c>
      <x:c r="P236" s="5" t="inlineStr">
        <x:is>
          <x:t xml:space="preserve"/>
        </x:is>
      </x:c>
      <x:c r="Q236" s="5" t="inlineStr">
        <x:is>
          <x:t xml:space="preserve"/>
        </x:is>
      </x:c>
      <x:c r="R236" s="5">
        <x:f>IF(OR(F236="",G236=""),"",IF(F236&gt;=0.95*G236,1,0))</x:f>
      </x:c>
      <x:c r="S236" s="7">
        <x:f>IFERROR((I236+J236+K236)/F236,"")</x:f>
      </x:c>
      <x:c r="T236" s="5">
        <x:f>IFERROR(I236+J236+K236,"")</x:f>
        <x:v>0</x:v>
      </x:c>
    </x:row>
    <x:row r="237" ht="22" customHeight="1">
      <x:c r="A237" s="5" t="inlineStr">
        <x:is>
          <x:t xml:space="preserve">P020</x:t>
        </x:is>
      </x:c>
      <x:c r="B237" s="5" t="inlineStr">
        <x:is>
          <x:t xml:space="preserve">5</x:t>
        </x:is>
      </x:c>
      <x:c r="C237" s="5" t="inlineStr">
        <x:is>
          <x:t xml:space="preserve">V04_money_visibility</x:t>
        </x:is>
      </x:c>
      <x:c r="D237" s="5" t="inlineStr">
        <x:is>
          <x:t xml:space="preserve">heavy_bionic</x:t>
        </x:is>
      </x:c>
      <x:c r="E237" s="5" t="inlineStr">
        <x:is>
          <x:t xml:space="preserve">audio_on</x:t>
        </x:is>
      </x:c>
      <x:c r="F237" s="6" t="inlineStr">
        <x:is>
          <x:t xml:space="preserve"/>
        </x:is>
      </x:c>
      <x:c r="G237" s="6" t="inlineStr">
        <x:is>
          <x:t xml:space="preserve">6</x:t>
        </x:is>
      </x:c>
      <x:c r="H237" s="5" t="inlineStr">
        <x:is>
          <x:t xml:space="preserve"/>
        </x:is>
      </x:c>
      <x:c r="I237" s="5" t="inlineStr">
        <x:is>
          <x:t xml:space="preserve"/>
        </x:is>
      </x:c>
      <x:c r="J237" s="5" t="inlineStr">
        <x:is>
          <x:t xml:space="preserve"/>
        </x:is>
      </x:c>
      <x:c r="K237" s="5" t="inlineStr">
        <x:is>
          <x:t xml:space="preserve"/>
        </x:is>
      </x:c>
      <x:c r="L237" s="5" t="inlineStr">
        <x:is>
          <x:t xml:space="preserve"/>
        </x:is>
      </x:c>
      <x:c r="M237" s="5" t="inlineStr">
        <x:is>
          <x:t xml:space="preserve"/>
        </x:is>
      </x:c>
      <x:c r="N237" s="5" t="inlineStr">
        <x:is>
          <x:t xml:space="preserve"/>
        </x:is>
      </x:c>
      <x:c r="O237" s="5" t="inlineStr">
        <x:is>
          <x:t xml:space="preserve"/>
        </x:is>
      </x:c>
      <x:c r="P237" s="5" t="inlineStr">
        <x:is>
          <x:t xml:space="preserve"/>
        </x:is>
      </x:c>
      <x:c r="Q237" s="5" t="inlineStr">
        <x:is>
          <x:t xml:space="preserve"/>
        </x:is>
      </x:c>
      <x:c r="R237" s="5">
        <x:f>IF(OR(F237="",G237=""),"",IF(F237&gt;=0.95*G237,1,0))</x:f>
      </x:c>
      <x:c r="S237" s="7">
        <x:f>IFERROR((I237+J237+K237)/F237,"")</x:f>
      </x:c>
      <x:c r="T237" s="5">
        <x:f>IFERROR(I237+J237+K237,"")</x:f>
        <x:v>0</x:v>
      </x:c>
    </x:row>
    <x:row r="238" ht="22" customHeight="1">
      <x:c r="A238" s="5" t="inlineStr">
        <x:is>
          <x:t xml:space="preserve">P020</x:t>
        </x:is>
      </x:c>
      <x:c r="B238" s="5" t="inlineStr">
        <x:is>
          <x:t xml:space="preserve">6</x:t>
        </x:is>
      </x:c>
      <x:c r="C238" s="5" t="inlineStr">
        <x:is>
          <x:t xml:space="preserve">V08_calendar_system</x:t>
        </x:is>
      </x:c>
      <x:c r="D238" s="5" t="inlineStr">
        <x:is>
          <x:t xml:space="preserve">full_transcript</x:t>
        </x:is>
      </x:c>
      <x:c r="E238" s="5" t="inlineStr">
        <x:is>
          <x:t xml:space="preserve">muted</x:t>
        </x:is>
      </x:c>
      <x:c r="F238" s="6" t="inlineStr">
        <x:is>
          <x:t xml:space="preserve"/>
        </x:is>
      </x:c>
      <x:c r="G238" s="6" t="inlineStr">
        <x:is>
          <x:t xml:space="preserve">6</x:t>
        </x:is>
      </x:c>
      <x:c r="H238" s="5" t="inlineStr">
        <x:is>
          <x:t xml:space="preserve"/>
        </x:is>
      </x:c>
      <x:c r="I238" s="5" t="inlineStr">
        <x:is>
          <x:t xml:space="preserve"/>
        </x:is>
      </x:c>
      <x:c r="J238" s="5" t="inlineStr">
        <x:is>
          <x:t xml:space="preserve"/>
        </x:is>
      </x:c>
      <x:c r="K238" s="5" t="inlineStr">
        <x:is>
          <x:t xml:space="preserve"/>
        </x:is>
      </x:c>
      <x:c r="L238" s="5" t="inlineStr">
        <x:is>
          <x:t xml:space="preserve"/>
        </x:is>
      </x:c>
      <x:c r="M238" s="5" t="inlineStr">
        <x:is>
          <x:t xml:space="preserve"/>
        </x:is>
      </x:c>
      <x:c r="N238" s="5" t="inlineStr">
        <x:is>
          <x:t xml:space="preserve"/>
        </x:is>
      </x:c>
      <x:c r="O238" s="5" t="inlineStr">
        <x:is>
          <x:t xml:space="preserve"/>
        </x:is>
      </x:c>
      <x:c r="P238" s="5" t="inlineStr">
        <x:is>
          <x:t xml:space="preserve"/>
        </x:is>
      </x:c>
      <x:c r="Q238" s="5" t="inlineStr">
        <x:is>
          <x:t xml:space="preserve"/>
        </x:is>
      </x:c>
      <x:c r="R238" s="5">
        <x:f>IF(OR(F238="",G238=""),"",IF(F238&gt;=0.95*G238,1,0))</x:f>
      </x:c>
      <x:c r="S238" s="7">
        <x:f>IFERROR((I238+J238+K238)/F238,"")</x:f>
      </x:c>
      <x:c r="T238" s="5">
        <x:f>IFERROR(I238+J238+K238,"")</x:f>
        <x:v>0</x:v>
      </x:c>
    </x:row>
    <x:row r="239" ht="22" customHeight="1">
      <x:c r="A239" s="5" t="inlineStr">
        <x:is>
          <x:t xml:space="preserve">P020</x:t>
        </x:is>
      </x:c>
      <x:c r="B239" s="5" t="inlineStr">
        <x:is>
          <x:t xml:space="preserve">7</x:t>
        </x:is>
      </x:c>
      <x:c r="C239" s="5" t="inlineStr">
        <x:is>
          <x:t xml:space="preserve">V01_productivity_friction</x:t>
        </x:is>
      </x:c>
      <x:c r="D239" s="5" t="inlineStr">
        <x:is>
          <x:t xml:space="preserve">keyword_highlight</x:t>
        </x:is>
      </x:c>
      <x:c r="E239" s="5" t="inlineStr">
        <x:is>
          <x:t xml:space="preserve">audio_on</x:t>
        </x:is>
      </x:c>
      <x:c r="F239" s="6" t="inlineStr">
        <x:is>
          <x:t xml:space="preserve"/>
        </x:is>
      </x:c>
      <x:c r="G239" s="6" t="inlineStr">
        <x:is>
          <x:t xml:space="preserve">6</x:t>
        </x:is>
      </x:c>
      <x:c r="H239" s="5" t="inlineStr">
        <x:is>
          <x:t xml:space="preserve"/>
        </x:is>
      </x:c>
      <x:c r="I239" s="5" t="inlineStr">
        <x:is>
          <x:t xml:space="preserve"/>
        </x:is>
      </x:c>
      <x:c r="J239" s="5" t="inlineStr">
        <x:is>
          <x:t xml:space="preserve"/>
        </x:is>
      </x:c>
      <x:c r="K239" s="5" t="inlineStr">
        <x:is>
          <x:t xml:space="preserve"/>
        </x:is>
      </x:c>
      <x:c r="L239" s="5" t="inlineStr">
        <x:is>
          <x:t xml:space="preserve"/>
        </x:is>
      </x:c>
      <x:c r="M239" s="5" t="inlineStr">
        <x:is>
          <x:t xml:space="preserve"/>
        </x:is>
      </x:c>
      <x:c r="N239" s="5" t="inlineStr">
        <x:is>
          <x:t xml:space="preserve"/>
        </x:is>
      </x:c>
      <x:c r="O239" s="5" t="inlineStr">
        <x:is>
          <x:t xml:space="preserve"/>
        </x:is>
      </x:c>
      <x:c r="P239" s="5" t="inlineStr">
        <x:is>
          <x:t xml:space="preserve"/>
        </x:is>
      </x:c>
      <x:c r="Q239" s="5" t="inlineStr">
        <x:is>
          <x:t xml:space="preserve"/>
        </x:is>
      </x:c>
      <x:c r="R239" s="5">
        <x:f>IF(OR(F239="",G239=""),"",IF(F239&gt;=0.95*G239,1,0))</x:f>
      </x:c>
      <x:c r="S239" s="7">
        <x:f>IFERROR((I239+J239+K239)/F239,"")</x:f>
      </x:c>
      <x:c r="T239" s="5">
        <x:f>IFERROR(I239+J239+K239,"")</x:f>
        <x:v>0</x:v>
      </x:c>
    </x:row>
    <x:row r="240" ht="22" customHeight="1">
      <x:c r="A240" s="5" t="inlineStr">
        <x:is>
          <x:t xml:space="preserve">P020</x:t>
        </x:is>
      </x:c>
      <x:c r="B240" s="5" t="inlineStr">
        <x:is>
          <x:t xml:space="preserve">8</x:t>
        </x:is>
      </x:c>
      <x:c r="C240" s="5" t="inlineStr">
        <x:is>
          <x:t xml:space="preserve">V07_business_clarity</x:t>
        </x:is>
      </x:c>
      <x:c r="D240" s="5" t="inlineStr">
        <x:is>
          <x:t xml:space="preserve">semantic_compression</x:t>
        </x:is>
      </x:c>
      <x:c r="E240" s="5" t="inlineStr">
        <x:is>
          <x:t xml:space="preserve">muted</x:t>
        </x:is>
      </x:c>
      <x:c r="F240" s="6" t="inlineStr">
        <x:is>
          <x:t xml:space="preserve"/>
        </x:is>
      </x:c>
      <x:c r="G240" s="6" t="inlineStr">
        <x:is>
          <x:t xml:space="preserve">6</x:t>
        </x:is>
      </x:c>
      <x:c r="H240" s="5" t="inlineStr">
        <x:is>
          <x:t xml:space="preserve"/>
        </x:is>
      </x:c>
      <x:c r="I240" s="5" t="inlineStr">
        <x:is>
          <x:t xml:space="preserve"/>
        </x:is>
      </x:c>
      <x:c r="J240" s="5" t="inlineStr">
        <x:is>
          <x:t xml:space="preserve"/>
        </x:is>
      </x:c>
      <x:c r="K240" s="5" t="inlineStr">
        <x:is>
          <x:t xml:space="preserve"/>
        </x:is>
      </x:c>
      <x:c r="L240" s="5" t="inlineStr">
        <x:is>
          <x:t xml:space="preserve"/>
        </x:is>
      </x:c>
      <x:c r="M240" s="5" t="inlineStr">
        <x:is>
          <x:t xml:space="preserve"/>
        </x:is>
      </x:c>
      <x:c r="N240" s="5" t="inlineStr">
        <x:is>
          <x:t xml:space="preserve"/>
        </x:is>
      </x:c>
      <x:c r="O240" s="5" t="inlineStr">
        <x:is>
          <x:t xml:space="preserve"/>
        </x:is>
      </x:c>
      <x:c r="P240" s="5" t="inlineStr">
        <x:is>
          <x:t xml:space="preserve"/>
        </x:is>
      </x:c>
      <x:c r="Q240" s="5" t="inlineStr">
        <x:is>
          <x:t xml:space="preserve"/>
        </x:is>
      </x:c>
      <x:c r="R240" s="5">
        <x:f>IF(OR(F240="",G240=""),"",IF(F240&gt;=0.95*G240,1,0))</x:f>
      </x:c>
      <x:c r="S240" s="7">
        <x:f>IFERROR((I240+J240+K240)/F240,"")</x:f>
      </x:c>
      <x:c r="T240" s="5">
        <x:f>IFERROR(I240+J240+K240,"")</x:f>
        <x:v>0</x:v>
      </x:c>
    </x:row>
    <x:row r="241" ht="22" customHeight="1">
      <x:c r="A241" s="5" t="inlineStr">
        <x:is>
          <x:t xml:space="preserve">P020</x:t>
        </x:is>
      </x:c>
      <x:c r="B241" s="5" t="inlineStr">
        <x:is>
          <x:t xml:space="preserve">9</x:t>
        </x:is>
      </x:c>
      <x:c r="C241" s="5" t="inlineStr">
        <x:is>
          <x:t xml:space="preserve">V10_tutorial_ui</x:t>
        </x:is>
      </x:c>
      <x:c r="D241" s="5" t="inlineStr">
        <x:is>
          <x:t xml:space="preserve">bcc</x:t>
        </x:is>
      </x:c>
      <x:c r="E241" s="5" t="inlineStr">
        <x:is>
          <x:t xml:space="preserve">audio_on</x:t>
        </x:is>
      </x:c>
      <x:c r="F241" s="6" t="inlineStr">
        <x:is>
          <x:t xml:space="preserve"/>
        </x:is>
      </x:c>
      <x:c r="G241" s="6" t="inlineStr">
        <x:is>
          <x:t xml:space="preserve">6</x:t>
        </x:is>
      </x:c>
      <x:c r="H241" s="5" t="inlineStr">
        <x:is>
          <x:t xml:space="preserve"/>
        </x:is>
      </x:c>
      <x:c r="I241" s="5" t="inlineStr">
        <x:is>
          <x:t xml:space="preserve"/>
        </x:is>
      </x:c>
      <x:c r="J241" s="5" t="inlineStr">
        <x:is>
          <x:t xml:space="preserve"/>
        </x:is>
      </x:c>
      <x:c r="K241" s="5" t="inlineStr">
        <x:is>
          <x:t xml:space="preserve"/>
        </x:is>
      </x:c>
      <x:c r="L241" s="5" t="inlineStr">
        <x:is>
          <x:t xml:space="preserve"/>
        </x:is>
      </x:c>
      <x:c r="M241" s="5" t="inlineStr">
        <x:is>
          <x:t xml:space="preserve"/>
        </x:is>
      </x:c>
      <x:c r="N241" s="5" t="inlineStr">
        <x:is>
          <x:t xml:space="preserve"/>
        </x:is>
      </x:c>
      <x:c r="O241" s="5" t="inlineStr">
        <x:is>
          <x:t xml:space="preserve"/>
        </x:is>
      </x:c>
      <x:c r="P241" s="5" t="inlineStr">
        <x:is>
          <x:t xml:space="preserve"/>
        </x:is>
      </x:c>
      <x:c r="Q241" s="5" t="inlineStr">
        <x:is>
          <x:t xml:space="preserve"/>
        </x:is>
      </x:c>
      <x:c r="R241" s="5">
        <x:f>IF(OR(F241="",G241=""),"",IF(F241&gt;=0.95*G241,1,0))</x:f>
      </x:c>
      <x:c r="S241" s="7">
        <x:f>IFERROR((I241+J241+K241)/F241,"")</x:f>
      </x:c>
      <x:c r="T241" s="5">
        <x:f>IFERROR(I241+J241+K241,"")</x:f>
        <x:v>0</x:v>
      </x:c>
    </x:row>
    <x:row r="242" ht="22" customHeight="1">
      <x:c r="A242" s="5" t="inlineStr">
        <x:is>
          <x:t xml:space="preserve">P020</x:t>
        </x:is>
      </x:c>
      <x:c r="B242" s="5" t="inlineStr">
        <x:is>
          <x:t xml:space="preserve">10</x:t>
        </x:is>
      </x:c>
      <x:c r="C242" s="5" t="inlineStr">
        <x:is>
          <x:t xml:space="preserve">V09_nutrition_satiety</x:t>
        </x:is>
      </x:c>
      <x:c r="D242" s="5" t="inlineStr">
        <x:is>
          <x:t xml:space="preserve">bcc_plus</x:t>
        </x:is>
      </x:c>
      <x:c r="E242" s="5" t="inlineStr">
        <x:is>
          <x:t xml:space="preserve">muted</x:t>
        </x:is>
      </x:c>
      <x:c r="F242" s="6" t="inlineStr">
        <x:is>
          <x:t xml:space="preserve"/>
        </x:is>
      </x:c>
      <x:c r="G242" s="6" t="inlineStr">
        <x:is>
          <x:t xml:space="preserve">6</x:t>
        </x:is>
      </x:c>
      <x:c r="H242" s="5" t="inlineStr">
        <x:is>
          <x:t xml:space="preserve"/>
        </x:is>
      </x:c>
      <x:c r="I242" s="5" t="inlineStr">
        <x:is>
          <x:t xml:space="preserve"/>
        </x:is>
      </x:c>
      <x:c r="J242" s="5" t="inlineStr">
        <x:is>
          <x:t xml:space="preserve"/>
        </x:is>
      </x:c>
      <x:c r="K242" s="5" t="inlineStr">
        <x:is>
          <x:t xml:space="preserve"/>
        </x:is>
      </x:c>
      <x:c r="L242" s="5" t="inlineStr">
        <x:is>
          <x:t xml:space="preserve"/>
        </x:is>
      </x:c>
      <x:c r="M242" s="5" t="inlineStr">
        <x:is>
          <x:t xml:space="preserve"/>
        </x:is>
      </x:c>
      <x:c r="N242" s="5" t="inlineStr">
        <x:is>
          <x:t xml:space="preserve"/>
        </x:is>
      </x:c>
      <x:c r="O242" s="5" t="inlineStr">
        <x:is>
          <x:t xml:space="preserve"/>
        </x:is>
      </x:c>
      <x:c r="P242" s="5" t="inlineStr">
        <x:is>
          <x:t xml:space="preserve"/>
        </x:is>
      </x:c>
      <x:c r="Q242" s="5" t="inlineStr">
        <x:is>
          <x:t xml:space="preserve"/>
        </x:is>
      </x:c>
      <x:c r="R242" s="5">
        <x:f>IF(OR(F242="",G242=""),"",IF(F242&gt;=0.95*G242,1,0))</x:f>
      </x:c>
      <x:c r="S242" s="7">
        <x:f>IFERROR((I242+J242+K242)/F242,"")</x:f>
      </x:c>
      <x:c r="T242" s="5">
        <x:f>IFERROR(I242+J242+K242,"")</x:f>
        <x:v>0</x:v>
      </x:c>
    </x:row>
    <x:row r="243" ht="22" customHeight="1">
      <x:c r="A243" s="5" t="inlineStr">
        <x:is>
          <x:t xml:space="preserve">P020</x:t>
        </x:is>
      </x:c>
      <x:c r="B243" s="5" t="inlineStr">
        <x:is>
          <x:t xml:space="preserve">11</x:t>
        </x:is>
      </x:c>
      <x:c r="C243" s="5" t="inlineStr">
        <x:is>
          <x:t xml:space="preserve">V03_fitness_setup</x:t>
        </x:is>
      </x:c>
      <x:c r="D243" s="5" t="inlineStr">
        <x:is>
          <x:t xml:space="preserve">heavy_bionic</x:t>
        </x:is>
      </x:c>
      <x:c r="E243" s="5" t="inlineStr">
        <x:is>
          <x:t xml:space="preserve">audio_on</x:t>
        </x:is>
      </x:c>
      <x:c r="F243" s="6" t="inlineStr">
        <x:is>
          <x:t xml:space="preserve"/>
        </x:is>
      </x:c>
      <x:c r="G243" s="6" t="inlineStr">
        <x:is>
          <x:t xml:space="preserve">6</x:t>
        </x:is>
      </x:c>
      <x:c r="H243" s="5" t="inlineStr">
        <x:is>
          <x:t xml:space="preserve"/>
        </x:is>
      </x:c>
      <x:c r="I243" s="5" t="inlineStr">
        <x:is>
          <x:t xml:space="preserve"/>
        </x:is>
      </x:c>
      <x:c r="J243" s="5" t="inlineStr">
        <x:is>
          <x:t xml:space="preserve"/>
        </x:is>
      </x:c>
      <x:c r="K243" s="5" t="inlineStr">
        <x:is>
          <x:t xml:space="preserve"/>
        </x:is>
      </x:c>
      <x:c r="L243" s="5" t="inlineStr">
        <x:is>
          <x:t xml:space="preserve"/>
        </x:is>
      </x:c>
      <x:c r="M243" s="5" t="inlineStr">
        <x:is>
          <x:t xml:space="preserve"/>
        </x:is>
      </x:c>
      <x:c r="N243" s="5" t="inlineStr">
        <x:is>
          <x:t xml:space="preserve"/>
        </x:is>
      </x:c>
      <x:c r="O243" s="5" t="inlineStr">
        <x:is>
          <x:t xml:space="preserve"/>
        </x:is>
      </x:c>
      <x:c r="P243" s="5" t="inlineStr">
        <x:is>
          <x:t xml:space="preserve"/>
        </x:is>
      </x:c>
      <x:c r="Q243" s="5" t="inlineStr">
        <x:is>
          <x:t xml:space="preserve"/>
        </x:is>
      </x:c>
      <x:c r="R243" s="5">
        <x:f>IF(OR(F243="",G243=""),"",IF(F243&gt;=0.95*G243,1,0))</x:f>
      </x:c>
      <x:c r="S243" s="7">
        <x:f>IFERROR((I243+J243+K243)/F243,"")</x:f>
      </x:c>
      <x:c r="T243" s="5">
        <x:f>IFERROR(I243+J243+K243,"")</x:f>
        <x:v>0</x:v>
      </x:c>
    </x:row>
    <x:row r="244" ht="22" customHeight="1">
      <x:c r="A244" s="5" t="inlineStr">
        <x:is>
          <x:t xml:space="preserve">P020</x:t>
        </x:is>
      </x:c>
      <x:c r="B244" s="5" t="inlineStr">
        <x:is>
          <x:t xml:space="preserve">12</x:t>
        </x:is>
      </x:c>
      <x:c r="C244" s="5" t="inlineStr">
        <x:is>
          <x:t xml:space="preserve">V05_coding_assumptions</x:t>
        </x:is>
      </x:c>
      <x:c r="D244" s="5" t="inlineStr">
        <x:is>
          <x:t xml:space="preserve">full_transcript</x:t>
        </x:is>
      </x:c>
      <x:c r="E244" s="5" t="inlineStr">
        <x:is>
          <x:t xml:space="preserve">muted</x:t>
        </x:is>
      </x:c>
      <x:c r="F244" s="6" t="inlineStr">
        <x:is>
          <x:t xml:space="preserve"/>
        </x:is>
      </x:c>
      <x:c r="G244" s="6" t="inlineStr">
        <x:is>
          <x:t xml:space="preserve">6</x:t>
        </x:is>
      </x:c>
      <x:c r="H244" s="5" t="inlineStr">
        <x:is>
          <x:t xml:space="preserve"/>
        </x:is>
      </x:c>
      <x:c r="I244" s="5" t="inlineStr">
        <x:is>
          <x:t xml:space="preserve"/>
        </x:is>
      </x:c>
      <x:c r="J244" s="5" t="inlineStr">
        <x:is>
          <x:t xml:space="preserve"/>
        </x:is>
      </x:c>
      <x:c r="K244" s="5" t="inlineStr">
        <x:is>
          <x:t xml:space="preserve"/>
        </x:is>
      </x:c>
      <x:c r="L244" s="5" t="inlineStr">
        <x:is>
          <x:t xml:space="preserve"/>
        </x:is>
      </x:c>
      <x:c r="M244" s="5" t="inlineStr">
        <x:is>
          <x:t xml:space="preserve"/>
        </x:is>
      </x:c>
      <x:c r="N244" s="5" t="inlineStr">
        <x:is>
          <x:t xml:space="preserve"/>
        </x:is>
      </x:c>
      <x:c r="O244" s="5" t="inlineStr">
        <x:is>
          <x:t xml:space="preserve"/>
        </x:is>
      </x:c>
      <x:c r="P244" s="5" t="inlineStr">
        <x:is>
          <x:t xml:space="preserve"/>
        </x:is>
      </x:c>
      <x:c r="Q244" s="5" t="inlineStr">
        <x:is>
          <x:t xml:space="preserve"/>
        </x:is>
      </x:c>
      <x:c r="R244" s="5">
        <x:f>IF(OR(F244="",G244=""),"",IF(F244&gt;=0.95*G244,1,0))</x:f>
      </x:c>
      <x:c r="S244" s="7">
        <x:f>IFERROR((I244+J244+K244)/F244,"")</x:f>
      </x:c>
      <x:c r="T244" s="5">
        <x:f>IFERROR(I244+J244+K244,"")</x:f>
        <x:v>0</x:v>
      </x:c>
    </x:row>
    <x:row r="245" ht="22" customHeight="1">
      <x:c r="A245" s="5" t="inlineStr">
        <x:is>
          <x:t xml:space="preserve">P021</x:t>
        </x:is>
      </x:c>
      <x:c r="B245" s="5" t="inlineStr">
        <x:is>
          <x:t xml:space="preserve">1</x:t>
        </x:is>
      </x:c>
      <x:c r="C245" s="5" t="inlineStr">
        <x:is>
          <x:t xml:space="preserve">V01_productivity_friction</x:t>
        </x:is>
      </x:c>
      <x:c r="D245" s="5" t="inlineStr">
        <x:is>
          <x:t xml:space="preserve">semantic_compression</x:t>
        </x:is>
      </x:c>
      <x:c r="E245" s="5" t="inlineStr">
        <x:is>
          <x:t xml:space="preserve">muted</x:t>
        </x:is>
      </x:c>
      <x:c r="F245" s="6" t="inlineStr">
        <x:is>
          <x:t xml:space="preserve"/>
        </x:is>
      </x:c>
      <x:c r="G245" s="6" t="inlineStr">
        <x:is>
          <x:t xml:space="preserve">6</x:t>
        </x:is>
      </x:c>
      <x:c r="H245" s="5" t="inlineStr">
        <x:is>
          <x:t xml:space="preserve"/>
        </x:is>
      </x:c>
      <x:c r="I245" s="5" t="inlineStr">
        <x:is>
          <x:t xml:space="preserve"/>
        </x:is>
      </x:c>
      <x:c r="J245" s="5" t="inlineStr">
        <x:is>
          <x:t xml:space="preserve"/>
        </x:is>
      </x:c>
      <x:c r="K245" s="5" t="inlineStr">
        <x:is>
          <x:t xml:space="preserve"/>
        </x:is>
      </x:c>
      <x:c r="L245" s="5" t="inlineStr">
        <x:is>
          <x:t xml:space="preserve"/>
        </x:is>
      </x:c>
      <x:c r="M245" s="5" t="inlineStr">
        <x:is>
          <x:t xml:space="preserve"/>
        </x:is>
      </x:c>
      <x:c r="N245" s="5" t="inlineStr">
        <x:is>
          <x:t xml:space="preserve"/>
        </x:is>
      </x:c>
      <x:c r="O245" s="5" t="inlineStr">
        <x:is>
          <x:t xml:space="preserve"/>
        </x:is>
      </x:c>
      <x:c r="P245" s="5" t="inlineStr">
        <x:is>
          <x:t xml:space="preserve"/>
        </x:is>
      </x:c>
      <x:c r="Q245" s="5" t="inlineStr">
        <x:is>
          <x:t xml:space="preserve"/>
        </x:is>
      </x:c>
      <x:c r="R245" s="5">
        <x:f>IF(OR(F245="",G245=""),"",IF(F245&gt;=0.95*G245,1,0))</x:f>
      </x:c>
      <x:c r="S245" s="7">
        <x:f>IFERROR((I245+J245+K245)/F245,"")</x:f>
      </x:c>
      <x:c r="T245" s="5">
        <x:f>IFERROR(I245+J245+K245,"")</x:f>
        <x:v>0</x:v>
      </x:c>
    </x:row>
    <x:row r="246" ht="22" customHeight="1">
      <x:c r="A246" s="5" t="inlineStr">
        <x:is>
          <x:t xml:space="preserve">P021</x:t>
        </x:is>
      </x:c>
      <x:c r="B246" s="5" t="inlineStr">
        <x:is>
          <x:t xml:space="preserve">2</x:t>
        </x:is>
      </x:c>
      <x:c r="C246" s="5" t="inlineStr">
        <x:is>
          <x:t xml:space="preserve">V05_coding_assumptions</x:t>
        </x:is>
      </x:c>
      <x:c r="D246" s="5" t="inlineStr">
        <x:is>
          <x:t xml:space="preserve">bcc</x:t>
        </x:is>
      </x:c>
      <x:c r="E246" s="5" t="inlineStr">
        <x:is>
          <x:t xml:space="preserve">audio_on</x:t>
        </x:is>
      </x:c>
      <x:c r="F246" s="6" t="inlineStr">
        <x:is>
          <x:t xml:space="preserve"/>
        </x:is>
      </x:c>
      <x:c r="G246" s="6" t="inlineStr">
        <x:is>
          <x:t xml:space="preserve">6</x:t>
        </x:is>
      </x:c>
      <x:c r="H246" s="5" t="inlineStr">
        <x:is>
          <x:t xml:space="preserve"/>
        </x:is>
      </x:c>
      <x:c r="I246" s="5" t="inlineStr">
        <x:is>
          <x:t xml:space="preserve"/>
        </x:is>
      </x:c>
      <x:c r="J246" s="5" t="inlineStr">
        <x:is>
          <x:t xml:space="preserve"/>
        </x:is>
      </x:c>
      <x:c r="K246" s="5" t="inlineStr">
        <x:is>
          <x:t xml:space="preserve"/>
        </x:is>
      </x:c>
      <x:c r="L246" s="5" t="inlineStr">
        <x:is>
          <x:t xml:space="preserve"/>
        </x:is>
      </x:c>
      <x:c r="M246" s="5" t="inlineStr">
        <x:is>
          <x:t xml:space="preserve"/>
        </x:is>
      </x:c>
      <x:c r="N246" s="5" t="inlineStr">
        <x:is>
          <x:t xml:space="preserve"/>
        </x:is>
      </x:c>
      <x:c r="O246" s="5" t="inlineStr">
        <x:is>
          <x:t xml:space="preserve"/>
        </x:is>
      </x:c>
      <x:c r="P246" s="5" t="inlineStr">
        <x:is>
          <x:t xml:space="preserve"/>
        </x:is>
      </x:c>
      <x:c r="Q246" s="5" t="inlineStr">
        <x:is>
          <x:t xml:space="preserve"/>
        </x:is>
      </x:c>
      <x:c r="R246" s="5">
        <x:f>IF(OR(F246="",G246=""),"",IF(F246&gt;=0.95*G246,1,0))</x:f>
      </x:c>
      <x:c r="S246" s="7">
        <x:f>IFERROR((I246+J246+K246)/F246,"")</x:f>
      </x:c>
      <x:c r="T246" s="5">
        <x:f>IFERROR(I246+J246+K246,"")</x:f>
        <x:v>0</x:v>
      </x:c>
    </x:row>
    <x:row r="247" ht="22" customHeight="1">
      <x:c r="A247" s="5" t="inlineStr">
        <x:is>
          <x:t xml:space="preserve">P021</x:t>
        </x:is>
      </x:c>
      <x:c r="B247" s="5" t="inlineStr">
        <x:is>
          <x:t xml:space="preserve">3</x:t>
        </x:is>
      </x:c>
      <x:c r="C247" s="5" t="inlineStr">
        <x:is>
          <x:t xml:space="preserve">V10_tutorial_ui</x:t>
        </x:is>
      </x:c>
      <x:c r="D247" s="5" t="inlineStr">
        <x:is>
          <x:t xml:space="preserve">bcc_plus</x:t>
        </x:is>
      </x:c>
      <x:c r="E247" s="5" t="inlineStr">
        <x:is>
          <x:t xml:space="preserve">muted</x:t>
        </x:is>
      </x:c>
      <x:c r="F247" s="6" t="inlineStr">
        <x:is>
          <x:t xml:space="preserve"/>
        </x:is>
      </x:c>
      <x:c r="G247" s="6" t="inlineStr">
        <x:is>
          <x:t xml:space="preserve">6</x:t>
        </x:is>
      </x:c>
      <x:c r="H247" s="5" t="inlineStr">
        <x:is>
          <x:t xml:space="preserve"/>
        </x:is>
      </x:c>
      <x:c r="I247" s="5" t="inlineStr">
        <x:is>
          <x:t xml:space="preserve"/>
        </x:is>
      </x:c>
      <x:c r="J247" s="5" t="inlineStr">
        <x:is>
          <x:t xml:space="preserve"/>
        </x:is>
      </x:c>
      <x:c r="K247" s="5" t="inlineStr">
        <x:is>
          <x:t xml:space="preserve"/>
        </x:is>
      </x:c>
      <x:c r="L247" s="5" t="inlineStr">
        <x:is>
          <x:t xml:space="preserve"/>
        </x:is>
      </x:c>
      <x:c r="M247" s="5" t="inlineStr">
        <x:is>
          <x:t xml:space="preserve"/>
        </x:is>
      </x:c>
      <x:c r="N247" s="5" t="inlineStr">
        <x:is>
          <x:t xml:space="preserve"/>
        </x:is>
      </x:c>
      <x:c r="O247" s="5" t="inlineStr">
        <x:is>
          <x:t xml:space="preserve"/>
        </x:is>
      </x:c>
      <x:c r="P247" s="5" t="inlineStr">
        <x:is>
          <x:t xml:space="preserve"/>
        </x:is>
      </x:c>
      <x:c r="Q247" s="5" t="inlineStr">
        <x:is>
          <x:t xml:space="preserve"/>
        </x:is>
      </x:c>
      <x:c r="R247" s="5">
        <x:f>IF(OR(F247="",G247=""),"",IF(F247&gt;=0.95*G247,1,0))</x:f>
      </x:c>
      <x:c r="S247" s="7">
        <x:f>IFERROR((I247+J247+K247)/F247,"")</x:f>
      </x:c>
      <x:c r="T247" s="5">
        <x:f>IFERROR(I247+J247+K247,"")</x:f>
        <x:v>0</x:v>
      </x:c>
    </x:row>
    <x:row r="248" ht="22" customHeight="1">
      <x:c r="A248" s="5" t="inlineStr">
        <x:is>
          <x:t xml:space="preserve">P021</x:t>
        </x:is>
      </x:c>
      <x:c r="B248" s="5" t="inlineStr">
        <x:is>
          <x:t xml:space="preserve">4</x:t>
        </x:is>
      </x:c>
      <x:c r="C248" s="5" t="inlineStr">
        <x:is>
          <x:t xml:space="preserve">V07_business_clarity</x:t>
        </x:is>
      </x:c>
      <x:c r="D248" s="5" t="inlineStr">
        <x:is>
          <x:t xml:space="preserve">heavy_bionic</x:t>
        </x:is>
      </x:c>
      <x:c r="E248" s="5" t="inlineStr">
        <x:is>
          <x:t xml:space="preserve">audio_on</x:t>
        </x:is>
      </x:c>
      <x:c r="F248" s="6" t="inlineStr">
        <x:is>
          <x:t xml:space="preserve"/>
        </x:is>
      </x:c>
      <x:c r="G248" s="6" t="inlineStr">
        <x:is>
          <x:t xml:space="preserve">6</x:t>
        </x:is>
      </x:c>
      <x:c r="H248" s="5" t="inlineStr">
        <x:is>
          <x:t xml:space="preserve"/>
        </x:is>
      </x:c>
      <x:c r="I248" s="5" t="inlineStr">
        <x:is>
          <x:t xml:space="preserve"/>
        </x:is>
      </x:c>
      <x:c r="J248" s="5" t="inlineStr">
        <x:is>
          <x:t xml:space="preserve"/>
        </x:is>
      </x:c>
      <x:c r="K248" s="5" t="inlineStr">
        <x:is>
          <x:t xml:space="preserve"/>
        </x:is>
      </x:c>
      <x:c r="L248" s="5" t="inlineStr">
        <x:is>
          <x:t xml:space="preserve"/>
        </x:is>
      </x:c>
      <x:c r="M248" s="5" t="inlineStr">
        <x:is>
          <x:t xml:space="preserve"/>
        </x:is>
      </x:c>
      <x:c r="N248" s="5" t="inlineStr">
        <x:is>
          <x:t xml:space="preserve"/>
        </x:is>
      </x:c>
      <x:c r="O248" s="5" t="inlineStr">
        <x:is>
          <x:t xml:space="preserve"/>
        </x:is>
      </x:c>
      <x:c r="P248" s="5" t="inlineStr">
        <x:is>
          <x:t xml:space="preserve"/>
        </x:is>
      </x:c>
      <x:c r="Q248" s="5" t="inlineStr">
        <x:is>
          <x:t xml:space="preserve"/>
        </x:is>
      </x:c>
      <x:c r="R248" s="5">
        <x:f>IF(OR(F248="",G248=""),"",IF(F248&gt;=0.95*G248,1,0))</x:f>
      </x:c>
      <x:c r="S248" s="7">
        <x:f>IFERROR((I248+J248+K248)/F248,"")</x:f>
      </x:c>
      <x:c r="T248" s="5">
        <x:f>IFERROR(I248+J248+K248,"")</x:f>
        <x:v>0</x:v>
      </x:c>
    </x:row>
    <x:row r="249" ht="22" customHeight="1">
      <x:c r="A249" s="5" t="inlineStr">
        <x:is>
          <x:t xml:space="preserve">P021</x:t>
        </x:is>
      </x:c>
      <x:c r="B249" s="5" t="inlineStr">
        <x:is>
          <x:t xml:space="preserve">5</x:t>
        </x:is>
      </x:c>
      <x:c r="C249" s="5" t="inlineStr">
        <x:is>
          <x:t xml:space="preserve">V06_overload_open_loops</x:t>
        </x:is>
      </x:c>
      <x:c r="D249" s="5" t="inlineStr">
        <x:is>
          <x:t xml:space="preserve">full_transcript</x:t>
        </x:is>
      </x:c>
      <x:c r="E249" s="5" t="inlineStr">
        <x:is>
          <x:t xml:space="preserve">muted</x:t>
        </x:is>
      </x:c>
      <x:c r="F249" s="6" t="inlineStr">
        <x:is>
          <x:t xml:space="preserve"/>
        </x:is>
      </x:c>
      <x:c r="G249" s="6" t="inlineStr">
        <x:is>
          <x:t xml:space="preserve">6</x:t>
        </x:is>
      </x:c>
      <x:c r="H249" s="5" t="inlineStr">
        <x:is>
          <x:t xml:space="preserve"/>
        </x:is>
      </x:c>
      <x:c r="I249" s="5" t="inlineStr">
        <x:is>
          <x:t xml:space="preserve"/>
        </x:is>
      </x:c>
      <x:c r="J249" s="5" t="inlineStr">
        <x:is>
          <x:t xml:space="preserve"/>
        </x:is>
      </x:c>
      <x:c r="K249" s="5" t="inlineStr">
        <x:is>
          <x:t xml:space="preserve"/>
        </x:is>
      </x:c>
      <x:c r="L249" s="5" t="inlineStr">
        <x:is>
          <x:t xml:space="preserve"/>
        </x:is>
      </x:c>
      <x:c r="M249" s="5" t="inlineStr">
        <x:is>
          <x:t xml:space="preserve"/>
        </x:is>
      </x:c>
      <x:c r="N249" s="5" t="inlineStr">
        <x:is>
          <x:t xml:space="preserve"/>
        </x:is>
      </x:c>
      <x:c r="O249" s="5" t="inlineStr">
        <x:is>
          <x:t xml:space="preserve"/>
        </x:is>
      </x:c>
      <x:c r="P249" s="5" t="inlineStr">
        <x:is>
          <x:t xml:space="preserve"/>
        </x:is>
      </x:c>
      <x:c r="Q249" s="5" t="inlineStr">
        <x:is>
          <x:t xml:space="preserve"/>
        </x:is>
      </x:c>
      <x:c r="R249" s="5">
        <x:f>IF(OR(F249="",G249=""),"",IF(F249&gt;=0.95*G249,1,0))</x:f>
      </x:c>
      <x:c r="S249" s="7">
        <x:f>IFERROR((I249+J249+K249)/F249,"")</x:f>
      </x:c>
      <x:c r="T249" s="5">
        <x:f>IFERROR(I249+J249+K249,"")</x:f>
        <x:v>0</x:v>
      </x:c>
    </x:row>
    <x:row r="250" ht="22" customHeight="1">
      <x:c r="A250" s="5" t="inlineStr">
        <x:is>
          <x:t xml:space="preserve">P021</x:t>
        </x:is>
      </x:c>
      <x:c r="B250" s="5" t="inlineStr">
        <x:is>
          <x:t xml:space="preserve">6</x:t>
        </x:is>
      </x:c>
      <x:c r="C250" s="5" t="inlineStr">
        <x:is>
          <x:t xml:space="preserve">V12_creativity_constraints</x:t>
        </x:is>
      </x:c>
      <x:c r="D250" s="5" t="inlineStr">
        <x:is>
          <x:t xml:space="preserve">keyword_highlight</x:t>
        </x:is>
      </x:c>
      <x:c r="E250" s="5" t="inlineStr">
        <x:is>
          <x:t xml:space="preserve">audio_on</x:t>
        </x:is>
      </x:c>
      <x:c r="F250" s="6" t="inlineStr">
        <x:is>
          <x:t xml:space="preserve"/>
        </x:is>
      </x:c>
      <x:c r="G250" s="6" t="inlineStr">
        <x:is>
          <x:t xml:space="preserve">6</x:t>
        </x:is>
      </x:c>
      <x:c r="H250" s="5" t="inlineStr">
        <x:is>
          <x:t xml:space="preserve"/>
        </x:is>
      </x:c>
      <x:c r="I250" s="5" t="inlineStr">
        <x:is>
          <x:t xml:space="preserve"/>
        </x:is>
      </x:c>
      <x:c r="J250" s="5" t="inlineStr">
        <x:is>
          <x:t xml:space="preserve"/>
        </x:is>
      </x:c>
      <x:c r="K250" s="5" t="inlineStr">
        <x:is>
          <x:t xml:space="preserve"/>
        </x:is>
      </x:c>
      <x:c r="L250" s="5" t="inlineStr">
        <x:is>
          <x:t xml:space="preserve"/>
        </x:is>
      </x:c>
      <x:c r="M250" s="5" t="inlineStr">
        <x:is>
          <x:t xml:space="preserve"/>
        </x:is>
      </x:c>
      <x:c r="N250" s="5" t="inlineStr">
        <x:is>
          <x:t xml:space="preserve"/>
        </x:is>
      </x:c>
      <x:c r="O250" s="5" t="inlineStr">
        <x:is>
          <x:t xml:space="preserve"/>
        </x:is>
      </x:c>
      <x:c r="P250" s="5" t="inlineStr">
        <x:is>
          <x:t xml:space="preserve"/>
        </x:is>
      </x:c>
      <x:c r="Q250" s="5" t="inlineStr">
        <x:is>
          <x:t xml:space="preserve"/>
        </x:is>
      </x:c>
      <x:c r="R250" s="5">
        <x:f>IF(OR(F250="",G250=""),"",IF(F250&gt;=0.95*G250,1,0))</x:f>
      </x:c>
      <x:c r="S250" s="7">
        <x:f>IFERROR((I250+J250+K250)/F250,"")</x:f>
      </x:c>
      <x:c r="T250" s="5">
        <x:f>IFERROR(I250+J250+K250,"")</x:f>
        <x:v>0</x:v>
      </x:c>
    </x:row>
    <x:row r="251" ht="22" customHeight="1">
      <x:c r="A251" s="5" t="inlineStr">
        <x:is>
          <x:t xml:space="preserve">P021</x:t>
        </x:is>
      </x:c>
      <x:c r="B251" s="5" t="inlineStr">
        <x:is>
          <x:t xml:space="preserve">7</x:t>
        </x:is>
      </x:c>
      <x:c r="C251" s="5" t="inlineStr">
        <x:is>
          <x:t xml:space="preserve">V03_fitness_setup</x:t>
        </x:is>
      </x:c>
      <x:c r="D251" s="5" t="inlineStr">
        <x:is>
          <x:t xml:space="preserve">semantic_compression</x:t>
        </x:is>
      </x:c>
      <x:c r="E251" s="5" t="inlineStr">
        <x:is>
          <x:t xml:space="preserve">muted</x:t>
        </x:is>
      </x:c>
      <x:c r="F251" s="6" t="inlineStr">
        <x:is>
          <x:t xml:space="preserve"/>
        </x:is>
      </x:c>
      <x:c r="G251" s="6" t="inlineStr">
        <x:is>
          <x:t xml:space="preserve">6</x:t>
        </x:is>
      </x:c>
      <x:c r="H251" s="5" t="inlineStr">
        <x:is>
          <x:t xml:space="preserve"/>
        </x:is>
      </x:c>
      <x:c r="I251" s="5" t="inlineStr">
        <x:is>
          <x:t xml:space="preserve"/>
        </x:is>
      </x:c>
      <x:c r="J251" s="5" t="inlineStr">
        <x:is>
          <x:t xml:space="preserve"/>
        </x:is>
      </x:c>
      <x:c r="K251" s="5" t="inlineStr">
        <x:is>
          <x:t xml:space="preserve"/>
        </x:is>
      </x:c>
      <x:c r="L251" s="5" t="inlineStr">
        <x:is>
          <x:t xml:space="preserve"/>
        </x:is>
      </x:c>
      <x:c r="M251" s="5" t="inlineStr">
        <x:is>
          <x:t xml:space="preserve"/>
        </x:is>
      </x:c>
      <x:c r="N251" s="5" t="inlineStr">
        <x:is>
          <x:t xml:space="preserve"/>
        </x:is>
      </x:c>
      <x:c r="O251" s="5" t="inlineStr">
        <x:is>
          <x:t xml:space="preserve"/>
        </x:is>
      </x:c>
      <x:c r="P251" s="5" t="inlineStr">
        <x:is>
          <x:t xml:space="preserve"/>
        </x:is>
      </x:c>
      <x:c r="Q251" s="5" t="inlineStr">
        <x:is>
          <x:t xml:space="preserve"/>
        </x:is>
      </x:c>
      <x:c r="R251" s="5">
        <x:f>IF(OR(F251="",G251=""),"",IF(F251&gt;=0.95*G251,1,0))</x:f>
      </x:c>
      <x:c r="S251" s="7">
        <x:f>IFERROR((I251+J251+K251)/F251,"")</x:f>
      </x:c>
      <x:c r="T251" s="5">
        <x:f>IFERROR(I251+J251+K251,"")</x:f>
        <x:v>0</x:v>
      </x:c>
    </x:row>
    <x:row r="252" ht="22" customHeight="1">
      <x:c r="A252" s="5" t="inlineStr">
        <x:is>
          <x:t xml:space="preserve">P021</x:t>
        </x:is>
      </x:c>
      <x:c r="B252" s="5" t="inlineStr">
        <x:is>
          <x:t xml:space="preserve">8</x:t>
        </x:is>
      </x:c>
      <x:c r="C252" s="5" t="inlineStr">
        <x:is>
          <x:t xml:space="preserve">V02_study_recall</x:t>
        </x:is>
      </x:c>
      <x:c r="D252" s="5" t="inlineStr">
        <x:is>
          <x:t xml:space="preserve">bcc</x:t>
        </x:is>
      </x:c>
      <x:c r="E252" s="5" t="inlineStr">
        <x:is>
          <x:t xml:space="preserve">audio_on</x:t>
        </x:is>
      </x:c>
      <x:c r="F252" s="6" t="inlineStr">
        <x:is>
          <x:t xml:space="preserve"/>
        </x:is>
      </x:c>
      <x:c r="G252" s="6" t="inlineStr">
        <x:is>
          <x:t xml:space="preserve">6</x:t>
        </x:is>
      </x:c>
      <x:c r="H252" s="5" t="inlineStr">
        <x:is>
          <x:t xml:space="preserve"/>
        </x:is>
      </x:c>
      <x:c r="I252" s="5" t="inlineStr">
        <x:is>
          <x:t xml:space="preserve"/>
        </x:is>
      </x:c>
      <x:c r="J252" s="5" t="inlineStr">
        <x:is>
          <x:t xml:space="preserve"/>
        </x:is>
      </x:c>
      <x:c r="K252" s="5" t="inlineStr">
        <x:is>
          <x:t xml:space="preserve"/>
        </x:is>
      </x:c>
      <x:c r="L252" s="5" t="inlineStr">
        <x:is>
          <x:t xml:space="preserve"/>
        </x:is>
      </x:c>
      <x:c r="M252" s="5" t="inlineStr">
        <x:is>
          <x:t xml:space="preserve"/>
        </x:is>
      </x:c>
      <x:c r="N252" s="5" t="inlineStr">
        <x:is>
          <x:t xml:space="preserve"/>
        </x:is>
      </x:c>
      <x:c r="O252" s="5" t="inlineStr">
        <x:is>
          <x:t xml:space="preserve"/>
        </x:is>
      </x:c>
      <x:c r="P252" s="5" t="inlineStr">
        <x:is>
          <x:t xml:space="preserve"/>
        </x:is>
      </x:c>
      <x:c r="Q252" s="5" t="inlineStr">
        <x:is>
          <x:t xml:space="preserve"/>
        </x:is>
      </x:c>
      <x:c r="R252" s="5">
        <x:f>IF(OR(F252="",G252=""),"",IF(F252&gt;=0.95*G252,1,0))</x:f>
      </x:c>
      <x:c r="S252" s="7">
        <x:f>IFERROR((I252+J252+K252)/F252,"")</x:f>
      </x:c>
      <x:c r="T252" s="5">
        <x:f>IFERROR(I252+J252+K252,"")</x:f>
        <x:v>0</x:v>
      </x:c>
    </x:row>
    <x:row r="253" ht="22" customHeight="1">
      <x:c r="A253" s="5" t="inlineStr">
        <x:is>
          <x:t xml:space="preserve">P021</x:t>
        </x:is>
      </x:c>
      <x:c r="B253" s="5" t="inlineStr">
        <x:is>
          <x:t xml:space="preserve">9</x:t>
        </x:is>
      </x:c>
      <x:c r="C253" s="5" t="inlineStr">
        <x:is>
          <x:t xml:space="preserve">V08_calendar_system</x:t>
        </x:is>
      </x:c>
      <x:c r="D253" s="5" t="inlineStr">
        <x:is>
          <x:t xml:space="preserve">bcc_plus</x:t>
        </x:is>
      </x:c>
      <x:c r="E253" s="5" t="inlineStr">
        <x:is>
          <x:t xml:space="preserve">muted</x:t>
        </x:is>
      </x:c>
      <x:c r="F253" s="6" t="inlineStr">
        <x:is>
          <x:t xml:space="preserve"/>
        </x:is>
      </x:c>
      <x:c r="G253" s="6" t="inlineStr">
        <x:is>
          <x:t xml:space="preserve">6</x:t>
        </x:is>
      </x:c>
      <x:c r="H253" s="5" t="inlineStr">
        <x:is>
          <x:t xml:space="preserve"/>
        </x:is>
      </x:c>
      <x:c r="I253" s="5" t="inlineStr">
        <x:is>
          <x:t xml:space="preserve"/>
        </x:is>
      </x:c>
      <x:c r="J253" s="5" t="inlineStr">
        <x:is>
          <x:t xml:space="preserve"/>
        </x:is>
      </x:c>
      <x:c r="K253" s="5" t="inlineStr">
        <x:is>
          <x:t xml:space="preserve"/>
        </x:is>
      </x:c>
      <x:c r="L253" s="5" t="inlineStr">
        <x:is>
          <x:t xml:space="preserve"/>
        </x:is>
      </x:c>
      <x:c r="M253" s="5" t="inlineStr">
        <x:is>
          <x:t xml:space="preserve"/>
        </x:is>
      </x:c>
      <x:c r="N253" s="5" t="inlineStr">
        <x:is>
          <x:t xml:space="preserve"/>
        </x:is>
      </x:c>
      <x:c r="O253" s="5" t="inlineStr">
        <x:is>
          <x:t xml:space="preserve"/>
        </x:is>
      </x:c>
      <x:c r="P253" s="5" t="inlineStr">
        <x:is>
          <x:t xml:space="preserve"/>
        </x:is>
      </x:c>
      <x:c r="Q253" s="5" t="inlineStr">
        <x:is>
          <x:t xml:space="preserve"/>
        </x:is>
      </x:c>
      <x:c r="R253" s="5">
        <x:f>IF(OR(F253="",G253=""),"",IF(F253&gt;=0.95*G253,1,0))</x:f>
      </x:c>
      <x:c r="S253" s="7">
        <x:f>IFERROR((I253+J253+K253)/F253,"")</x:f>
      </x:c>
      <x:c r="T253" s="5">
        <x:f>IFERROR(I253+J253+K253,"")</x:f>
        <x:v>0</x:v>
      </x:c>
    </x:row>
    <x:row r="254" ht="22" customHeight="1">
      <x:c r="A254" s="5" t="inlineStr">
        <x:is>
          <x:t xml:space="preserve">P021</x:t>
        </x:is>
      </x:c>
      <x:c r="B254" s="5" t="inlineStr">
        <x:is>
          <x:t xml:space="preserve">10</x:t>
        </x:is>
      </x:c>
      <x:c r="C254" s="5" t="inlineStr">
        <x:is>
          <x:t xml:space="preserve">V11_story_burnout</x:t>
        </x:is>
      </x:c>
      <x:c r="D254" s="5" t="inlineStr">
        <x:is>
          <x:t xml:space="preserve">heavy_bionic</x:t>
        </x:is>
      </x:c>
      <x:c r="E254" s="5" t="inlineStr">
        <x:is>
          <x:t xml:space="preserve">audio_on</x:t>
        </x:is>
      </x:c>
      <x:c r="F254" s="6" t="inlineStr">
        <x:is>
          <x:t xml:space="preserve"/>
        </x:is>
      </x:c>
      <x:c r="G254" s="6" t="inlineStr">
        <x:is>
          <x:t xml:space="preserve">6</x:t>
        </x:is>
      </x:c>
      <x:c r="H254" s="5" t="inlineStr">
        <x:is>
          <x:t xml:space="preserve"/>
        </x:is>
      </x:c>
      <x:c r="I254" s="5" t="inlineStr">
        <x:is>
          <x:t xml:space="preserve"/>
        </x:is>
      </x:c>
      <x:c r="J254" s="5" t="inlineStr">
        <x:is>
          <x:t xml:space="preserve"/>
        </x:is>
      </x:c>
      <x:c r="K254" s="5" t="inlineStr">
        <x:is>
          <x:t xml:space="preserve"/>
        </x:is>
      </x:c>
      <x:c r="L254" s="5" t="inlineStr">
        <x:is>
          <x:t xml:space="preserve"/>
        </x:is>
      </x:c>
      <x:c r="M254" s="5" t="inlineStr">
        <x:is>
          <x:t xml:space="preserve"/>
        </x:is>
      </x:c>
      <x:c r="N254" s="5" t="inlineStr">
        <x:is>
          <x:t xml:space="preserve"/>
        </x:is>
      </x:c>
      <x:c r="O254" s="5" t="inlineStr">
        <x:is>
          <x:t xml:space="preserve"/>
        </x:is>
      </x:c>
      <x:c r="P254" s="5" t="inlineStr">
        <x:is>
          <x:t xml:space="preserve"/>
        </x:is>
      </x:c>
      <x:c r="Q254" s="5" t="inlineStr">
        <x:is>
          <x:t xml:space="preserve"/>
        </x:is>
      </x:c>
      <x:c r="R254" s="5">
        <x:f>IF(OR(F254="",G254=""),"",IF(F254&gt;=0.95*G254,1,0))</x:f>
      </x:c>
      <x:c r="S254" s="7">
        <x:f>IFERROR((I254+J254+K254)/F254,"")</x:f>
      </x:c>
      <x:c r="T254" s="5">
        <x:f>IFERROR(I254+J254+K254,"")</x:f>
        <x:v>0</x:v>
      </x:c>
    </x:row>
    <x:row r="255" ht="22" customHeight="1">
      <x:c r="A255" s="5" t="inlineStr">
        <x:is>
          <x:t xml:space="preserve">P021</x:t>
        </x:is>
      </x:c>
      <x:c r="B255" s="5" t="inlineStr">
        <x:is>
          <x:t xml:space="preserve">11</x:t>
        </x:is>
      </x:c>
      <x:c r="C255" s="5" t="inlineStr">
        <x:is>
          <x:t xml:space="preserve">V04_money_visibility</x:t>
        </x:is>
      </x:c>
      <x:c r="D255" s="5" t="inlineStr">
        <x:is>
          <x:t xml:space="preserve">full_transcript</x:t>
        </x:is>
      </x:c>
      <x:c r="E255" s="5" t="inlineStr">
        <x:is>
          <x:t xml:space="preserve">muted</x:t>
        </x:is>
      </x:c>
      <x:c r="F255" s="6" t="inlineStr">
        <x:is>
          <x:t xml:space="preserve"/>
        </x:is>
      </x:c>
      <x:c r="G255" s="6" t="inlineStr">
        <x:is>
          <x:t xml:space="preserve">6</x:t>
        </x:is>
      </x:c>
      <x:c r="H255" s="5" t="inlineStr">
        <x:is>
          <x:t xml:space="preserve"/>
        </x:is>
      </x:c>
      <x:c r="I255" s="5" t="inlineStr">
        <x:is>
          <x:t xml:space="preserve"/>
        </x:is>
      </x:c>
      <x:c r="J255" s="5" t="inlineStr">
        <x:is>
          <x:t xml:space="preserve"/>
        </x:is>
      </x:c>
      <x:c r="K255" s="5" t="inlineStr">
        <x:is>
          <x:t xml:space="preserve"/>
        </x:is>
      </x:c>
      <x:c r="L255" s="5" t="inlineStr">
        <x:is>
          <x:t xml:space="preserve"/>
        </x:is>
      </x:c>
      <x:c r="M255" s="5" t="inlineStr">
        <x:is>
          <x:t xml:space="preserve"/>
        </x:is>
      </x:c>
      <x:c r="N255" s="5" t="inlineStr">
        <x:is>
          <x:t xml:space="preserve"/>
        </x:is>
      </x:c>
      <x:c r="O255" s="5" t="inlineStr">
        <x:is>
          <x:t xml:space="preserve"/>
        </x:is>
      </x:c>
      <x:c r="P255" s="5" t="inlineStr">
        <x:is>
          <x:t xml:space="preserve"/>
        </x:is>
      </x:c>
      <x:c r="Q255" s="5" t="inlineStr">
        <x:is>
          <x:t xml:space="preserve"/>
        </x:is>
      </x:c>
      <x:c r="R255" s="5">
        <x:f>IF(OR(F255="",G255=""),"",IF(F255&gt;=0.95*G255,1,0))</x:f>
      </x:c>
      <x:c r="S255" s="7">
        <x:f>IFERROR((I255+J255+K255)/F255,"")</x:f>
      </x:c>
      <x:c r="T255" s="5">
        <x:f>IFERROR(I255+J255+K255,"")</x:f>
        <x:v>0</x:v>
      </x:c>
    </x:row>
    <x:row r="256" ht="22" customHeight="1">
      <x:c r="A256" s="5" t="inlineStr">
        <x:is>
          <x:t xml:space="preserve">P021</x:t>
        </x:is>
      </x:c>
      <x:c r="B256" s="5" t="inlineStr">
        <x:is>
          <x:t xml:space="preserve">12</x:t>
        </x:is>
      </x:c>
      <x:c r="C256" s="5" t="inlineStr">
        <x:is>
          <x:t xml:space="preserve">V09_nutrition_satiety</x:t>
        </x:is>
      </x:c>
      <x:c r="D256" s="5" t="inlineStr">
        <x:is>
          <x:t xml:space="preserve">keyword_highlight</x:t>
        </x:is>
      </x:c>
      <x:c r="E256" s="5" t="inlineStr">
        <x:is>
          <x:t xml:space="preserve">audio_on</x:t>
        </x:is>
      </x:c>
      <x:c r="F256" s="6" t="inlineStr">
        <x:is>
          <x:t xml:space="preserve"/>
        </x:is>
      </x:c>
      <x:c r="G256" s="6" t="inlineStr">
        <x:is>
          <x:t xml:space="preserve">6</x:t>
        </x:is>
      </x:c>
      <x:c r="H256" s="5" t="inlineStr">
        <x:is>
          <x:t xml:space="preserve"/>
        </x:is>
      </x:c>
      <x:c r="I256" s="5" t="inlineStr">
        <x:is>
          <x:t xml:space="preserve"/>
        </x:is>
      </x:c>
      <x:c r="J256" s="5" t="inlineStr">
        <x:is>
          <x:t xml:space="preserve"/>
        </x:is>
      </x:c>
      <x:c r="K256" s="5" t="inlineStr">
        <x:is>
          <x:t xml:space="preserve"/>
        </x:is>
      </x:c>
      <x:c r="L256" s="5" t="inlineStr">
        <x:is>
          <x:t xml:space="preserve"/>
        </x:is>
      </x:c>
      <x:c r="M256" s="5" t="inlineStr">
        <x:is>
          <x:t xml:space="preserve"/>
        </x:is>
      </x:c>
      <x:c r="N256" s="5" t="inlineStr">
        <x:is>
          <x:t xml:space="preserve"/>
        </x:is>
      </x:c>
      <x:c r="O256" s="5" t="inlineStr">
        <x:is>
          <x:t xml:space="preserve"/>
        </x:is>
      </x:c>
      <x:c r="P256" s="5" t="inlineStr">
        <x:is>
          <x:t xml:space="preserve"/>
        </x:is>
      </x:c>
      <x:c r="Q256" s="5" t="inlineStr">
        <x:is>
          <x:t xml:space="preserve"/>
        </x:is>
      </x:c>
      <x:c r="R256" s="5">
        <x:f>IF(OR(F256="",G256=""),"",IF(F256&gt;=0.95*G256,1,0))</x:f>
      </x:c>
      <x:c r="S256" s="7">
        <x:f>IFERROR((I256+J256+K256)/F256,"")</x:f>
      </x:c>
      <x:c r="T256" s="5">
        <x:f>IFERROR(I256+J256+K256,"")</x:f>
        <x:v>0</x:v>
      </x:c>
    </x:row>
    <x:row r="257" ht="22" customHeight="1">
      <x:c r="A257" s="5" t="inlineStr">
        <x:is>
          <x:t xml:space="preserve">P022</x:t>
        </x:is>
      </x:c>
      <x:c r="B257" s="5" t="inlineStr">
        <x:is>
          <x:t xml:space="preserve">1</x:t>
        </x:is>
      </x:c>
      <x:c r="C257" s="5" t="inlineStr">
        <x:is>
          <x:t xml:space="preserve">V11_story_burnout</x:t>
        </x:is>
      </x:c>
      <x:c r="D257" s="5" t="inlineStr">
        <x:is>
          <x:t xml:space="preserve">bcc</x:t>
        </x:is>
      </x:c>
      <x:c r="E257" s="5" t="inlineStr">
        <x:is>
          <x:t xml:space="preserve">audio_on</x:t>
        </x:is>
      </x:c>
      <x:c r="F257" s="6" t="inlineStr">
        <x:is>
          <x:t xml:space="preserve"/>
        </x:is>
      </x:c>
      <x:c r="G257" s="6" t="inlineStr">
        <x:is>
          <x:t xml:space="preserve">6</x:t>
        </x:is>
      </x:c>
      <x:c r="H257" s="5" t="inlineStr">
        <x:is>
          <x:t xml:space="preserve"/>
        </x:is>
      </x:c>
      <x:c r="I257" s="5" t="inlineStr">
        <x:is>
          <x:t xml:space="preserve"/>
        </x:is>
      </x:c>
      <x:c r="J257" s="5" t="inlineStr">
        <x:is>
          <x:t xml:space="preserve"/>
        </x:is>
      </x:c>
      <x:c r="K257" s="5" t="inlineStr">
        <x:is>
          <x:t xml:space="preserve"/>
        </x:is>
      </x:c>
      <x:c r="L257" s="5" t="inlineStr">
        <x:is>
          <x:t xml:space="preserve"/>
        </x:is>
      </x:c>
      <x:c r="M257" s="5" t="inlineStr">
        <x:is>
          <x:t xml:space="preserve"/>
        </x:is>
      </x:c>
      <x:c r="N257" s="5" t="inlineStr">
        <x:is>
          <x:t xml:space="preserve"/>
        </x:is>
      </x:c>
      <x:c r="O257" s="5" t="inlineStr">
        <x:is>
          <x:t xml:space="preserve"/>
        </x:is>
      </x:c>
      <x:c r="P257" s="5" t="inlineStr">
        <x:is>
          <x:t xml:space="preserve"/>
        </x:is>
      </x:c>
      <x:c r="Q257" s="5" t="inlineStr">
        <x:is>
          <x:t xml:space="preserve"/>
        </x:is>
      </x:c>
      <x:c r="R257" s="5">
        <x:f>IF(OR(F257="",G257=""),"",IF(F257&gt;=0.95*G257,1,0))</x:f>
      </x:c>
      <x:c r="S257" s="7">
        <x:f>IFERROR((I257+J257+K257)/F257,"")</x:f>
      </x:c>
      <x:c r="T257" s="5">
        <x:f>IFERROR(I257+J257+K257,"")</x:f>
        <x:v>0</x:v>
      </x:c>
    </x:row>
    <x:row r="258" ht="22" customHeight="1">
      <x:c r="A258" s="5" t="inlineStr">
        <x:is>
          <x:t xml:space="preserve">P022</x:t>
        </x:is>
      </x:c>
      <x:c r="B258" s="5" t="inlineStr">
        <x:is>
          <x:t xml:space="preserve">2</x:t>
        </x:is>
      </x:c>
      <x:c r="C258" s="5" t="inlineStr">
        <x:is>
          <x:t xml:space="preserve">V01_productivity_friction</x:t>
        </x:is>
      </x:c>
      <x:c r="D258" s="5" t="inlineStr">
        <x:is>
          <x:t xml:space="preserve">bcc_plus</x:t>
        </x:is>
      </x:c>
      <x:c r="E258" s="5" t="inlineStr">
        <x:is>
          <x:t xml:space="preserve">muted</x:t>
        </x:is>
      </x:c>
      <x:c r="F258" s="6" t="inlineStr">
        <x:is>
          <x:t xml:space="preserve"/>
        </x:is>
      </x:c>
      <x:c r="G258" s="6" t="inlineStr">
        <x:is>
          <x:t xml:space="preserve">6</x:t>
        </x:is>
      </x:c>
      <x:c r="H258" s="5" t="inlineStr">
        <x:is>
          <x:t xml:space="preserve"/>
        </x:is>
      </x:c>
      <x:c r="I258" s="5" t="inlineStr">
        <x:is>
          <x:t xml:space="preserve"/>
        </x:is>
      </x:c>
      <x:c r="J258" s="5" t="inlineStr">
        <x:is>
          <x:t xml:space="preserve"/>
        </x:is>
      </x:c>
      <x:c r="K258" s="5" t="inlineStr">
        <x:is>
          <x:t xml:space="preserve"/>
        </x:is>
      </x:c>
      <x:c r="L258" s="5" t="inlineStr">
        <x:is>
          <x:t xml:space="preserve"/>
        </x:is>
      </x:c>
      <x:c r="M258" s="5" t="inlineStr">
        <x:is>
          <x:t xml:space="preserve"/>
        </x:is>
      </x:c>
      <x:c r="N258" s="5" t="inlineStr">
        <x:is>
          <x:t xml:space="preserve"/>
        </x:is>
      </x:c>
      <x:c r="O258" s="5" t="inlineStr">
        <x:is>
          <x:t xml:space="preserve"/>
        </x:is>
      </x:c>
      <x:c r="P258" s="5" t="inlineStr">
        <x:is>
          <x:t xml:space="preserve"/>
        </x:is>
      </x:c>
      <x:c r="Q258" s="5" t="inlineStr">
        <x:is>
          <x:t xml:space="preserve"/>
        </x:is>
      </x:c>
      <x:c r="R258" s="5">
        <x:f>IF(OR(F258="",G258=""),"",IF(F258&gt;=0.95*G258,1,0))</x:f>
      </x:c>
      <x:c r="S258" s="7">
        <x:f>IFERROR((I258+J258+K258)/F258,"")</x:f>
      </x:c>
      <x:c r="T258" s="5">
        <x:f>IFERROR(I258+J258+K258,"")</x:f>
        <x:v>0</x:v>
      </x:c>
    </x:row>
    <x:row r="259" ht="22" customHeight="1">
      <x:c r="A259" s="5" t="inlineStr">
        <x:is>
          <x:t xml:space="preserve">P022</x:t>
        </x:is>
      </x:c>
      <x:c r="B259" s="5" t="inlineStr">
        <x:is>
          <x:t xml:space="preserve">3</x:t>
        </x:is>
      </x:c>
      <x:c r="C259" s="5" t="inlineStr">
        <x:is>
          <x:t xml:space="preserve">V06_overload_open_loops</x:t>
        </x:is>
      </x:c>
      <x:c r="D259" s="5" t="inlineStr">
        <x:is>
          <x:t xml:space="preserve">heavy_bionic</x:t>
        </x:is>
      </x:c>
      <x:c r="E259" s="5" t="inlineStr">
        <x:is>
          <x:t xml:space="preserve">audio_on</x:t>
        </x:is>
      </x:c>
      <x:c r="F259" s="6" t="inlineStr">
        <x:is>
          <x:t xml:space="preserve"/>
        </x:is>
      </x:c>
      <x:c r="G259" s="6" t="inlineStr">
        <x:is>
          <x:t xml:space="preserve">6</x:t>
        </x:is>
      </x:c>
      <x:c r="H259" s="5" t="inlineStr">
        <x:is>
          <x:t xml:space="preserve"/>
        </x:is>
      </x:c>
      <x:c r="I259" s="5" t="inlineStr">
        <x:is>
          <x:t xml:space="preserve"/>
        </x:is>
      </x:c>
      <x:c r="J259" s="5" t="inlineStr">
        <x:is>
          <x:t xml:space="preserve"/>
        </x:is>
      </x:c>
      <x:c r="K259" s="5" t="inlineStr">
        <x:is>
          <x:t xml:space="preserve"/>
        </x:is>
      </x:c>
      <x:c r="L259" s="5" t="inlineStr">
        <x:is>
          <x:t xml:space="preserve"/>
        </x:is>
      </x:c>
      <x:c r="M259" s="5" t="inlineStr">
        <x:is>
          <x:t xml:space="preserve"/>
        </x:is>
      </x:c>
      <x:c r="N259" s="5" t="inlineStr">
        <x:is>
          <x:t xml:space="preserve"/>
        </x:is>
      </x:c>
      <x:c r="O259" s="5" t="inlineStr">
        <x:is>
          <x:t xml:space="preserve"/>
        </x:is>
      </x:c>
      <x:c r="P259" s="5" t="inlineStr">
        <x:is>
          <x:t xml:space="preserve"/>
        </x:is>
      </x:c>
      <x:c r="Q259" s="5" t="inlineStr">
        <x:is>
          <x:t xml:space="preserve"/>
        </x:is>
      </x:c>
      <x:c r="R259" s="5">
        <x:f>IF(OR(F259="",G259=""),"",IF(F259&gt;=0.95*G259,1,0))</x:f>
      </x:c>
      <x:c r="S259" s="7">
        <x:f>IFERROR((I259+J259+K259)/F259,"")</x:f>
      </x:c>
      <x:c r="T259" s="5">
        <x:f>IFERROR(I259+J259+K259,"")</x:f>
        <x:v>0</x:v>
      </x:c>
    </x:row>
    <x:row r="260" ht="22" customHeight="1">
      <x:c r="A260" s="5" t="inlineStr">
        <x:is>
          <x:t xml:space="preserve">P022</x:t>
        </x:is>
      </x:c>
      <x:c r="B260" s="5" t="inlineStr">
        <x:is>
          <x:t xml:space="preserve">4</x:t>
        </x:is>
      </x:c>
      <x:c r="C260" s="5" t="inlineStr">
        <x:is>
          <x:t xml:space="preserve">V08_calendar_system</x:t>
        </x:is>
      </x:c>
      <x:c r="D260" s="5" t="inlineStr">
        <x:is>
          <x:t xml:space="preserve">full_transcript</x:t>
        </x:is>
      </x:c>
      <x:c r="E260" s="5" t="inlineStr">
        <x:is>
          <x:t xml:space="preserve">muted</x:t>
        </x:is>
      </x:c>
      <x:c r="F260" s="6" t="inlineStr">
        <x:is>
          <x:t xml:space="preserve"/>
        </x:is>
      </x:c>
      <x:c r="G260" s="6" t="inlineStr">
        <x:is>
          <x:t xml:space="preserve">6</x:t>
        </x:is>
      </x:c>
      <x:c r="H260" s="5" t="inlineStr">
        <x:is>
          <x:t xml:space="preserve"/>
        </x:is>
      </x:c>
      <x:c r="I260" s="5" t="inlineStr">
        <x:is>
          <x:t xml:space="preserve"/>
        </x:is>
      </x:c>
      <x:c r="J260" s="5" t="inlineStr">
        <x:is>
          <x:t xml:space="preserve"/>
        </x:is>
      </x:c>
      <x:c r="K260" s="5" t="inlineStr">
        <x:is>
          <x:t xml:space="preserve"/>
        </x:is>
      </x:c>
      <x:c r="L260" s="5" t="inlineStr">
        <x:is>
          <x:t xml:space="preserve"/>
        </x:is>
      </x:c>
      <x:c r="M260" s="5" t="inlineStr">
        <x:is>
          <x:t xml:space="preserve"/>
        </x:is>
      </x:c>
      <x:c r="N260" s="5" t="inlineStr">
        <x:is>
          <x:t xml:space="preserve"/>
        </x:is>
      </x:c>
      <x:c r="O260" s="5" t="inlineStr">
        <x:is>
          <x:t xml:space="preserve"/>
        </x:is>
      </x:c>
      <x:c r="P260" s="5" t="inlineStr">
        <x:is>
          <x:t xml:space="preserve"/>
        </x:is>
      </x:c>
      <x:c r="Q260" s="5" t="inlineStr">
        <x:is>
          <x:t xml:space="preserve"/>
        </x:is>
      </x:c>
      <x:c r="R260" s="5">
        <x:f>IF(OR(F260="",G260=""),"",IF(F260&gt;=0.95*G260,1,0))</x:f>
      </x:c>
      <x:c r="S260" s="7">
        <x:f>IFERROR((I260+J260+K260)/F260,"")</x:f>
      </x:c>
      <x:c r="T260" s="5">
        <x:f>IFERROR(I260+J260+K260,"")</x:f>
        <x:v>0</x:v>
      </x:c>
    </x:row>
    <x:row r="261" ht="22" customHeight="1">
      <x:c r="A261" s="5" t="inlineStr">
        <x:is>
          <x:t xml:space="preserve">P022</x:t>
        </x:is>
      </x:c>
      <x:c r="B261" s="5" t="inlineStr">
        <x:is>
          <x:t xml:space="preserve">5</x:t>
        </x:is>
      </x:c>
      <x:c r="C261" s="5" t="inlineStr">
        <x:is>
          <x:t xml:space="preserve">V12_creativity_constraints</x:t>
        </x:is>
      </x:c>
      <x:c r="D261" s="5" t="inlineStr">
        <x:is>
          <x:t xml:space="preserve">keyword_highlight</x:t>
        </x:is>
      </x:c>
      <x:c r="E261" s="5" t="inlineStr">
        <x:is>
          <x:t xml:space="preserve">audio_on</x:t>
        </x:is>
      </x:c>
      <x:c r="F261" s="6" t="inlineStr">
        <x:is>
          <x:t xml:space="preserve"/>
        </x:is>
      </x:c>
      <x:c r="G261" s="6" t="inlineStr">
        <x:is>
          <x:t xml:space="preserve">6</x:t>
        </x:is>
      </x:c>
      <x:c r="H261" s="5" t="inlineStr">
        <x:is>
          <x:t xml:space="preserve"/>
        </x:is>
      </x:c>
      <x:c r="I261" s="5" t="inlineStr">
        <x:is>
          <x:t xml:space="preserve"/>
        </x:is>
      </x:c>
      <x:c r="J261" s="5" t="inlineStr">
        <x:is>
          <x:t xml:space="preserve"/>
        </x:is>
      </x:c>
      <x:c r="K261" s="5" t="inlineStr">
        <x:is>
          <x:t xml:space="preserve"/>
        </x:is>
      </x:c>
      <x:c r="L261" s="5" t="inlineStr">
        <x:is>
          <x:t xml:space="preserve"/>
        </x:is>
      </x:c>
      <x:c r="M261" s="5" t="inlineStr">
        <x:is>
          <x:t xml:space="preserve"/>
        </x:is>
      </x:c>
      <x:c r="N261" s="5" t="inlineStr">
        <x:is>
          <x:t xml:space="preserve"/>
        </x:is>
      </x:c>
      <x:c r="O261" s="5" t="inlineStr">
        <x:is>
          <x:t xml:space="preserve"/>
        </x:is>
      </x:c>
      <x:c r="P261" s="5" t="inlineStr">
        <x:is>
          <x:t xml:space="preserve"/>
        </x:is>
      </x:c>
      <x:c r="Q261" s="5" t="inlineStr">
        <x:is>
          <x:t xml:space="preserve"/>
        </x:is>
      </x:c>
      <x:c r="R261" s="5">
        <x:f>IF(OR(F261="",G261=""),"",IF(F261&gt;=0.95*G261,1,0))</x:f>
      </x:c>
      <x:c r="S261" s="7">
        <x:f>IFERROR((I261+J261+K261)/F261,"")</x:f>
      </x:c>
      <x:c r="T261" s="5">
        <x:f>IFERROR(I261+J261+K261,"")</x:f>
        <x:v>0</x:v>
      </x:c>
    </x:row>
    <x:row r="262" ht="22" customHeight="1">
      <x:c r="A262" s="5" t="inlineStr">
        <x:is>
          <x:t xml:space="preserve">P022</x:t>
        </x:is>
      </x:c>
      <x:c r="B262" s="5" t="inlineStr">
        <x:is>
          <x:t xml:space="preserve">6</x:t>
        </x:is>
      </x:c>
      <x:c r="C262" s="5" t="inlineStr">
        <x:is>
          <x:t xml:space="preserve">V09_nutrition_satiety</x:t>
        </x:is>
      </x:c>
      <x:c r="D262" s="5" t="inlineStr">
        <x:is>
          <x:t xml:space="preserve">semantic_compression</x:t>
        </x:is>
      </x:c>
      <x:c r="E262" s="5" t="inlineStr">
        <x:is>
          <x:t xml:space="preserve">muted</x:t>
        </x:is>
      </x:c>
      <x:c r="F262" s="6" t="inlineStr">
        <x:is>
          <x:t xml:space="preserve"/>
        </x:is>
      </x:c>
      <x:c r="G262" s="6" t="inlineStr">
        <x:is>
          <x:t xml:space="preserve">6</x:t>
        </x:is>
      </x:c>
      <x:c r="H262" s="5" t="inlineStr">
        <x:is>
          <x:t xml:space="preserve"/>
        </x:is>
      </x:c>
      <x:c r="I262" s="5" t="inlineStr">
        <x:is>
          <x:t xml:space="preserve"/>
        </x:is>
      </x:c>
      <x:c r="J262" s="5" t="inlineStr">
        <x:is>
          <x:t xml:space="preserve"/>
        </x:is>
      </x:c>
      <x:c r="K262" s="5" t="inlineStr">
        <x:is>
          <x:t xml:space="preserve"/>
        </x:is>
      </x:c>
      <x:c r="L262" s="5" t="inlineStr">
        <x:is>
          <x:t xml:space="preserve"/>
        </x:is>
      </x:c>
      <x:c r="M262" s="5" t="inlineStr">
        <x:is>
          <x:t xml:space="preserve"/>
        </x:is>
      </x:c>
      <x:c r="N262" s="5" t="inlineStr">
        <x:is>
          <x:t xml:space="preserve"/>
        </x:is>
      </x:c>
      <x:c r="O262" s="5" t="inlineStr">
        <x:is>
          <x:t xml:space="preserve"/>
        </x:is>
      </x:c>
      <x:c r="P262" s="5" t="inlineStr">
        <x:is>
          <x:t xml:space="preserve"/>
        </x:is>
      </x:c>
      <x:c r="Q262" s="5" t="inlineStr">
        <x:is>
          <x:t xml:space="preserve"/>
        </x:is>
      </x:c>
      <x:c r="R262" s="5">
        <x:f>IF(OR(F262="",G262=""),"",IF(F262&gt;=0.95*G262,1,0))</x:f>
      </x:c>
      <x:c r="S262" s="7">
        <x:f>IFERROR((I262+J262+K262)/F262,"")</x:f>
      </x:c>
      <x:c r="T262" s="5">
        <x:f>IFERROR(I262+J262+K262,"")</x:f>
        <x:v>0</x:v>
      </x:c>
    </x:row>
    <x:row r="263" ht="22" customHeight="1">
      <x:c r="A263" s="5" t="inlineStr">
        <x:is>
          <x:t xml:space="preserve">P022</x:t>
        </x:is>
      </x:c>
      <x:c r="B263" s="5" t="inlineStr">
        <x:is>
          <x:t xml:space="preserve">7</x:t>
        </x:is>
      </x:c>
      <x:c r="C263" s="5" t="inlineStr">
        <x:is>
          <x:t xml:space="preserve">V05_coding_assumptions</x:t>
        </x:is>
      </x:c>
      <x:c r="D263" s="5" t="inlineStr">
        <x:is>
          <x:t xml:space="preserve">bcc</x:t>
        </x:is>
      </x:c>
      <x:c r="E263" s="5" t="inlineStr">
        <x:is>
          <x:t xml:space="preserve">audio_on</x:t>
        </x:is>
      </x:c>
      <x:c r="F263" s="6" t="inlineStr">
        <x:is>
          <x:t xml:space="preserve"/>
        </x:is>
      </x:c>
      <x:c r="G263" s="6" t="inlineStr">
        <x:is>
          <x:t xml:space="preserve">6</x:t>
        </x:is>
      </x:c>
      <x:c r="H263" s="5" t="inlineStr">
        <x:is>
          <x:t xml:space="preserve"/>
        </x:is>
      </x:c>
      <x:c r="I263" s="5" t="inlineStr">
        <x:is>
          <x:t xml:space="preserve"/>
        </x:is>
      </x:c>
      <x:c r="J263" s="5" t="inlineStr">
        <x:is>
          <x:t xml:space="preserve"/>
        </x:is>
      </x:c>
      <x:c r="K263" s="5" t="inlineStr">
        <x:is>
          <x:t xml:space="preserve"/>
        </x:is>
      </x:c>
      <x:c r="L263" s="5" t="inlineStr">
        <x:is>
          <x:t xml:space="preserve"/>
        </x:is>
      </x:c>
      <x:c r="M263" s="5" t="inlineStr">
        <x:is>
          <x:t xml:space="preserve"/>
        </x:is>
      </x:c>
      <x:c r="N263" s="5" t="inlineStr">
        <x:is>
          <x:t xml:space="preserve"/>
        </x:is>
      </x:c>
      <x:c r="O263" s="5" t="inlineStr">
        <x:is>
          <x:t xml:space="preserve"/>
        </x:is>
      </x:c>
      <x:c r="P263" s="5" t="inlineStr">
        <x:is>
          <x:t xml:space="preserve"/>
        </x:is>
      </x:c>
      <x:c r="Q263" s="5" t="inlineStr">
        <x:is>
          <x:t xml:space="preserve"/>
        </x:is>
      </x:c>
      <x:c r="R263" s="5">
        <x:f>IF(OR(F263="",G263=""),"",IF(F263&gt;=0.95*G263,1,0))</x:f>
      </x:c>
      <x:c r="S263" s="7">
        <x:f>IFERROR((I263+J263+K263)/F263,"")</x:f>
      </x:c>
      <x:c r="T263" s="5">
        <x:f>IFERROR(I263+J263+K263,"")</x:f>
        <x:v>0</x:v>
      </x:c>
    </x:row>
    <x:row r="264" ht="22" customHeight="1">
      <x:c r="A264" s="5" t="inlineStr">
        <x:is>
          <x:t xml:space="preserve">P022</x:t>
        </x:is>
      </x:c>
      <x:c r="B264" s="5" t="inlineStr">
        <x:is>
          <x:t xml:space="preserve">8</x:t>
        </x:is>
      </x:c>
      <x:c r="C264" s="5" t="inlineStr">
        <x:is>
          <x:t xml:space="preserve">V03_fitness_setup</x:t>
        </x:is>
      </x:c>
      <x:c r="D264" s="5" t="inlineStr">
        <x:is>
          <x:t xml:space="preserve">bcc_plus</x:t>
        </x:is>
      </x:c>
      <x:c r="E264" s="5" t="inlineStr">
        <x:is>
          <x:t xml:space="preserve">muted</x:t>
        </x:is>
      </x:c>
      <x:c r="F264" s="6" t="inlineStr">
        <x:is>
          <x:t xml:space="preserve"/>
        </x:is>
      </x:c>
      <x:c r="G264" s="6" t="inlineStr">
        <x:is>
          <x:t xml:space="preserve">6</x:t>
        </x:is>
      </x:c>
      <x:c r="H264" s="5" t="inlineStr">
        <x:is>
          <x:t xml:space="preserve"/>
        </x:is>
      </x:c>
      <x:c r="I264" s="5" t="inlineStr">
        <x:is>
          <x:t xml:space="preserve"/>
        </x:is>
      </x:c>
      <x:c r="J264" s="5" t="inlineStr">
        <x:is>
          <x:t xml:space="preserve"/>
        </x:is>
      </x:c>
      <x:c r="K264" s="5" t="inlineStr">
        <x:is>
          <x:t xml:space="preserve"/>
        </x:is>
      </x:c>
      <x:c r="L264" s="5" t="inlineStr">
        <x:is>
          <x:t xml:space="preserve"/>
        </x:is>
      </x:c>
      <x:c r="M264" s="5" t="inlineStr">
        <x:is>
          <x:t xml:space="preserve"/>
        </x:is>
      </x:c>
      <x:c r="N264" s="5" t="inlineStr">
        <x:is>
          <x:t xml:space="preserve"/>
        </x:is>
      </x:c>
      <x:c r="O264" s="5" t="inlineStr">
        <x:is>
          <x:t xml:space="preserve"/>
        </x:is>
      </x:c>
      <x:c r="P264" s="5" t="inlineStr">
        <x:is>
          <x:t xml:space="preserve"/>
        </x:is>
      </x:c>
      <x:c r="Q264" s="5" t="inlineStr">
        <x:is>
          <x:t xml:space="preserve"/>
        </x:is>
      </x:c>
      <x:c r="R264" s="5">
        <x:f>IF(OR(F264="",G264=""),"",IF(F264&gt;=0.95*G264,1,0))</x:f>
      </x:c>
      <x:c r="S264" s="7">
        <x:f>IFERROR((I264+J264+K264)/F264,"")</x:f>
      </x:c>
      <x:c r="T264" s="5">
        <x:f>IFERROR(I264+J264+K264,"")</x:f>
        <x:v>0</x:v>
      </x:c>
    </x:row>
    <x:row r="265" ht="22" customHeight="1">
      <x:c r="A265" s="5" t="inlineStr">
        <x:is>
          <x:t xml:space="preserve">P022</x:t>
        </x:is>
      </x:c>
      <x:c r="B265" s="5" t="inlineStr">
        <x:is>
          <x:t xml:space="preserve">9</x:t>
        </x:is>
      </x:c>
      <x:c r="C265" s="5" t="inlineStr">
        <x:is>
          <x:t xml:space="preserve">V07_business_clarity</x:t>
        </x:is>
      </x:c>
      <x:c r="D265" s="5" t="inlineStr">
        <x:is>
          <x:t xml:space="preserve">heavy_bionic</x:t>
        </x:is>
      </x:c>
      <x:c r="E265" s="5" t="inlineStr">
        <x:is>
          <x:t xml:space="preserve">audio_on</x:t>
        </x:is>
      </x:c>
      <x:c r="F265" s="6" t="inlineStr">
        <x:is>
          <x:t xml:space="preserve"/>
        </x:is>
      </x:c>
      <x:c r="G265" s="6" t="inlineStr">
        <x:is>
          <x:t xml:space="preserve">6</x:t>
        </x:is>
      </x:c>
      <x:c r="H265" s="5" t="inlineStr">
        <x:is>
          <x:t xml:space="preserve"/>
        </x:is>
      </x:c>
      <x:c r="I265" s="5" t="inlineStr">
        <x:is>
          <x:t xml:space="preserve"/>
        </x:is>
      </x:c>
      <x:c r="J265" s="5" t="inlineStr">
        <x:is>
          <x:t xml:space="preserve"/>
        </x:is>
      </x:c>
      <x:c r="K265" s="5" t="inlineStr">
        <x:is>
          <x:t xml:space="preserve"/>
        </x:is>
      </x:c>
      <x:c r="L265" s="5" t="inlineStr">
        <x:is>
          <x:t xml:space="preserve"/>
        </x:is>
      </x:c>
      <x:c r="M265" s="5" t="inlineStr">
        <x:is>
          <x:t xml:space="preserve"/>
        </x:is>
      </x:c>
      <x:c r="N265" s="5" t="inlineStr">
        <x:is>
          <x:t xml:space="preserve"/>
        </x:is>
      </x:c>
      <x:c r="O265" s="5" t="inlineStr">
        <x:is>
          <x:t xml:space="preserve"/>
        </x:is>
      </x:c>
      <x:c r="P265" s="5" t="inlineStr">
        <x:is>
          <x:t xml:space="preserve"/>
        </x:is>
      </x:c>
      <x:c r="Q265" s="5" t="inlineStr">
        <x:is>
          <x:t xml:space="preserve"/>
        </x:is>
      </x:c>
      <x:c r="R265" s="5">
        <x:f>IF(OR(F265="",G265=""),"",IF(F265&gt;=0.95*G265,1,0))</x:f>
      </x:c>
      <x:c r="S265" s="7">
        <x:f>IFERROR((I265+J265+K265)/F265,"")</x:f>
      </x:c>
      <x:c r="T265" s="5">
        <x:f>IFERROR(I265+J265+K265,"")</x:f>
        <x:v>0</x:v>
      </x:c>
    </x:row>
    <x:row r="266" ht="22" customHeight="1">
      <x:c r="A266" s="5" t="inlineStr">
        <x:is>
          <x:t xml:space="preserve">P022</x:t>
        </x:is>
      </x:c>
      <x:c r="B266" s="5" t="inlineStr">
        <x:is>
          <x:t xml:space="preserve">10</x:t>
        </x:is>
      </x:c>
      <x:c r="C266" s="5" t="inlineStr">
        <x:is>
          <x:t xml:space="preserve">V10_tutorial_ui</x:t>
        </x:is>
      </x:c>
      <x:c r="D266" s="5" t="inlineStr">
        <x:is>
          <x:t xml:space="preserve">full_transcript</x:t>
        </x:is>
      </x:c>
      <x:c r="E266" s="5" t="inlineStr">
        <x:is>
          <x:t xml:space="preserve">muted</x:t>
        </x:is>
      </x:c>
      <x:c r="F266" s="6" t="inlineStr">
        <x:is>
          <x:t xml:space="preserve"/>
        </x:is>
      </x:c>
      <x:c r="G266" s="6" t="inlineStr">
        <x:is>
          <x:t xml:space="preserve">6</x:t>
        </x:is>
      </x:c>
      <x:c r="H266" s="5" t="inlineStr">
        <x:is>
          <x:t xml:space="preserve"/>
        </x:is>
      </x:c>
      <x:c r="I266" s="5" t="inlineStr">
        <x:is>
          <x:t xml:space="preserve"/>
        </x:is>
      </x:c>
      <x:c r="J266" s="5" t="inlineStr">
        <x:is>
          <x:t xml:space="preserve"/>
        </x:is>
      </x:c>
      <x:c r="K266" s="5" t="inlineStr">
        <x:is>
          <x:t xml:space="preserve"/>
        </x:is>
      </x:c>
      <x:c r="L266" s="5" t="inlineStr">
        <x:is>
          <x:t xml:space="preserve"/>
        </x:is>
      </x:c>
      <x:c r="M266" s="5" t="inlineStr">
        <x:is>
          <x:t xml:space="preserve"/>
        </x:is>
      </x:c>
      <x:c r="N266" s="5" t="inlineStr">
        <x:is>
          <x:t xml:space="preserve"/>
        </x:is>
      </x:c>
      <x:c r="O266" s="5" t="inlineStr">
        <x:is>
          <x:t xml:space="preserve"/>
        </x:is>
      </x:c>
      <x:c r="P266" s="5" t="inlineStr">
        <x:is>
          <x:t xml:space="preserve"/>
        </x:is>
      </x:c>
      <x:c r="Q266" s="5" t="inlineStr">
        <x:is>
          <x:t xml:space="preserve"/>
        </x:is>
      </x:c>
      <x:c r="R266" s="5">
        <x:f>IF(OR(F266="",G266=""),"",IF(F266&gt;=0.95*G266,1,0))</x:f>
      </x:c>
      <x:c r="S266" s="7">
        <x:f>IFERROR((I266+J266+K266)/F266,"")</x:f>
      </x:c>
      <x:c r="T266" s="5">
        <x:f>IFERROR(I266+J266+K266,"")</x:f>
        <x:v>0</x:v>
      </x:c>
    </x:row>
    <x:row r="267" ht="22" customHeight="1">
      <x:c r="A267" s="5" t="inlineStr">
        <x:is>
          <x:t xml:space="preserve">P022</x:t>
        </x:is>
      </x:c>
      <x:c r="B267" s="5" t="inlineStr">
        <x:is>
          <x:t xml:space="preserve">11</x:t>
        </x:is>
      </x:c>
      <x:c r="C267" s="5" t="inlineStr">
        <x:is>
          <x:t xml:space="preserve">V04_money_visibility</x:t>
        </x:is>
      </x:c>
      <x:c r="D267" s="5" t="inlineStr">
        <x:is>
          <x:t xml:space="preserve">keyword_highlight</x:t>
        </x:is>
      </x:c>
      <x:c r="E267" s="5" t="inlineStr">
        <x:is>
          <x:t xml:space="preserve">audio_on</x:t>
        </x:is>
      </x:c>
      <x:c r="F267" s="6" t="inlineStr">
        <x:is>
          <x:t xml:space="preserve"/>
        </x:is>
      </x:c>
      <x:c r="G267" s="6" t="inlineStr">
        <x:is>
          <x:t xml:space="preserve">6</x:t>
        </x:is>
      </x:c>
      <x:c r="H267" s="5" t="inlineStr">
        <x:is>
          <x:t xml:space="preserve"/>
        </x:is>
      </x:c>
      <x:c r="I267" s="5" t="inlineStr">
        <x:is>
          <x:t xml:space="preserve"/>
        </x:is>
      </x:c>
      <x:c r="J267" s="5" t="inlineStr">
        <x:is>
          <x:t xml:space="preserve"/>
        </x:is>
      </x:c>
      <x:c r="K267" s="5" t="inlineStr">
        <x:is>
          <x:t xml:space="preserve"/>
        </x:is>
      </x:c>
      <x:c r="L267" s="5" t="inlineStr">
        <x:is>
          <x:t xml:space="preserve"/>
        </x:is>
      </x:c>
      <x:c r="M267" s="5" t="inlineStr">
        <x:is>
          <x:t xml:space="preserve"/>
        </x:is>
      </x:c>
      <x:c r="N267" s="5" t="inlineStr">
        <x:is>
          <x:t xml:space="preserve"/>
        </x:is>
      </x:c>
      <x:c r="O267" s="5" t="inlineStr">
        <x:is>
          <x:t xml:space="preserve"/>
        </x:is>
      </x:c>
      <x:c r="P267" s="5" t="inlineStr">
        <x:is>
          <x:t xml:space="preserve"/>
        </x:is>
      </x:c>
      <x:c r="Q267" s="5" t="inlineStr">
        <x:is>
          <x:t xml:space="preserve"/>
        </x:is>
      </x:c>
      <x:c r="R267" s="5">
        <x:f>IF(OR(F267="",G267=""),"",IF(F267&gt;=0.95*G267,1,0))</x:f>
      </x:c>
      <x:c r="S267" s="7">
        <x:f>IFERROR((I267+J267+K267)/F267,"")</x:f>
      </x:c>
      <x:c r="T267" s="5">
        <x:f>IFERROR(I267+J267+K267,"")</x:f>
        <x:v>0</x:v>
      </x:c>
    </x:row>
    <x:row r="268" ht="22" customHeight="1">
      <x:c r="A268" s="5" t="inlineStr">
        <x:is>
          <x:t xml:space="preserve">P022</x:t>
        </x:is>
      </x:c>
      <x:c r="B268" s="5" t="inlineStr">
        <x:is>
          <x:t xml:space="preserve">12</x:t>
        </x:is>
      </x:c>
      <x:c r="C268" s="5" t="inlineStr">
        <x:is>
          <x:t xml:space="preserve">V02_study_recall</x:t>
        </x:is>
      </x:c>
      <x:c r="D268" s="5" t="inlineStr">
        <x:is>
          <x:t xml:space="preserve">semantic_compression</x:t>
        </x:is>
      </x:c>
      <x:c r="E268" s="5" t="inlineStr">
        <x:is>
          <x:t xml:space="preserve">muted</x:t>
        </x:is>
      </x:c>
      <x:c r="F268" s="6" t="inlineStr">
        <x:is>
          <x:t xml:space="preserve"/>
        </x:is>
      </x:c>
      <x:c r="G268" s="6" t="inlineStr">
        <x:is>
          <x:t xml:space="preserve">6</x:t>
        </x:is>
      </x:c>
      <x:c r="H268" s="5" t="inlineStr">
        <x:is>
          <x:t xml:space="preserve"/>
        </x:is>
      </x:c>
      <x:c r="I268" s="5" t="inlineStr">
        <x:is>
          <x:t xml:space="preserve"/>
        </x:is>
      </x:c>
      <x:c r="J268" s="5" t="inlineStr">
        <x:is>
          <x:t xml:space="preserve"/>
        </x:is>
      </x:c>
      <x:c r="K268" s="5" t="inlineStr">
        <x:is>
          <x:t xml:space="preserve"/>
        </x:is>
      </x:c>
      <x:c r="L268" s="5" t="inlineStr">
        <x:is>
          <x:t xml:space="preserve"/>
        </x:is>
      </x:c>
      <x:c r="M268" s="5" t="inlineStr">
        <x:is>
          <x:t xml:space="preserve"/>
        </x:is>
      </x:c>
      <x:c r="N268" s="5" t="inlineStr">
        <x:is>
          <x:t xml:space="preserve"/>
        </x:is>
      </x:c>
      <x:c r="O268" s="5" t="inlineStr">
        <x:is>
          <x:t xml:space="preserve"/>
        </x:is>
      </x:c>
      <x:c r="P268" s="5" t="inlineStr">
        <x:is>
          <x:t xml:space="preserve"/>
        </x:is>
      </x:c>
      <x:c r="Q268" s="5" t="inlineStr">
        <x:is>
          <x:t xml:space="preserve"/>
        </x:is>
      </x:c>
      <x:c r="R268" s="5">
        <x:f>IF(OR(F268="",G268=""),"",IF(F268&gt;=0.95*G268,1,0))</x:f>
      </x:c>
      <x:c r="S268" s="7">
        <x:f>IFERROR((I268+J268+K268)/F268,"")</x:f>
      </x:c>
      <x:c r="T268" s="5">
        <x:f>IFERROR(I268+J268+K268,"")</x:f>
        <x:v>0</x:v>
      </x:c>
    </x:row>
    <x:row r="269" ht="22" customHeight="1">
      <x:c r="A269" s="5" t="inlineStr">
        <x:is>
          <x:t xml:space="preserve">P023</x:t>
        </x:is>
      </x:c>
      <x:c r="B269" s="5" t="inlineStr">
        <x:is>
          <x:t xml:space="preserve">1</x:t>
        </x:is>
      </x:c>
      <x:c r="C269" s="5" t="inlineStr">
        <x:is>
          <x:t xml:space="preserve">V12_creativity_constraints</x:t>
        </x:is>
      </x:c>
      <x:c r="D269" s="5" t="inlineStr">
        <x:is>
          <x:t xml:space="preserve">bcc_plus</x:t>
        </x:is>
      </x:c>
      <x:c r="E269" s="5" t="inlineStr">
        <x:is>
          <x:t xml:space="preserve">muted</x:t>
        </x:is>
      </x:c>
      <x:c r="F269" s="6" t="inlineStr">
        <x:is>
          <x:t xml:space="preserve"/>
        </x:is>
      </x:c>
      <x:c r="G269" s="6" t="inlineStr">
        <x:is>
          <x:t xml:space="preserve">6</x:t>
        </x:is>
      </x:c>
      <x:c r="H269" s="5" t="inlineStr">
        <x:is>
          <x:t xml:space="preserve"/>
        </x:is>
      </x:c>
      <x:c r="I269" s="5" t="inlineStr">
        <x:is>
          <x:t xml:space="preserve"/>
        </x:is>
      </x:c>
      <x:c r="J269" s="5" t="inlineStr">
        <x:is>
          <x:t xml:space="preserve"/>
        </x:is>
      </x:c>
      <x:c r="K269" s="5" t="inlineStr">
        <x:is>
          <x:t xml:space="preserve"/>
        </x:is>
      </x:c>
      <x:c r="L269" s="5" t="inlineStr">
        <x:is>
          <x:t xml:space="preserve"/>
        </x:is>
      </x:c>
      <x:c r="M269" s="5" t="inlineStr">
        <x:is>
          <x:t xml:space="preserve"/>
        </x:is>
      </x:c>
      <x:c r="N269" s="5" t="inlineStr">
        <x:is>
          <x:t xml:space="preserve"/>
        </x:is>
      </x:c>
      <x:c r="O269" s="5" t="inlineStr">
        <x:is>
          <x:t xml:space="preserve"/>
        </x:is>
      </x:c>
      <x:c r="P269" s="5" t="inlineStr">
        <x:is>
          <x:t xml:space="preserve"/>
        </x:is>
      </x:c>
      <x:c r="Q269" s="5" t="inlineStr">
        <x:is>
          <x:t xml:space="preserve"/>
        </x:is>
      </x:c>
      <x:c r="R269" s="5">
        <x:f>IF(OR(F269="",G269=""),"",IF(F269&gt;=0.95*G269,1,0))</x:f>
      </x:c>
      <x:c r="S269" s="7">
        <x:f>IFERROR((I269+J269+K269)/F269,"")</x:f>
      </x:c>
      <x:c r="T269" s="5">
        <x:f>IFERROR(I269+J269+K269,"")</x:f>
        <x:v>0</x:v>
      </x:c>
    </x:row>
    <x:row r="270" ht="22" customHeight="1">
      <x:c r="A270" s="5" t="inlineStr">
        <x:is>
          <x:t xml:space="preserve">P023</x:t>
        </x:is>
      </x:c>
      <x:c r="B270" s="5" t="inlineStr">
        <x:is>
          <x:t xml:space="preserve">2</x:t>
        </x:is>
      </x:c>
      <x:c r="C270" s="5" t="inlineStr">
        <x:is>
          <x:t xml:space="preserve">V01_productivity_friction</x:t>
        </x:is>
      </x:c>
      <x:c r="D270" s="5" t="inlineStr">
        <x:is>
          <x:t xml:space="preserve">heavy_bionic</x:t>
        </x:is>
      </x:c>
      <x:c r="E270" s="5" t="inlineStr">
        <x:is>
          <x:t xml:space="preserve">audio_on</x:t>
        </x:is>
      </x:c>
      <x:c r="F270" s="6" t="inlineStr">
        <x:is>
          <x:t xml:space="preserve"/>
        </x:is>
      </x:c>
      <x:c r="G270" s="6" t="inlineStr">
        <x:is>
          <x:t xml:space="preserve">6</x:t>
        </x:is>
      </x:c>
      <x:c r="H270" s="5" t="inlineStr">
        <x:is>
          <x:t xml:space="preserve"/>
        </x:is>
      </x:c>
      <x:c r="I270" s="5" t="inlineStr">
        <x:is>
          <x:t xml:space="preserve"/>
        </x:is>
      </x:c>
      <x:c r="J270" s="5" t="inlineStr">
        <x:is>
          <x:t xml:space="preserve"/>
        </x:is>
      </x:c>
      <x:c r="K270" s="5" t="inlineStr">
        <x:is>
          <x:t xml:space="preserve"/>
        </x:is>
      </x:c>
      <x:c r="L270" s="5" t="inlineStr">
        <x:is>
          <x:t xml:space="preserve"/>
        </x:is>
      </x:c>
      <x:c r="M270" s="5" t="inlineStr">
        <x:is>
          <x:t xml:space="preserve"/>
        </x:is>
      </x:c>
      <x:c r="N270" s="5" t="inlineStr">
        <x:is>
          <x:t xml:space="preserve"/>
        </x:is>
      </x:c>
      <x:c r="O270" s="5" t="inlineStr">
        <x:is>
          <x:t xml:space="preserve"/>
        </x:is>
      </x:c>
      <x:c r="P270" s="5" t="inlineStr">
        <x:is>
          <x:t xml:space="preserve"/>
        </x:is>
      </x:c>
      <x:c r="Q270" s="5" t="inlineStr">
        <x:is>
          <x:t xml:space="preserve"/>
        </x:is>
      </x:c>
      <x:c r="R270" s="5">
        <x:f>IF(OR(F270="",G270=""),"",IF(F270&gt;=0.95*G270,1,0))</x:f>
      </x:c>
      <x:c r="S270" s="7">
        <x:f>IFERROR((I270+J270+K270)/F270,"")</x:f>
      </x:c>
      <x:c r="T270" s="5">
        <x:f>IFERROR(I270+J270+K270,"")</x:f>
        <x:v>0</x:v>
      </x:c>
    </x:row>
    <x:row r="271" ht="22" customHeight="1">
      <x:c r="A271" s="5" t="inlineStr">
        <x:is>
          <x:t xml:space="preserve">P023</x:t>
        </x:is>
      </x:c>
      <x:c r="B271" s="5" t="inlineStr">
        <x:is>
          <x:t xml:space="preserve">3</x:t>
        </x:is>
      </x:c>
      <x:c r="C271" s="5" t="inlineStr">
        <x:is>
          <x:t xml:space="preserve">V07_business_clarity</x:t>
        </x:is>
      </x:c>
      <x:c r="D271" s="5" t="inlineStr">
        <x:is>
          <x:t xml:space="preserve">full_transcript</x:t>
        </x:is>
      </x:c>
      <x:c r="E271" s="5" t="inlineStr">
        <x:is>
          <x:t xml:space="preserve">muted</x:t>
        </x:is>
      </x:c>
      <x:c r="F271" s="6" t="inlineStr">
        <x:is>
          <x:t xml:space="preserve"/>
        </x:is>
      </x:c>
      <x:c r="G271" s="6" t="inlineStr">
        <x:is>
          <x:t xml:space="preserve">6</x:t>
        </x:is>
      </x:c>
      <x:c r="H271" s="5" t="inlineStr">
        <x:is>
          <x:t xml:space="preserve"/>
        </x:is>
      </x:c>
      <x:c r="I271" s="5" t="inlineStr">
        <x:is>
          <x:t xml:space="preserve"/>
        </x:is>
      </x:c>
      <x:c r="J271" s="5" t="inlineStr">
        <x:is>
          <x:t xml:space="preserve"/>
        </x:is>
      </x:c>
      <x:c r="K271" s="5" t="inlineStr">
        <x:is>
          <x:t xml:space="preserve"/>
        </x:is>
      </x:c>
      <x:c r="L271" s="5" t="inlineStr">
        <x:is>
          <x:t xml:space="preserve"/>
        </x:is>
      </x:c>
      <x:c r="M271" s="5" t="inlineStr">
        <x:is>
          <x:t xml:space="preserve"/>
        </x:is>
      </x:c>
      <x:c r="N271" s="5" t="inlineStr">
        <x:is>
          <x:t xml:space="preserve"/>
        </x:is>
      </x:c>
      <x:c r="O271" s="5" t="inlineStr">
        <x:is>
          <x:t xml:space="preserve"/>
        </x:is>
      </x:c>
      <x:c r="P271" s="5" t="inlineStr">
        <x:is>
          <x:t xml:space="preserve"/>
        </x:is>
      </x:c>
      <x:c r="Q271" s="5" t="inlineStr">
        <x:is>
          <x:t xml:space="preserve"/>
        </x:is>
      </x:c>
      <x:c r="R271" s="5">
        <x:f>IF(OR(F271="",G271=""),"",IF(F271&gt;=0.95*G271,1,0))</x:f>
      </x:c>
      <x:c r="S271" s="7">
        <x:f>IFERROR((I271+J271+K271)/F271,"")</x:f>
      </x:c>
      <x:c r="T271" s="5">
        <x:f>IFERROR(I271+J271+K271,"")</x:f>
        <x:v>0</x:v>
      </x:c>
    </x:row>
    <x:row r="272" ht="22" customHeight="1">
      <x:c r="A272" s="5" t="inlineStr">
        <x:is>
          <x:t xml:space="preserve">P023</x:t>
        </x:is>
      </x:c>
      <x:c r="B272" s="5" t="inlineStr">
        <x:is>
          <x:t xml:space="preserve">4</x:t>
        </x:is>
      </x:c>
      <x:c r="C272" s="5" t="inlineStr">
        <x:is>
          <x:t xml:space="preserve">V11_story_burnout</x:t>
        </x:is>
      </x:c>
      <x:c r="D272" s="5" t="inlineStr">
        <x:is>
          <x:t xml:space="preserve">keyword_highlight</x:t>
        </x:is>
      </x:c>
      <x:c r="E272" s="5" t="inlineStr">
        <x:is>
          <x:t xml:space="preserve">audio_on</x:t>
        </x:is>
      </x:c>
      <x:c r="F272" s="6" t="inlineStr">
        <x:is>
          <x:t xml:space="preserve"/>
        </x:is>
      </x:c>
      <x:c r="G272" s="6" t="inlineStr">
        <x:is>
          <x:t xml:space="preserve">6</x:t>
        </x:is>
      </x:c>
      <x:c r="H272" s="5" t="inlineStr">
        <x:is>
          <x:t xml:space="preserve"/>
        </x:is>
      </x:c>
      <x:c r="I272" s="5" t="inlineStr">
        <x:is>
          <x:t xml:space="preserve"/>
        </x:is>
      </x:c>
      <x:c r="J272" s="5" t="inlineStr">
        <x:is>
          <x:t xml:space="preserve"/>
        </x:is>
      </x:c>
      <x:c r="K272" s="5" t="inlineStr">
        <x:is>
          <x:t xml:space="preserve"/>
        </x:is>
      </x:c>
      <x:c r="L272" s="5" t="inlineStr">
        <x:is>
          <x:t xml:space="preserve"/>
        </x:is>
      </x:c>
      <x:c r="M272" s="5" t="inlineStr">
        <x:is>
          <x:t xml:space="preserve"/>
        </x:is>
      </x:c>
      <x:c r="N272" s="5" t="inlineStr">
        <x:is>
          <x:t xml:space="preserve"/>
        </x:is>
      </x:c>
      <x:c r="O272" s="5" t="inlineStr">
        <x:is>
          <x:t xml:space="preserve"/>
        </x:is>
      </x:c>
      <x:c r="P272" s="5" t="inlineStr">
        <x:is>
          <x:t xml:space="preserve"/>
        </x:is>
      </x:c>
      <x:c r="Q272" s="5" t="inlineStr">
        <x:is>
          <x:t xml:space="preserve"/>
        </x:is>
      </x:c>
      <x:c r="R272" s="5">
        <x:f>IF(OR(F272="",G272=""),"",IF(F272&gt;=0.95*G272,1,0))</x:f>
      </x:c>
      <x:c r="S272" s="7">
        <x:f>IFERROR((I272+J272+K272)/F272,"")</x:f>
      </x:c>
      <x:c r="T272" s="5">
        <x:f>IFERROR(I272+J272+K272,"")</x:f>
        <x:v>0</x:v>
      </x:c>
    </x:row>
    <x:row r="273" ht="22" customHeight="1">
      <x:c r="A273" s="5" t="inlineStr">
        <x:is>
          <x:t xml:space="preserve">P023</x:t>
        </x:is>
      </x:c>
      <x:c r="B273" s="5" t="inlineStr">
        <x:is>
          <x:t xml:space="preserve">5</x:t>
        </x:is>
      </x:c>
      <x:c r="C273" s="5" t="inlineStr">
        <x:is>
          <x:t xml:space="preserve">V08_calendar_system</x:t>
        </x:is>
      </x:c>
      <x:c r="D273" s="5" t="inlineStr">
        <x:is>
          <x:t xml:space="preserve">semantic_compression</x:t>
        </x:is>
      </x:c>
      <x:c r="E273" s="5" t="inlineStr">
        <x:is>
          <x:t xml:space="preserve">muted</x:t>
        </x:is>
      </x:c>
      <x:c r="F273" s="6" t="inlineStr">
        <x:is>
          <x:t xml:space="preserve"/>
        </x:is>
      </x:c>
      <x:c r="G273" s="6" t="inlineStr">
        <x:is>
          <x:t xml:space="preserve">6</x:t>
        </x:is>
      </x:c>
      <x:c r="H273" s="5" t="inlineStr">
        <x:is>
          <x:t xml:space="preserve"/>
        </x:is>
      </x:c>
      <x:c r="I273" s="5" t="inlineStr">
        <x:is>
          <x:t xml:space="preserve"/>
        </x:is>
      </x:c>
      <x:c r="J273" s="5" t="inlineStr">
        <x:is>
          <x:t xml:space="preserve"/>
        </x:is>
      </x:c>
      <x:c r="K273" s="5" t="inlineStr">
        <x:is>
          <x:t xml:space="preserve"/>
        </x:is>
      </x:c>
      <x:c r="L273" s="5" t="inlineStr">
        <x:is>
          <x:t xml:space="preserve"/>
        </x:is>
      </x:c>
      <x:c r="M273" s="5" t="inlineStr">
        <x:is>
          <x:t xml:space="preserve"/>
        </x:is>
      </x:c>
      <x:c r="N273" s="5" t="inlineStr">
        <x:is>
          <x:t xml:space="preserve"/>
        </x:is>
      </x:c>
      <x:c r="O273" s="5" t="inlineStr">
        <x:is>
          <x:t xml:space="preserve"/>
        </x:is>
      </x:c>
      <x:c r="P273" s="5" t="inlineStr">
        <x:is>
          <x:t xml:space="preserve"/>
        </x:is>
      </x:c>
      <x:c r="Q273" s="5" t="inlineStr">
        <x:is>
          <x:t xml:space="preserve"/>
        </x:is>
      </x:c>
      <x:c r="R273" s="5">
        <x:f>IF(OR(F273="",G273=""),"",IF(F273&gt;=0.95*G273,1,0))</x:f>
      </x:c>
      <x:c r="S273" s="7">
        <x:f>IFERROR((I273+J273+K273)/F273,"")</x:f>
      </x:c>
      <x:c r="T273" s="5">
        <x:f>IFERROR(I273+J273+K273,"")</x:f>
        <x:v>0</x:v>
      </x:c>
    </x:row>
    <x:row r="274" ht="22" customHeight="1">
      <x:c r="A274" s="5" t="inlineStr">
        <x:is>
          <x:t xml:space="preserve">P023</x:t>
        </x:is>
      </x:c>
      <x:c r="B274" s="5" t="inlineStr">
        <x:is>
          <x:t xml:space="preserve">6</x:t>
        </x:is>
      </x:c>
      <x:c r="C274" s="5" t="inlineStr">
        <x:is>
          <x:t xml:space="preserve">V03_fitness_setup</x:t>
        </x:is>
      </x:c>
      <x:c r="D274" s="5" t="inlineStr">
        <x:is>
          <x:t xml:space="preserve">bcc</x:t>
        </x:is>
      </x:c>
      <x:c r="E274" s="5" t="inlineStr">
        <x:is>
          <x:t xml:space="preserve">audio_on</x:t>
        </x:is>
      </x:c>
      <x:c r="F274" s="6" t="inlineStr">
        <x:is>
          <x:t xml:space="preserve"/>
        </x:is>
      </x:c>
      <x:c r="G274" s="6" t="inlineStr">
        <x:is>
          <x:t xml:space="preserve">6</x:t>
        </x:is>
      </x:c>
      <x:c r="H274" s="5" t="inlineStr">
        <x:is>
          <x:t xml:space="preserve"/>
        </x:is>
      </x:c>
      <x:c r="I274" s="5" t="inlineStr">
        <x:is>
          <x:t xml:space="preserve"/>
        </x:is>
      </x:c>
      <x:c r="J274" s="5" t="inlineStr">
        <x:is>
          <x:t xml:space="preserve"/>
        </x:is>
      </x:c>
      <x:c r="K274" s="5" t="inlineStr">
        <x:is>
          <x:t xml:space="preserve"/>
        </x:is>
      </x:c>
      <x:c r="L274" s="5" t="inlineStr">
        <x:is>
          <x:t xml:space="preserve"/>
        </x:is>
      </x:c>
      <x:c r="M274" s="5" t="inlineStr">
        <x:is>
          <x:t xml:space="preserve"/>
        </x:is>
      </x:c>
      <x:c r="N274" s="5" t="inlineStr">
        <x:is>
          <x:t xml:space="preserve"/>
        </x:is>
      </x:c>
      <x:c r="O274" s="5" t="inlineStr">
        <x:is>
          <x:t xml:space="preserve"/>
        </x:is>
      </x:c>
      <x:c r="P274" s="5" t="inlineStr">
        <x:is>
          <x:t xml:space="preserve"/>
        </x:is>
      </x:c>
      <x:c r="Q274" s="5" t="inlineStr">
        <x:is>
          <x:t xml:space="preserve"/>
        </x:is>
      </x:c>
      <x:c r="R274" s="5">
        <x:f>IF(OR(F274="",G274=""),"",IF(F274&gt;=0.95*G274,1,0))</x:f>
      </x:c>
      <x:c r="S274" s="7">
        <x:f>IFERROR((I274+J274+K274)/F274,"")</x:f>
      </x:c>
      <x:c r="T274" s="5">
        <x:f>IFERROR(I274+J274+K274,"")</x:f>
        <x:v>0</x:v>
      </x:c>
    </x:row>
    <x:row r="275" ht="22" customHeight="1">
      <x:c r="A275" s="5" t="inlineStr">
        <x:is>
          <x:t xml:space="preserve">P023</x:t>
        </x:is>
      </x:c>
      <x:c r="B275" s="5" t="inlineStr">
        <x:is>
          <x:t xml:space="preserve">7</x:t>
        </x:is>
      </x:c>
      <x:c r="C275" s="5" t="inlineStr">
        <x:is>
          <x:t xml:space="preserve">V06_overload_open_loops</x:t>
        </x:is>
      </x:c>
      <x:c r="D275" s="5" t="inlineStr">
        <x:is>
          <x:t xml:space="preserve">bcc_plus</x:t>
        </x:is>
      </x:c>
      <x:c r="E275" s="5" t="inlineStr">
        <x:is>
          <x:t xml:space="preserve">muted</x:t>
        </x:is>
      </x:c>
      <x:c r="F275" s="6" t="inlineStr">
        <x:is>
          <x:t xml:space="preserve"/>
        </x:is>
      </x:c>
      <x:c r="G275" s="6" t="inlineStr">
        <x:is>
          <x:t xml:space="preserve">6</x:t>
        </x:is>
      </x:c>
      <x:c r="H275" s="5" t="inlineStr">
        <x:is>
          <x:t xml:space="preserve"/>
        </x:is>
      </x:c>
      <x:c r="I275" s="5" t="inlineStr">
        <x:is>
          <x:t xml:space="preserve"/>
        </x:is>
      </x:c>
      <x:c r="J275" s="5" t="inlineStr">
        <x:is>
          <x:t xml:space="preserve"/>
        </x:is>
      </x:c>
      <x:c r="K275" s="5" t="inlineStr">
        <x:is>
          <x:t xml:space="preserve"/>
        </x:is>
      </x:c>
      <x:c r="L275" s="5" t="inlineStr">
        <x:is>
          <x:t xml:space="preserve"/>
        </x:is>
      </x:c>
      <x:c r="M275" s="5" t="inlineStr">
        <x:is>
          <x:t xml:space="preserve"/>
        </x:is>
      </x:c>
      <x:c r="N275" s="5" t="inlineStr">
        <x:is>
          <x:t xml:space="preserve"/>
        </x:is>
      </x:c>
      <x:c r="O275" s="5" t="inlineStr">
        <x:is>
          <x:t xml:space="preserve"/>
        </x:is>
      </x:c>
      <x:c r="P275" s="5" t="inlineStr">
        <x:is>
          <x:t xml:space="preserve"/>
        </x:is>
      </x:c>
      <x:c r="Q275" s="5" t="inlineStr">
        <x:is>
          <x:t xml:space="preserve"/>
        </x:is>
      </x:c>
      <x:c r="R275" s="5">
        <x:f>IF(OR(F275="",G275=""),"",IF(F275&gt;=0.95*G275,1,0))</x:f>
      </x:c>
      <x:c r="S275" s="7">
        <x:f>IFERROR((I275+J275+K275)/F275,"")</x:f>
      </x:c>
      <x:c r="T275" s="5">
        <x:f>IFERROR(I275+J275+K275,"")</x:f>
        <x:v>0</x:v>
      </x:c>
    </x:row>
    <x:row r="276" ht="22" customHeight="1">
      <x:c r="A276" s="5" t="inlineStr">
        <x:is>
          <x:t xml:space="preserve">P023</x:t>
        </x:is>
      </x:c>
      <x:c r="B276" s="5" t="inlineStr">
        <x:is>
          <x:t xml:space="preserve">8</x:t>
        </x:is>
      </x:c>
      <x:c r="C276" s="5" t="inlineStr">
        <x:is>
          <x:t xml:space="preserve">V02_study_recall</x:t>
        </x:is>
      </x:c>
      <x:c r="D276" s="5" t="inlineStr">
        <x:is>
          <x:t xml:space="preserve">heavy_bionic</x:t>
        </x:is>
      </x:c>
      <x:c r="E276" s="5" t="inlineStr">
        <x:is>
          <x:t xml:space="preserve">audio_on</x:t>
        </x:is>
      </x:c>
      <x:c r="F276" s="6" t="inlineStr">
        <x:is>
          <x:t xml:space="preserve"/>
        </x:is>
      </x:c>
      <x:c r="G276" s="6" t="inlineStr">
        <x:is>
          <x:t xml:space="preserve">6</x:t>
        </x:is>
      </x:c>
      <x:c r="H276" s="5" t="inlineStr">
        <x:is>
          <x:t xml:space="preserve"/>
        </x:is>
      </x:c>
      <x:c r="I276" s="5" t="inlineStr">
        <x:is>
          <x:t xml:space="preserve"/>
        </x:is>
      </x:c>
      <x:c r="J276" s="5" t="inlineStr">
        <x:is>
          <x:t xml:space="preserve"/>
        </x:is>
      </x:c>
      <x:c r="K276" s="5" t="inlineStr">
        <x:is>
          <x:t xml:space="preserve"/>
        </x:is>
      </x:c>
      <x:c r="L276" s="5" t="inlineStr">
        <x:is>
          <x:t xml:space="preserve"/>
        </x:is>
      </x:c>
      <x:c r="M276" s="5" t="inlineStr">
        <x:is>
          <x:t xml:space="preserve"/>
        </x:is>
      </x:c>
      <x:c r="N276" s="5" t="inlineStr">
        <x:is>
          <x:t xml:space="preserve"/>
        </x:is>
      </x:c>
      <x:c r="O276" s="5" t="inlineStr">
        <x:is>
          <x:t xml:space="preserve"/>
        </x:is>
      </x:c>
      <x:c r="P276" s="5" t="inlineStr">
        <x:is>
          <x:t xml:space="preserve"/>
        </x:is>
      </x:c>
      <x:c r="Q276" s="5" t="inlineStr">
        <x:is>
          <x:t xml:space="preserve"/>
        </x:is>
      </x:c>
      <x:c r="R276" s="5">
        <x:f>IF(OR(F276="",G276=""),"",IF(F276&gt;=0.95*G276,1,0))</x:f>
      </x:c>
      <x:c r="S276" s="7">
        <x:f>IFERROR((I276+J276+K276)/F276,"")</x:f>
      </x:c>
      <x:c r="T276" s="5">
        <x:f>IFERROR(I276+J276+K276,"")</x:f>
        <x:v>0</x:v>
      </x:c>
    </x:row>
    <x:row r="277" ht="22" customHeight="1">
      <x:c r="A277" s="5" t="inlineStr">
        <x:is>
          <x:t xml:space="preserve">P023</x:t>
        </x:is>
      </x:c>
      <x:c r="B277" s="5" t="inlineStr">
        <x:is>
          <x:t xml:space="preserve">9</x:t>
        </x:is>
      </x:c>
      <x:c r="C277" s="5" t="inlineStr">
        <x:is>
          <x:t xml:space="preserve">V05_coding_assumptions</x:t>
        </x:is>
      </x:c>
      <x:c r="D277" s="5" t="inlineStr">
        <x:is>
          <x:t xml:space="preserve">full_transcript</x:t>
        </x:is>
      </x:c>
      <x:c r="E277" s="5" t="inlineStr">
        <x:is>
          <x:t xml:space="preserve">muted</x:t>
        </x:is>
      </x:c>
      <x:c r="F277" s="6" t="inlineStr">
        <x:is>
          <x:t xml:space="preserve"/>
        </x:is>
      </x:c>
      <x:c r="G277" s="6" t="inlineStr">
        <x:is>
          <x:t xml:space="preserve">6</x:t>
        </x:is>
      </x:c>
      <x:c r="H277" s="5" t="inlineStr">
        <x:is>
          <x:t xml:space="preserve"/>
        </x:is>
      </x:c>
      <x:c r="I277" s="5" t="inlineStr">
        <x:is>
          <x:t xml:space="preserve"/>
        </x:is>
      </x:c>
      <x:c r="J277" s="5" t="inlineStr">
        <x:is>
          <x:t xml:space="preserve"/>
        </x:is>
      </x:c>
      <x:c r="K277" s="5" t="inlineStr">
        <x:is>
          <x:t xml:space="preserve"/>
        </x:is>
      </x:c>
      <x:c r="L277" s="5" t="inlineStr">
        <x:is>
          <x:t xml:space="preserve"/>
        </x:is>
      </x:c>
      <x:c r="M277" s="5" t="inlineStr">
        <x:is>
          <x:t xml:space="preserve"/>
        </x:is>
      </x:c>
      <x:c r="N277" s="5" t="inlineStr">
        <x:is>
          <x:t xml:space="preserve"/>
        </x:is>
      </x:c>
      <x:c r="O277" s="5" t="inlineStr">
        <x:is>
          <x:t xml:space="preserve"/>
        </x:is>
      </x:c>
      <x:c r="P277" s="5" t="inlineStr">
        <x:is>
          <x:t xml:space="preserve"/>
        </x:is>
      </x:c>
      <x:c r="Q277" s="5" t="inlineStr">
        <x:is>
          <x:t xml:space="preserve"/>
        </x:is>
      </x:c>
      <x:c r="R277" s="5">
        <x:f>IF(OR(F277="",G277=""),"",IF(F277&gt;=0.95*G277,1,0))</x:f>
      </x:c>
      <x:c r="S277" s="7">
        <x:f>IFERROR((I277+J277+K277)/F277,"")</x:f>
      </x:c>
      <x:c r="T277" s="5">
        <x:f>IFERROR(I277+J277+K277,"")</x:f>
        <x:v>0</x:v>
      </x:c>
    </x:row>
    <x:row r="278" ht="22" customHeight="1">
      <x:c r="A278" s="5" t="inlineStr">
        <x:is>
          <x:t xml:space="preserve">P023</x:t>
        </x:is>
      </x:c>
      <x:c r="B278" s="5" t="inlineStr">
        <x:is>
          <x:t xml:space="preserve">10</x:t>
        </x:is>
      </x:c>
      <x:c r="C278" s="5" t="inlineStr">
        <x:is>
          <x:t xml:space="preserve">V10_tutorial_ui</x:t>
        </x:is>
      </x:c>
      <x:c r="D278" s="5" t="inlineStr">
        <x:is>
          <x:t xml:space="preserve">keyword_highlight</x:t>
        </x:is>
      </x:c>
      <x:c r="E278" s="5" t="inlineStr">
        <x:is>
          <x:t xml:space="preserve">audio_on</x:t>
        </x:is>
      </x:c>
      <x:c r="F278" s="6" t="inlineStr">
        <x:is>
          <x:t xml:space="preserve"/>
        </x:is>
      </x:c>
      <x:c r="G278" s="6" t="inlineStr">
        <x:is>
          <x:t xml:space="preserve">6</x:t>
        </x:is>
      </x:c>
      <x:c r="H278" s="5" t="inlineStr">
        <x:is>
          <x:t xml:space="preserve"/>
        </x:is>
      </x:c>
      <x:c r="I278" s="5" t="inlineStr">
        <x:is>
          <x:t xml:space="preserve"/>
        </x:is>
      </x:c>
      <x:c r="J278" s="5" t="inlineStr">
        <x:is>
          <x:t xml:space="preserve"/>
        </x:is>
      </x:c>
      <x:c r="K278" s="5" t="inlineStr">
        <x:is>
          <x:t xml:space="preserve"/>
        </x:is>
      </x:c>
      <x:c r="L278" s="5" t="inlineStr">
        <x:is>
          <x:t xml:space="preserve"/>
        </x:is>
      </x:c>
      <x:c r="M278" s="5" t="inlineStr">
        <x:is>
          <x:t xml:space="preserve"/>
        </x:is>
      </x:c>
      <x:c r="N278" s="5" t="inlineStr">
        <x:is>
          <x:t xml:space="preserve"/>
        </x:is>
      </x:c>
      <x:c r="O278" s="5" t="inlineStr">
        <x:is>
          <x:t xml:space="preserve"/>
        </x:is>
      </x:c>
      <x:c r="P278" s="5" t="inlineStr">
        <x:is>
          <x:t xml:space="preserve"/>
        </x:is>
      </x:c>
      <x:c r="Q278" s="5" t="inlineStr">
        <x:is>
          <x:t xml:space="preserve"/>
        </x:is>
      </x:c>
      <x:c r="R278" s="5">
        <x:f>IF(OR(F278="",G278=""),"",IF(F278&gt;=0.95*G278,1,0))</x:f>
      </x:c>
      <x:c r="S278" s="7">
        <x:f>IFERROR((I278+J278+K278)/F278,"")</x:f>
      </x:c>
      <x:c r="T278" s="5">
        <x:f>IFERROR(I278+J278+K278,"")</x:f>
        <x:v>0</x:v>
      </x:c>
    </x:row>
    <x:row r="279" ht="22" customHeight="1">
      <x:c r="A279" s="5" t="inlineStr">
        <x:is>
          <x:t xml:space="preserve">P023</x:t>
        </x:is>
      </x:c>
      <x:c r="B279" s="5" t="inlineStr">
        <x:is>
          <x:t xml:space="preserve">11</x:t>
        </x:is>
      </x:c>
      <x:c r="C279" s="5" t="inlineStr">
        <x:is>
          <x:t xml:space="preserve">V04_money_visibility</x:t>
        </x:is>
      </x:c>
      <x:c r="D279" s="5" t="inlineStr">
        <x:is>
          <x:t xml:space="preserve">semantic_compression</x:t>
        </x:is>
      </x:c>
      <x:c r="E279" s="5" t="inlineStr">
        <x:is>
          <x:t xml:space="preserve">muted</x:t>
        </x:is>
      </x:c>
      <x:c r="F279" s="6" t="inlineStr">
        <x:is>
          <x:t xml:space="preserve"/>
        </x:is>
      </x:c>
      <x:c r="G279" s="6" t="inlineStr">
        <x:is>
          <x:t xml:space="preserve">6</x:t>
        </x:is>
      </x:c>
      <x:c r="H279" s="5" t="inlineStr">
        <x:is>
          <x:t xml:space="preserve"/>
        </x:is>
      </x:c>
      <x:c r="I279" s="5" t="inlineStr">
        <x:is>
          <x:t xml:space="preserve"/>
        </x:is>
      </x:c>
      <x:c r="J279" s="5" t="inlineStr">
        <x:is>
          <x:t xml:space="preserve"/>
        </x:is>
      </x:c>
      <x:c r="K279" s="5" t="inlineStr">
        <x:is>
          <x:t xml:space="preserve"/>
        </x:is>
      </x:c>
      <x:c r="L279" s="5" t="inlineStr">
        <x:is>
          <x:t xml:space="preserve"/>
        </x:is>
      </x:c>
      <x:c r="M279" s="5" t="inlineStr">
        <x:is>
          <x:t xml:space="preserve"/>
        </x:is>
      </x:c>
      <x:c r="N279" s="5" t="inlineStr">
        <x:is>
          <x:t xml:space="preserve"/>
        </x:is>
      </x:c>
      <x:c r="O279" s="5" t="inlineStr">
        <x:is>
          <x:t xml:space="preserve"/>
        </x:is>
      </x:c>
      <x:c r="P279" s="5" t="inlineStr">
        <x:is>
          <x:t xml:space="preserve"/>
        </x:is>
      </x:c>
      <x:c r="Q279" s="5" t="inlineStr">
        <x:is>
          <x:t xml:space="preserve"/>
        </x:is>
      </x:c>
      <x:c r="R279" s="5">
        <x:f>IF(OR(F279="",G279=""),"",IF(F279&gt;=0.95*G279,1,0))</x:f>
      </x:c>
      <x:c r="S279" s="7">
        <x:f>IFERROR((I279+J279+K279)/F279,"")</x:f>
      </x:c>
      <x:c r="T279" s="5">
        <x:f>IFERROR(I279+J279+K279,"")</x:f>
        <x:v>0</x:v>
      </x:c>
    </x:row>
    <x:row r="280" ht="22" customHeight="1">
      <x:c r="A280" s="5" t="inlineStr">
        <x:is>
          <x:t xml:space="preserve">P023</x:t>
        </x:is>
      </x:c>
      <x:c r="B280" s="5" t="inlineStr">
        <x:is>
          <x:t xml:space="preserve">12</x:t>
        </x:is>
      </x:c>
      <x:c r="C280" s="5" t="inlineStr">
        <x:is>
          <x:t xml:space="preserve">V09_nutrition_satiety</x:t>
        </x:is>
      </x:c>
      <x:c r="D280" s="5" t="inlineStr">
        <x:is>
          <x:t xml:space="preserve">bcc</x:t>
        </x:is>
      </x:c>
      <x:c r="E280" s="5" t="inlineStr">
        <x:is>
          <x:t xml:space="preserve">audio_on</x:t>
        </x:is>
      </x:c>
      <x:c r="F280" s="6" t="inlineStr">
        <x:is>
          <x:t xml:space="preserve"/>
        </x:is>
      </x:c>
      <x:c r="G280" s="6" t="inlineStr">
        <x:is>
          <x:t xml:space="preserve">6</x:t>
        </x:is>
      </x:c>
      <x:c r="H280" s="5" t="inlineStr">
        <x:is>
          <x:t xml:space="preserve"/>
        </x:is>
      </x:c>
      <x:c r="I280" s="5" t="inlineStr">
        <x:is>
          <x:t xml:space="preserve"/>
        </x:is>
      </x:c>
      <x:c r="J280" s="5" t="inlineStr">
        <x:is>
          <x:t xml:space="preserve"/>
        </x:is>
      </x:c>
      <x:c r="K280" s="5" t="inlineStr">
        <x:is>
          <x:t xml:space="preserve"/>
        </x:is>
      </x:c>
      <x:c r="L280" s="5" t="inlineStr">
        <x:is>
          <x:t xml:space="preserve"/>
        </x:is>
      </x:c>
      <x:c r="M280" s="5" t="inlineStr">
        <x:is>
          <x:t xml:space="preserve"/>
        </x:is>
      </x:c>
      <x:c r="N280" s="5" t="inlineStr">
        <x:is>
          <x:t xml:space="preserve"/>
        </x:is>
      </x:c>
      <x:c r="O280" s="5" t="inlineStr">
        <x:is>
          <x:t xml:space="preserve"/>
        </x:is>
      </x:c>
      <x:c r="P280" s="5" t="inlineStr">
        <x:is>
          <x:t xml:space="preserve"/>
        </x:is>
      </x:c>
      <x:c r="Q280" s="5" t="inlineStr">
        <x:is>
          <x:t xml:space="preserve"/>
        </x:is>
      </x:c>
      <x:c r="R280" s="5">
        <x:f>IF(OR(F280="",G280=""),"",IF(F280&gt;=0.95*G280,1,0))</x:f>
      </x:c>
      <x:c r="S280" s="7">
        <x:f>IFERROR((I280+J280+K280)/F280,"")</x:f>
      </x:c>
      <x:c r="T280" s="5">
        <x:f>IFERROR(I280+J280+K280,"")</x:f>
        <x:v>0</x:v>
      </x:c>
    </x:row>
    <x:row r="281" ht="22" customHeight="1">
      <x:c r="A281" s="5" t="inlineStr">
        <x:is>
          <x:t xml:space="preserve">P024</x:t>
        </x:is>
      </x:c>
      <x:c r="B281" s="5" t="inlineStr">
        <x:is>
          <x:t xml:space="preserve">1</x:t>
        </x:is>
      </x:c>
      <x:c r="C281" s="5" t="inlineStr">
        <x:is>
          <x:t xml:space="preserve">V08_calendar_system</x:t>
        </x:is>
      </x:c>
      <x:c r="D281" s="5" t="inlineStr">
        <x:is>
          <x:t xml:space="preserve">heavy_bionic</x:t>
        </x:is>
      </x:c>
      <x:c r="E281" s="5" t="inlineStr">
        <x:is>
          <x:t xml:space="preserve">audio_on</x:t>
        </x:is>
      </x:c>
      <x:c r="F281" s="6" t="inlineStr">
        <x:is>
          <x:t xml:space="preserve"/>
        </x:is>
      </x:c>
      <x:c r="G281" s="6" t="inlineStr">
        <x:is>
          <x:t xml:space="preserve">6</x:t>
        </x:is>
      </x:c>
      <x:c r="H281" s="5" t="inlineStr">
        <x:is>
          <x:t xml:space="preserve"/>
        </x:is>
      </x:c>
      <x:c r="I281" s="5" t="inlineStr">
        <x:is>
          <x:t xml:space="preserve"/>
        </x:is>
      </x:c>
      <x:c r="J281" s="5" t="inlineStr">
        <x:is>
          <x:t xml:space="preserve"/>
        </x:is>
      </x:c>
      <x:c r="K281" s="5" t="inlineStr">
        <x:is>
          <x:t xml:space="preserve"/>
        </x:is>
      </x:c>
      <x:c r="L281" s="5" t="inlineStr">
        <x:is>
          <x:t xml:space="preserve"/>
        </x:is>
      </x:c>
      <x:c r="M281" s="5" t="inlineStr">
        <x:is>
          <x:t xml:space="preserve"/>
        </x:is>
      </x:c>
      <x:c r="N281" s="5" t="inlineStr">
        <x:is>
          <x:t xml:space="preserve"/>
        </x:is>
      </x:c>
      <x:c r="O281" s="5" t="inlineStr">
        <x:is>
          <x:t xml:space="preserve"/>
        </x:is>
      </x:c>
      <x:c r="P281" s="5" t="inlineStr">
        <x:is>
          <x:t xml:space="preserve"/>
        </x:is>
      </x:c>
      <x:c r="Q281" s="5" t="inlineStr">
        <x:is>
          <x:t xml:space="preserve"/>
        </x:is>
      </x:c>
      <x:c r="R281" s="5">
        <x:f>IF(OR(F281="",G281=""),"",IF(F281&gt;=0.95*G281,1,0))</x:f>
      </x:c>
      <x:c r="S281" s="7">
        <x:f>IFERROR((I281+J281+K281)/F281,"")</x:f>
      </x:c>
      <x:c r="T281" s="5">
        <x:f>IFERROR(I281+J281+K281,"")</x:f>
        <x:v>0</x:v>
      </x:c>
    </x:row>
    <x:row r="282" ht="22" customHeight="1">
      <x:c r="A282" s="5" t="inlineStr">
        <x:is>
          <x:t xml:space="preserve">P024</x:t>
        </x:is>
      </x:c>
      <x:c r="B282" s="5" t="inlineStr">
        <x:is>
          <x:t xml:space="preserve">2</x:t>
        </x:is>
      </x:c>
      <x:c r="C282" s="5" t="inlineStr">
        <x:is>
          <x:t xml:space="preserve">V06_overload_open_loops</x:t>
        </x:is>
      </x:c>
      <x:c r="D282" s="5" t="inlineStr">
        <x:is>
          <x:t xml:space="preserve">full_transcript</x:t>
        </x:is>
      </x:c>
      <x:c r="E282" s="5" t="inlineStr">
        <x:is>
          <x:t xml:space="preserve">muted</x:t>
        </x:is>
      </x:c>
      <x:c r="F282" s="6" t="inlineStr">
        <x:is>
          <x:t xml:space="preserve"/>
        </x:is>
      </x:c>
      <x:c r="G282" s="6" t="inlineStr">
        <x:is>
          <x:t xml:space="preserve">6</x:t>
        </x:is>
      </x:c>
      <x:c r="H282" s="5" t="inlineStr">
        <x:is>
          <x:t xml:space="preserve"/>
        </x:is>
      </x:c>
      <x:c r="I282" s="5" t="inlineStr">
        <x:is>
          <x:t xml:space="preserve"/>
        </x:is>
      </x:c>
      <x:c r="J282" s="5" t="inlineStr">
        <x:is>
          <x:t xml:space="preserve"/>
        </x:is>
      </x:c>
      <x:c r="K282" s="5" t="inlineStr">
        <x:is>
          <x:t xml:space="preserve"/>
        </x:is>
      </x:c>
      <x:c r="L282" s="5" t="inlineStr">
        <x:is>
          <x:t xml:space="preserve"/>
        </x:is>
      </x:c>
      <x:c r="M282" s="5" t="inlineStr">
        <x:is>
          <x:t xml:space="preserve"/>
        </x:is>
      </x:c>
      <x:c r="N282" s="5" t="inlineStr">
        <x:is>
          <x:t xml:space="preserve"/>
        </x:is>
      </x:c>
      <x:c r="O282" s="5" t="inlineStr">
        <x:is>
          <x:t xml:space="preserve"/>
        </x:is>
      </x:c>
      <x:c r="P282" s="5" t="inlineStr">
        <x:is>
          <x:t xml:space="preserve"/>
        </x:is>
      </x:c>
      <x:c r="Q282" s="5" t="inlineStr">
        <x:is>
          <x:t xml:space="preserve"/>
        </x:is>
      </x:c>
      <x:c r="R282" s="5">
        <x:f>IF(OR(F282="",G282=""),"",IF(F282&gt;=0.95*G282,1,0))</x:f>
      </x:c>
      <x:c r="S282" s="7">
        <x:f>IFERROR((I282+J282+K282)/F282,"")</x:f>
      </x:c>
      <x:c r="T282" s="5">
        <x:f>IFERROR(I282+J282+K282,"")</x:f>
        <x:v>0</x:v>
      </x:c>
    </x:row>
    <x:row r="283" ht="22" customHeight="1">
      <x:c r="A283" s="5" t="inlineStr">
        <x:is>
          <x:t xml:space="preserve">P024</x:t>
        </x:is>
      </x:c>
      <x:c r="B283" s="5" t="inlineStr">
        <x:is>
          <x:t xml:space="preserve">3</x:t>
        </x:is>
      </x:c>
      <x:c r="C283" s="5" t="inlineStr">
        <x:is>
          <x:t xml:space="preserve">V10_tutorial_ui</x:t>
        </x:is>
      </x:c>
      <x:c r="D283" s="5" t="inlineStr">
        <x:is>
          <x:t xml:space="preserve">keyword_highlight</x:t>
        </x:is>
      </x:c>
      <x:c r="E283" s="5" t="inlineStr">
        <x:is>
          <x:t xml:space="preserve">audio_on</x:t>
        </x:is>
      </x:c>
      <x:c r="F283" s="6" t="inlineStr">
        <x:is>
          <x:t xml:space="preserve"/>
        </x:is>
      </x:c>
      <x:c r="G283" s="6" t="inlineStr">
        <x:is>
          <x:t xml:space="preserve">6</x:t>
        </x:is>
      </x:c>
      <x:c r="H283" s="5" t="inlineStr">
        <x:is>
          <x:t xml:space="preserve"/>
        </x:is>
      </x:c>
      <x:c r="I283" s="5" t="inlineStr">
        <x:is>
          <x:t xml:space="preserve"/>
        </x:is>
      </x:c>
      <x:c r="J283" s="5" t="inlineStr">
        <x:is>
          <x:t xml:space="preserve"/>
        </x:is>
      </x:c>
      <x:c r="K283" s="5" t="inlineStr">
        <x:is>
          <x:t xml:space="preserve"/>
        </x:is>
      </x:c>
      <x:c r="L283" s="5" t="inlineStr">
        <x:is>
          <x:t xml:space="preserve"/>
        </x:is>
      </x:c>
      <x:c r="M283" s="5" t="inlineStr">
        <x:is>
          <x:t xml:space="preserve"/>
        </x:is>
      </x:c>
      <x:c r="N283" s="5" t="inlineStr">
        <x:is>
          <x:t xml:space="preserve"/>
        </x:is>
      </x:c>
      <x:c r="O283" s="5" t="inlineStr">
        <x:is>
          <x:t xml:space="preserve"/>
        </x:is>
      </x:c>
      <x:c r="P283" s="5" t="inlineStr">
        <x:is>
          <x:t xml:space="preserve"/>
        </x:is>
      </x:c>
      <x:c r="Q283" s="5" t="inlineStr">
        <x:is>
          <x:t xml:space="preserve"/>
        </x:is>
      </x:c>
      <x:c r="R283" s="5">
        <x:f>IF(OR(F283="",G283=""),"",IF(F283&gt;=0.95*G283,1,0))</x:f>
      </x:c>
      <x:c r="S283" s="7">
        <x:f>IFERROR((I283+J283+K283)/F283,"")</x:f>
      </x:c>
      <x:c r="T283" s="5">
        <x:f>IFERROR(I283+J283+K283,"")</x:f>
        <x:v>0</x:v>
      </x:c>
    </x:row>
    <x:row r="284" ht="22" customHeight="1">
      <x:c r="A284" s="5" t="inlineStr">
        <x:is>
          <x:t xml:space="preserve">P024</x:t>
        </x:is>
      </x:c>
      <x:c r="B284" s="5" t="inlineStr">
        <x:is>
          <x:t xml:space="preserve">4</x:t>
        </x:is>
      </x:c>
      <x:c r="C284" s="5" t="inlineStr">
        <x:is>
          <x:t xml:space="preserve">V03_fitness_setup</x:t>
        </x:is>
      </x:c>
      <x:c r="D284" s="5" t="inlineStr">
        <x:is>
          <x:t xml:space="preserve">semantic_compression</x:t>
        </x:is>
      </x:c>
      <x:c r="E284" s="5" t="inlineStr">
        <x:is>
          <x:t xml:space="preserve">muted</x:t>
        </x:is>
      </x:c>
      <x:c r="F284" s="6" t="inlineStr">
        <x:is>
          <x:t xml:space="preserve"/>
        </x:is>
      </x:c>
      <x:c r="G284" s="6" t="inlineStr">
        <x:is>
          <x:t xml:space="preserve">6</x:t>
        </x:is>
      </x:c>
      <x:c r="H284" s="5" t="inlineStr">
        <x:is>
          <x:t xml:space="preserve"/>
        </x:is>
      </x:c>
      <x:c r="I284" s="5" t="inlineStr">
        <x:is>
          <x:t xml:space="preserve"/>
        </x:is>
      </x:c>
      <x:c r="J284" s="5" t="inlineStr">
        <x:is>
          <x:t xml:space="preserve"/>
        </x:is>
      </x:c>
      <x:c r="K284" s="5" t="inlineStr">
        <x:is>
          <x:t xml:space="preserve"/>
        </x:is>
      </x:c>
      <x:c r="L284" s="5" t="inlineStr">
        <x:is>
          <x:t xml:space="preserve"/>
        </x:is>
      </x:c>
      <x:c r="M284" s="5" t="inlineStr">
        <x:is>
          <x:t xml:space="preserve"/>
        </x:is>
      </x:c>
      <x:c r="N284" s="5" t="inlineStr">
        <x:is>
          <x:t xml:space="preserve"/>
        </x:is>
      </x:c>
      <x:c r="O284" s="5" t="inlineStr">
        <x:is>
          <x:t xml:space="preserve"/>
        </x:is>
      </x:c>
      <x:c r="P284" s="5" t="inlineStr">
        <x:is>
          <x:t xml:space="preserve"/>
        </x:is>
      </x:c>
      <x:c r="Q284" s="5" t="inlineStr">
        <x:is>
          <x:t xml:space="preserve"/>
        </x:is>
      </x:c>
      <x:c r="R284" s="5">
        <x:f>IF(OR(F284="",G284=""),"",IF(F284&gt;=0.95*G284,1,0))</x:f>
      </x:c>
      <x:c r="S284" s="7">
        <x:f>IFERROR((I284+J284+K284)/F284,"")</x:f>
      </x:c>
      <x:c r="T284" s="5">
        <x:f>IFERROR(I284+J284+K284,"")</x:f>
        <x:v>0</x:v>
      </x:c>
    </x:row>
    <x:row r="285" ht="22" customHeight="1">
      <x:c r="A285" s="5" t="inlineStr">
        <x:is>
          <x:t xml:space="preserve">P024</x:t>
        </x:is>
      </x:c>
      <x:c r="B285" s="5" t="inlineStr">
        <x:is>
          <x:t xml:space="preserve">5</x:t>
        </x:is>
      </x:c>
      <x:c r="C285" s="5" t="inlineStr">
        <x:is>
          <x:t xml:space="preserve">V04_money_visibility</x:t>
        </x:is>
      </x:c>
      <x:c r="D285" s="5" t="inlineStr">
        <x:is>
          <x:t xml:space="preserve">bcc</x:t>
        </x:is>
      </x:c>
      <x:c r="E285" s="5" t="inlineStr">
        <x:is>
          <x:t xml:space="preserve">audio_on</x:t>
        </x:is>
      </x:c>
      <x:c r="F285" s="6" t="inlineStr">
        <x:is>
          <x:t xml:space="preserve"/>
        </x:is>
      </x:c>
      <x:c r="G285" s="6" t="inlineStr">
        <x:is>
          <x:t xml:space="preserve">6</x:t>
        </x:is>
      </x:c>
      <x:c r="H285" s="5" t="inlineStr">
        <x:is>
          <x:t xml:space="preserve"/>
        </x:is>
      </x:c>
      <x:c r="I285" s="5" t="inlineStr">
        <x:is>
          <x:t xml:space="preserve"/>
        </x:is>
      </x:c>
      <x:c r="J285" s="5" t="inlineStr">
        <x:is>
          <x:t xml:space="preserve"/>
        </x:is>
      </x:c>
      <x:c r="K285" s="5" t="inlineStr">
        <x:is>
          <x:t xml:space="preserve"/>
        </x:is>
      </x:c>
      <x:c r="L285" s="5" t="inlineStr">
        <x:is>
          <x:t xml:space="preserve"/>
        </x:is>
      </x:c>
      <x:c r="M285" s="5" t="inlineStr">
        <x:is>
          <x:t xml:space="preserve"/>
        </x:is>
      </x:c>
      <x:c r="N285" s="5" t="inlineStr">
        <x:is>
          <x:t xml:space="preserve"/>
        </x:is>
      </x:c>
      <x:c r="O285" s="5" t="inlineStr">
        <x:is>
          <x:t xml:space="preserve"/>
        </x:is>
      </x:c>
      <x:c r="P285" s="5" t="inlineStr">
        <x:is>
          <x:t xml:space="preserve"/>
        </x:is>
      </x:c>
      <x:c r="Q285" s="5" t="inlineStr">
        <x:is>
          <x:t xml:space="preserve"/>
        </x:is>
      </x:c>
      <x:c r="R285" s="5">
        <x:f>IF(OR(F285="",G285=""),"",IF(F285&gt;=0.95*G285,1,0))</x:f>
      </x:c>
      <x:c r="S285" s="7">
        <x:f>IFERROR((I285+J285+K285)/F285,"")</x:f>
      </x:c>
      <x:c r="T285" s="5">
        <x:f>IFERROR(I285+J285+K285,"")</x:f>
        <x:v>0</x:v>
      </x:c>
    </x:row>
    <x:row r="286" ht="22" customHeight="1">
      <x:c r="A286" s="5" t="inlineStr">
        <x:is>
          <x:t xml:space="preserve">P024</x:t>
        </x:is>
      </x:c>
      <x:c r="B286" s="5" t="inlineStr">
        <x:is>
          <x:t xml:space="preserve">6</x:t>
        </x:is>
      </x:c>
      <x:c r="C286" s="5" t="inlineStr">
        <x:is>
          <x:t xml:space="preserve">V09_nutrition_satiety</x:t>
        </x:is>
      </x:c>
      <x:c r="D286" s="5" t="inlineStr">
        <x:is>
          <x:t xml:space="preserve">bcc_plus</x:t>
        </x:is>
      </x:c>
      <x:c r="E286" s="5" t="inlineStr">
        <x:is>
          <x:t xml:space="preserve">muted</x:t>
        </x:is>
      </x:c>
      <x:c r="F286" s="6" t="inlineStr">
        <x:is>
          <x:t xml:space="preserve"/>
        </x:is>
      </x:c>
      <x:c r="G286" s="6" t="inlineStr">
        <x:is>
          <x:t xml:space="preserve">6</x:t>
        </x:is>
      </x:c>
      <x:c r="H286" s="5" t="inlineStr">
        <x:is>
          <x:t xml:space="preserve"/>
        </x:is>
      </x:c>
      <x:c r="I286" s="5" t="inlineStr">
        <x:is>
          <x:t xml:space="preserve"/>
        </x:is>
      </x:c>
      <x:c r="J286" s="5" t="inlineStr">
        <x:is>
          <x:t xml:space="preserve"/>
        </x:is>
      </x:c>
      <x:c r="K286" s="5" t="inlineStr">
        <x:is>
          <x:t xml:space="preserve"/>
        </x:is>
      </x:c>
      <x:c r="L286" s="5" t="inlineStr">
        <x:is>
          <x:t xml:space="preserve"/>
        </x:is>
      </x:c>
      <x:c r="M286" s="5" t="inlineStr">
        <x:is>
          <x:t xml:space="preserve"/>
        </x:is>
      </x:c>
      <x:c r="N286" s="5" t="inlineStr">
        <x:is>
          <x:t xml:space="preserve"/>
        </x:is>
      </x:c>
      <x:c r="O286" s="5" t="inlineStr">
        <x:is>
          <x:t xml:space="preserve"/>
        </x:is>
      </x:c>
      <x:c r="P286" s="5" t="inlineStr">
        <x:is>
          <x:t xml:space="preserve"/>
        </x:is>
      </x:c>
      <x:c r="Q286" s="5" t="inlineStr">
        <x:is>
          <x:t xml:space="preserve"/>
        </x:is>
      </x:c>
      <x:c r="R286" s="5">
        <x:f>IF(OR(F286="",G286=""),"",IF(F286&gt;=0.95*G286,1,0))</x:f>
      </x:c>
      <x:c r="S286" s="7">
        <x:f>IFERROR((I286+J286+K286)/F286,"")</x:f>
      </x:c>
      <x:c r="T286" s="5">
        <x:f>IFERROR(I286+J286+K286,"")</x:f>
        <x:v>0</x:v>
      </x:c>
    </x:row>
    <x:row r="287" ht="22" customHeight="1">
      <x:c r="A287" s="5" t="inlineStr">
        <x:is>
          <x:t xml:space="preserve">P024</x:t>
        </x:is>
      </x:c>
      <x:c r="B287" s="5" t="inlineStr">
        <x:is>
          <x:t xml:space="preserve">7</x:t>
        </x:is>
      </x:c>
      <x:c r="C287" s="5" t="inlineStr">
        <x:is>
          <x:t xml:space="preserve">V12_creativity_constraints</x:t>
        </x:is>
      </x:c>
      <x:c r="D287" s="5" t="inlineStr">
        <x:is>
          <x:t xml:space="preserve">heavy_bionic</x:t>
        </x:is>
      </x:c>
      <x:c r="E287" s="5" t="inlineStr">
        <x:is>
          <x:t xml:space="preserve">audio_on</x:t>
        </x:is>
      </x:c>
      <x:c r="F287" s="6" t="inlineStr">
        <x:is>
          <x:t xml:space="preserve"/>
        </x:is>
      </x:c>
      <x:c r="G287" s="6" t="inlineStr">
        <x:is>
          <x:t xml:space="preserve">6</x:t>
        </x:is>
      </x:c>
      <x:c r="H287" s="5" t="inlineStr">
        <x:is>
          <x:t xml:space="preserve"/>
        </x:is>
      </x:c>
      <x:c r="I287" s="5" t="inlineStr">
        <x:is>
          <x:t xml:space="preserve"/>
        </x:is>
      </x:c>
      <x:c r="J287" s="5" t="inlineStr">
        <x:is>
          <x:t xml:space="preserve"/>
        </x:is>
      </x:c>
      <x:c r="K287" s="5" t="inlineStr">
        <x:is>
          <x:t xml:space="preserve"/>
        </x:is>
      </x:c>
      <x:c r="L287" s="5" t="inlineStr">
        <x:is>
          <x:t xml:space="preserve"/>
        </x:is>
      </x:c>
      <x:c r="M287" s="5" t="inlineStr">
        <x:is>
          <x:t xml:space="preserve"/>
        </x:is>
      </x:c>
      <x:c r="N287" s="5" t="inlineStr">
        <x:is>
          <x:t xml:space="preserve"/>
        </x:is>
      </x:c>
      <x:c r="O287" s="5" t="inlineStr">
        <x:is>
          <x:t xml:space="preserve"/>
        </x:is>
      </x:c>
      <x:c r="P287" s="5" t="inlineStr">
        <x:is>
          <x:t xml:space="preserve"/>
        </x:is>
      </x:c>
      <x:c r="Q287" s="5" t="inlineStr">
        <x:is>
          <x:t xml:space="preserve"/>
        </x:is>
      </x:c>
      <x:c r="R287" s="5">
        <x:f>IF(OR(F287="",G287=""),"",IF(F287&gt;=0.95*G287,1,0))</x:f>
      </x:c>
      <x:c r="S287" s="7">
        <x:f>IFERROR((I287+J287+K287)/F287,"")</x:f>
      </x:c>
      <x:c r="T287" s="5">
        <x:f>IFERROR(I287+J287+K287,"")</x:f>
        <x:v>0</x:v>
      </x:c>
    </x:row>
    <x:row r="288" ht="22" customHeight="1">
      <x:c r="A288" s="5" t="inlineStr">
        <x:is>
          <x:t xml:space="preserve">P024</x:t>
        </x:is>
      </x:c>
      <x:c r="B288" s="5" t="inlineStr">
        <x:is>
          <x:t xml:space="preserve">8</x:t>
        </x:is>
      </x:c>
      <x:c r="C288" s="5" t="inlineStr">
        <x:is>
          <x:t xml:space="preserve">V11_story_burnout</x:t>
        </x:is>
      </x:c>
      <x:c r="D288" s="5" t="inlineStr">
        <x:is>
          <x:t xml:space="preserve">full_transcript</x:t>
        </x:is>
      </x:c>
      <x:c r="E288" s="5" t="inlineStr">
        <x:is>
          <x:t xml:space="preserve">muted</x:t>
        </x:is>
      </x:c>
      <x:c r="F288" s="6" t="inlineStr">
        <x:is>
          <x:t xml:space="preserve"/>
        </x:is>
      </x:c>
      <x:c r="G288" s="6" t="inlineStr">
        <x:is>
          <x:t xml:space="preserve">6</x:t>
        </x:is>
      </x:c>
      <x:c r="H288" s="5" t="inlineStr">
        <x:is>
          <x:t xml:space="preserve"/>
        </x:is>
      </x:c>
      <x:c r="I288" s="5" t="inlineStr">
        <x:is>
          <x:t xml:space="preserve"/>
        </x:is>
      </x:c>
      <x:c r="J288" s="5" t="inlineStr">
        <x:is>
          <x:t xml:space="preserve"/>
        </x:is>
      </x:c>
      <x:c r="K288" s="5" t="inlineStr">
        <x:is>
          <x:t xml:space="preserve"/>
        </x:is>
      </x:c>
      <x:c r="L288" s="5" t="inlineStr">
        <x:is>
          <x:t xml:space="preserve"/>
        </x:is>
      </x:c>
      <x:c r="M288" s="5" t="inlineStr">
        <x:is>
          <x:t xml:space="preserve"/>
        </x:is>
      </x:c>
      <x:c r="N288" s="5" t="inlineStr">
        <x:is>
          <x:t xml:space="preserve"/>
        </x:is>
      </x:c>
      <x:c r="O288" s="5" t="inlineStr">
        <x:is>
          <x:t xml:space="preserve"/>
        </x:is>
      </x:c>
      <x:c r="P288" s="5" t="inlineStr">
        <x:is>
          <x:t xml:space="preserve"/>
        </x:is>
      </x:c>
      <x:c r="Q288" s="5" t="inlineStr">
        <x:is>
          <x:t xml:space="preserve"/>
        </x:is>
      </x:c>
      <x:c r="R288" s="5">
        <x:f>IF(OR(F288="",G288=""),"",IF(F288&gt;=0.95*G288,1,0))</x:f>
      </x:c>
      <x:c r="S288" s="7">
        <x:f>IFERROR((I288+J288+K288)/F288,"")</x:f>
      </x:c>
      <x:c r="T288" s="5">
        <x:f>IFERROR(I288+J288+K288,"")</x:f>
        <x:v>0</x:v>
      </x:c>
    </x:row>
    <x:row r="289" ht="22" customHeight="1">
      <x:c r="A289" s="5" t="inlineStr">
        <x:is>
          <x:t xml:space="preserve">P024</x:t>
        </x:is>
      </x:c>
      <x:c r="B289" s="5" t="inlineStr">
        <x:is>
          <x:t xml:space="preserve">9</x:t>
        </x:is>
      </x:c>
      <x:c r="C289" s="5" t="inlineStr">
        <x:is>
          <x:t xml:space="preserve">V07_business_clarity</x:t>
        </x:is>
      </x:c>
      <x:c r="D289" s="5" t="inlineStr">
        <x:is>
          <x:t xml:space="preserve">keyword_highlight</x:t>
        </x:is>
      </x:c>
      <x:c r="E289" s="5" t="inlineStr">
        <x:is>
          <x:t xml:space="preserve">audio_on</x:t>
        </x:is>
      </x:c>
      <x:c r="F289" s="6" t="inlineStr">
        <x:is>
          <x:t xml:space="preserve"/>
        </x:is>
      </x:c>
      <x:c r="G289" s="6" t="inlineStr">
        <x:is>
          <x:t xml:space="preserve">6</x:t>
        </x:is>
      </x:c>
      <x:c r="H289" s="5" t="inlineStr">
        <x:is>
          <x:t xml:space="preserve"/>
        </x:is>
      </x:c>
      <x:c r="I289" s="5" t="inlineStr">
        <x:is>
          <x:t xml:space="preserve"/>
        </x:is>
      </x:c>
      <x:c r="J289" s="5" t="inlineStr">
        <x:is>
          <x:t xml:space="preserve"/>
        </x:is>
      </x:c>
      <x:c r="K289" s="5" t="inlineStr">
        <x:is>
          <x:t xml:space="preserve"/>
        </x:is>
      </x:c>
      <x:c r="L289" s="5" t="inlineStr">
        <x:is>
          <x:t xml:space="preserve"/>
        </x:is>
      </x:c>
      <x:c r="M289" s="5" t="inlineStr">
        <x:is>
          <x:t xml:space="preserve"/>
        </x:is>
      </x:c>
      <x:c r="N289" s="5" t="inlineStr">
        <x:is>
          <x:t xml:space="preserve"/>
        </x:is>
      </x:c>
      <x:c r="O289" s="5" t="inlineStr">
        <x:is>
          <x:t xml:space="preserve"/>
        </x:is>
      </x:c>
      <x:c r="P289" s="5" t="inlineStr">
        <x:is>
          <x:t xml:space="preserve"/>
        </x:is>
      </x:c>
      <x:c r="Q289" s="5" t="inlineStr">
        <x:is>
          <x:t xml:space="preserve"/>
        </x:is>
      </x:c>
      <x:c r="R289" s="5">
        <x:f>IF(OR(F289="",G289=""),"",IF(F289&gt;=0.95*G289,1,0))</x:f>
      </x:c>
      <x:c r="S289" s="7">
        <x:f>IFERROR((I289+J289+K289)/F289,"")</x:f>
      </x:c>
      <x:c r="T289" s="5">
        <x:f>IFERROR(I289+J289+K289,"")</x:f>
        <x:v>0</x:v>
      </x:c>
    </x:row>
    <x:row r="290" ht="22" customHeight="1">
      <x:c r="A290" s="5" t="inlineStr">
        <x:is>
          <x:t xml:space="preserve">P024</x:t>
        </x:is>
      </x:c>
      <x:c r="B290" s="5" t="inlineStr">
        <x:is>
          <x:t xml:space="preserve">10</x:t>
        </x:is>
      </x:c>
      <x:c r="C290" s="5" t="inlineStr">
        <x:is>
          <x:t xml:space="preserve">V02_study_recall</x:t>
        </x:is>
      </x:c>
      <x:c r="D290" s="5" t="inlineStr">
        <x:is>
          <x:t xml:space="preserve">semantic_compression</x:t>
        </x:is>
      </x:c>
      <x:c r="E290" s="5" t="inlineStr">
        <x:is>
          <x:t xml:space="preserve">muted</x:t>
        </x:is>
      </x:c>
      <x:c r="F290" s="6" t="inlineStr">
        <x:is>
          <x:t xml:space="preserve"/>
        </x:is>
      </x:c>
      <x:c r="G290" s="6" t="inlineStr">
        <x:is>
          <x:t xml:space="preserve">6</x:t>
        </x:is>
      </x:c>
      <x:c r="H290" s="5" t="inlineStr">
        <x:is>
          <x:t xml:space="preserve"/>
        </x:is>
      </x:c>
      <x:c r="I290" s="5" t="inlineStr">
        <x:is>
          <x:t xml:space="preserve"/>
        </x:is>
      </x:c>
      <x:c r="J290" s="5" t="inlineStr">
        <x:is>
          <x:t xml:space="preserve"/>
        </x:is>
      </x:c>
      <x:c r="K290" s="5" t="inlineStr">
        <x:is>
          <x:t xml:space="preserve"/>
        </x:is>
      </x:c>
      <x:c r="L290" s="5" t="inlineStr">
        <x:is>
          <x:t xml:space="preserve"/>
        </x:is>
      </x:c>
      <x:c r="M290" s="5" t="inlineStr">
        <x:is>
          <x:t xml:space="preserve"/>
        </x:is>
      </x:c>
      <x:c r="N290" s="5" t="inlineStr">
        <x:is>
          <x:t xml:space="preserve"/>
        </x:is>
      </x:c>
      <x:c r="O290" s="5" t="inlineStr">
        <x:is>
          <x:t xml:space="preserve"/>
        </x:is>
      </x:c>
      <x:c r="P290" s="5" t="inlineStr">
        <x:is>
          <x:t xml:space="preserve"/>
        </x:is>
      </x:c>
      <x:c r="Q290" s="5" t="inlineStr">
        <x:is>
          <x:t xml:space="preserve"/>
        </x:is>
      </x:c>
      <x:c r="R290" s="5">
        <x:f>IF(OR(F290="",G290=""),"",IF(F290&gt;=0.95*G290,1,0))</x:f>
      </x:c>
      <x:c r="S290" s="7">
        <x:f>IFERROR((I290+J290+K290)/F290,"")</x:f>
      </x:c>
      <x:c r="T290" s="5">
        <x:f>IFERROR(I290+J290+K290,"")</x:f>
        <x:v>0</x:v>
      </x:c>
    </x:row>
    <x:row r="291" ht="22" customHeight="1">
      <x:c r="A291" s="5" t="inlineStr">
        <x:is>
          <x:t xml:space="preserve">P024</x:t>
        </x:is>
      </x:c>
      <x:c r="B291" s="5" t="inlineStr">
        <x:is>
          <x:t xml:space="preserve">11</x:t>
        </x:is>
      </x:c>
      <x:c r="C291" s="5" t="inlineStr">
        <x:is>
          <x:t xml:space="preserve">V05_coding_assumptions</x:t>
        </x:is>
      </x:c>
      <x:c r="D291" s="5" t="inlineStr">
        <x:is>
          <x:t xml:space="preserve">bcc</x:t>
        </x:is>
      </x:c>
      <x:c r="E291" s="5" t="inlineStr">
        <x:is>
          <x:t xml:space="preserve">audio_on</x:t>
        </x:is>
      </x:c>
      <x:c r="F291" s="6" t="inlineStr">
        <x:is>
          <x:t xml:space="preserve"/>
        </x:is>
      </x:c>
      <x:c r="G291" s="6" t="inlineStr">
        <x:is>
          <x:t xml:space="preserve">6</x:t>
        </x:is>
      </x:c>
      <x:c r="H291" s="5" t="inlineStr">
        <x:is>
          <x:t xml:space="preserve"/>
        </x:is>
      </x:c>
      <x:c r="I291" s="5" t="inlineStr">
        <x:is>
          <x:t xml:space="preserve"/>
        </x:is>
      </x:c>
      <x:c r="J291" s="5" t="inlineStr">
        <x:is>
          <x:t xml:space="preserve"/>
        </x:is>
      </x:c>
      <x:c r="K291" s="5" t="inlineStr">
        <x:is>
          <x:t xml:space="preserve"/>
        </x:is>
      </x:c>
      <x:c r="L291" s="5" t="inlineStr">
        <x:is>
          <x:t xml:space="preserve"/>
        </x:is>
      </x:c>
      <x:c r="M291" s="5" t="inlineStr">
        <x:is>
          <x:t xml:space="preserve"/>
        </x:is>
      </x:c>
      <x:c r="N291" s="5" t="inlineStr">
        <x:is>
          <x:t xml:space="preserve"/>
        </x:is>
      </x:c>
      <x:c r="O291" s="5" t="inlineStr">
        <x:is>
          <x:t xml:space="preserve"/>
        </x:is>
      </x:c>
      <x:c r="P291" s="5" t="inlineStr">
        <x:is>
          <x:t xml:space="preserve"/>
        </x:is>
      </x:c>
      <x:c r="Q291" s="5" t="inlineStr">
        <x:is>
          <x:t xml:space="preserve"/>
        </x:is>
      </x:c>
      <x:c r="R291" s="5">
        <x:f>IF(OR(F291="",G291=""),"",IF(F291&gt;=0.95*G291,1,0))</x:f>
      </x:c>
      <x:c r="S291" s="7">
        <x:f>IFERROR((I291+J291+K291)/F291,"")</x:f>
      </x:c>
      <x:c r="T291" s="5">
        <x:f>IFERROR(I291+J291+K291,"")</x:f>
        <x:v>0</x:v>
      </x:c>
    </x:row>
    <x:row r="292" ht="22" customHeight="1">
      <x:c r="A292" s="5" t="inlineStr">
        <x:is>
          <x:t xml:space="preserve">P024</x:t>
        </x:is>
      </x:c>
      <x:c r="B292" s="5" t="inlineStr">
        <x:is>
          <x:t xml:space="preserve">12</x:t>
        </x:is>
      </x:c>
      <x:c r="C292" s="5" t="inlineStr">
        <x:is>
          <x:t xml:space="preserve">V01_productivity_friction</x:t>
        </x:is>
      </x:c>
      <x:c r="D292" s="5" t="inlineStr">
        <x:is>
          <x:t xml:space="preserve">bcc_plus</x:t>
        </x:is>
      </x:c>
      <x:c r="E292" s="5" t="inlineStr">
        <x:is>
          <x:t xml:space="preserve">muted</x:t>
        </x:is>
      </x:c>
      <x:c r="F292" s="6" t="inlineStr">
        <x:is>
          <x:t xml:space="preserve"/>
        </x:is>
      </x:c>
      <x:c r="G292" s="6" t="inlineStr">
        <x:is>
          <x:t xml:space="preserve">6</x:t>
        </x:is>
      </x:c>
      <x:c r="H292" s="5" t="inlineStr">
        <x:is>
          <x:t xml:space="preserve"/>
        </x:is>
      </x:c>
      <x:c r="I292" s="5" t="inlineStr">
        <x:is>
          <x:t xml:space="preserve"/>
        </x:is>
      </x:c>
      <x:c r="J292" s="5" t="inlineStr">
        <x:is>
          <x:t xml:space="preserve"/>
        </x:is>
      </x:c>
      <x:c r="K292" s="5" t="inlineStr">
        <x:is>
          <x:t xml:space="preserve"/>
        </x:is>
      </x:c>
      <x:c r="L292" s="5" t="inlineStr">
        <x:is>
          <x:t xml:space="preserve"/>
        </x:is>
      </x:c>
      <x:c r="M292" s="5" t="inlineStr">
        <x:is>
          <x:t xml:space="preserve"/>
        </x:is>
      </x:c>
      <x:c r="N292" s="5" t="inlineStr">
        <x:is>
          <x:t xml:space="preserve"/>
        </x:is>
      </x:c>
      <x:c r="O292" s="5" t="inlineStr">
        <x:is>
          <x:t xml:space="preserve"/>
        </x:is>
      </x:c>
      <x:c r="P292" s="5" t="inlineStr">
        <x:is>
          <x:t xml:space="preserve"/>
        </x:is>
      </x:c>
      <x:c r="Q292" s="5" t="inlineStr">
        <x:is>
          <x:t xml:space="preserve"/>
        </x:is>
      </x:c>
      <x:c r="R292" s="5">
        <x:f>IF(OR(F292="",G292=""),"",IF(F292&gt;=0.95*G292,1,0))</x:f>
      </x:c>
      <x:c r="S292" s="7">
        <x:f>IFERROR((I292+J292+K292)/F292,"")</x:f>
      </x:c>
      <x:c r="T292" s="5">
        <x:f>IFERROR(I292+J292+K292,"")</x:f>
        <x:v>0</x:v>
      </x:c>
    </x:row>
    <x:row r="293" ht="22" customHeight="1">
      <x:c r="A293" s="5" t="inlineStr">
        <x:is>
          <x:t xml:space="preserve">P025</x:t>
        </x:is>
      </x:c>
      <x:c r="B293" s="5" t="inlineStr">
        <x:is>
          <x:t xml:space="preserve">1</x:t>
        </x:is>
      </x:c>
      <x:c r="C293" s="5" t="inlineStr">
        <x:is>
          <x:t xml:space="preserve">V12_creativity_constraints</x:t>
        </x:is>
      </x:c>
      <x:c r="D293" s="5" t="inlineStr">
        <x:is>
          <x:t xml:space="preserve">full_transcript</x:t>
        </x:is>
      </x:c>
      <x:c r="E293" s="5" t="inlineStr">
        <x:is>
          <x:t xml:space="preserve">muted</x:t>
        </x:is>
      </x:c>
      <x:c r="F293" s="6" t="inlineStr">
        <x:is>
          <x:t xml:space="preserve"/>
        </x:is>
      </x:c>
      <x:c r="G293" s="6" t="inlineStr">
        <x:is>
          <x:t xml:space="preserve">6</x:t>
        </x:is>
      </x:c>
      <x:c r="H293" s="5" t="inlineStr">
        <x:is>
          <x:t xml:space="preserve"/>
        </x:is>
      </x:c>
      <x:c r="I293" s="5" t="inlineStr">
        <x:is>
          <x:t xml:space="preserve"/>
        </x:is>
      </x:c>
      <x:c r="J293" s="5" t="inlineStr">
        <x:is>
          <x:t xml:space="preserve"/>
        </x:is>
      </x:c>
      <x:c r="K293" s="5" t="inlineStr">
        <x:is>
          <x:t xml:space="preserve"/>
        </x:is>
      </x:c>
      <x:c r="L293" s="5" t="inlineStr">
        <x:is>
          <x:t xml:space="preserve"/>
        </x:is>
      </x:c>
      <x:c r="M293" s="5" t="inlineStr">
        <x:is>
          <x:t xml:space="preserve"/>
        </x:is>
      </x:c>
      <x:c r="N293" s="5" t="inlineStr">
        <x:is>
          <x:t xml:space="preserve"/>
        </x:is>
      </x:c>
      <x:c r="O293" s="5" t="inlineStr">
        <x:is>
          <x:t xml:space="preserve"/>
        </x:is>
      </x:c>
      <x:c r="P293" s="5" t="inlineStr">
        <x:is>
          <x:t xml:space="preserve"/>
        </x:is>
      </x:c>
      <x:c r="Q293" s="5" t="inlineStr">
        <x:is>
          <x:t xml:space="preserve"/>
        </x:is>
      </x:c>
      <x:c r="R293" s="5">
        <x:f>IF(OR(F293="",G293=""),"",IF(F293&gt;=0.95*G293,1,0))</x:f>
      </x:c>
      <x:c r="S293" s="7">
        <x:f>IFERROR((I293+J293+K293)/F293,"")</x:f>
      </x:c>
      <x:c r="T293" s="5">
        <x:f>IFERROR(I293+J293+K293,"")</x:f>
        <x:v>0</x:v>
      </x:c>
    </x:row>
    <x:row r="294" ht="22" customHeight="1">
      <x:c r="A294" s="5" t="inlineStr">
        <x:is>
          <x:t xml:space="preserve">P025</x:t>
        </x:is>
      </x:c>
      <x:c r="B294" s="5" t="inlineStr">
        <x:is>
          <x:t xml:space="preserve">2</x:t>
        </x:is>
      </x:c>
      <x:c r="C294" s="5" t="inlineStr">
        <x:is>
          <x:t xml:space="preserve">V07_business_clarity</x:t>
        </x:is>
      </x:c>
      <x:c r="D294" s="5" t="inlineStr">
        <x:is>
          <x:t xml:space="preserve">keyword_highlight</x:t>
        </x:is>
      </x:c>
      <x:c r="E294" s="5" t="inlineStr">
        <x:is>
          <x:t xml:space="preserve">audio_on</x:t>
        </x:is>
      </x:c>
      <x:c r="F294" s="6" t="inlineStr">
        <x:is>
          <x:t xml:space="preserve"/>
        </x:is>
      </x:c>
      <x:c r="G294" s="6" t="inlineStr">
        <x:is>
          <x:t xml:space="preserve">6</x:t>
        </x:is>
      </x:c>
      <x:c r="H294" s="5" t="inlineStr">
        <x:is>
          <x:t xml:space="preserve"/>
        </x:is>
      </x:c>
      <x:c r="I294" s="5" t="inlineStr">
        <x:is>
          <x:t xml:space="preserve"/>
        </x:is>
      </x:c>
      <x:c r="J294" s="5" t="inlineStr">
        <x:is>
          <x:t xml:space="preserve"/>
        </x:is>
      </x:c>
      <x:c r="K294" s="5" t="inlineStr">
        <x:is>
          <x:t xml:space="preserve"/>
        </x:is>
      </x:c>
      <x:c r="L294" s="5" t="inlineStr">
        <x:is>
          <x:t xml:space="preserve"/>
        </x:is>
      </x:c>
      <x:c r="M294" s="5" t="inlineStr">
        <x:is>
          <x:t xml:space="preserve"/>
        </x:is>
      </x:c>
      <x:c r="N294" s="5" t="inlineStr">
        <x:is>
          <x:t xml:space="preserve"/>
        </x:is>
      </x:c>
      <x:c r="O294" s="5" t="inlineStr">
        <x:is>
          <x:t xml:space="preserve"/>
        </x:is>
      </x:c>
      <x:c r="P294" s="5" t="inlineStr">
        <x:is>
          <x:t xml:space="preserve"/>
        </x:is>
      </x:c>
      <x:c r="Q294" s="5" t="inlineStr">
        <x:is>
          <x:t xml:space="preserve"/>
        </x:is>
      </x:c>
      <x:c r="R294" s="5">
        <x:f>IF(OR(F294="",G294=""),"",IF(F294&gt;=0.95*G294,1,0))</x:f>
      </x:c>
      <x:c r="S294" s="7">
        <x:f>IFERROR((I294+J294+K294)/F294,"")</x:f>
      </x:c>
      <x:c r="T294" s="5">
        <x:f>IFERROR(I294+J294+K294,"")</x:f>
        <x:v>0</x:v>
      </x:c>
    </x:row>
    <x:row r="295" ht="22" customHeight="1">
      <x:c r="A295" s="5" t="inlineStr">
        <x:is>
          <x:t xml:space="preserve">P025</x:t>
        </x:is>
      </x:c>
      <x:c r="B295" s="5" t="inlineStr">
        <x:is>
          <x:t xml:space="preserve">3</x:t>
        </x:is>
      </x:c>
      <x:c r="C295" s="5" t="inlineStr">
        <x:is>
          <x:t xml:space="preserve">V02_study_recall</x:t>
        </x:is>
      </x:c>
      <x:c r="D295" s="5" t="inlineStr">
        <x:is>
          <x:t xml:space="preserve">semantic_compression</x:t>
        </x:is>
      </x:c>
      <x:c r="E295" s="5" t="inlineStr">
        <x:is>
          <x:t xml:space="preserve">muted</x:t>
        </x:is>
      </x:c>
      <x:c r="F295" s="6" t="inlineStr">
        <x:is>
          <x:t xml:space="preserve"/>
        </x:is>
      </x:c>
      <x:c r="G295" s="6" t="inlineStr">
        <x:is>
          <x:t xml:space="preserve">6</x:t>
        </x:is>
      </x:c>
      <x:c r="H295" s="5" t="inlineStr">
        <x:is>
          <x:t xml:space="preserve"/>
        </x:is>
      </x:c>
      <x:c r="I295" s="5" t="inlineStr">
        <x:is>
          <x:t xml:space="preserve"/>
        </x:is>
      </x:c>
      <x:c r="J295" s="5" t="inlineStr">
        <x:is>
          <x:t xml:space="preserve"/>
        </x:is>
      </x:c>
      <x:c r="K295" s="5" t="inlineStr">
        <x:is>
          <x:t xml:space="preserve"/>
        </x:is>
      </x:c>
      <x:c r="L295" s="5" t="inlineStr">
        <x:is>
          <x:t xml:space="preserve"/>
        </x:is>
      </x:c>
      <x:c r="M295" s="5" t="inlineStr">
        <x:is>
          <x:t xml:space="preserve"/>
        </x:is>
      </x:c>
      <x:c r="N295" s="5" t="inlineStr">
        <x:is>
          <x:t xml:space="preserve"/>
        </x:is>
      </x:c>
      <x:c r="O295" s="5" t="inlineStr">
        <x:is>
          <x:t xml:space="preserve"/>
        </x:is>
      </x:c>
      <x:c r="P295" s="5" t="inlineStr">
        <x:is>
          <x:t xml:space="preserve"/>
        </x:is>
      </x:c>
      <x:c r="Q295" s="5" t="inlineStr">
        <x:is>
          <x:t xml:space="preserve"/>
        </x:is>
      </x:c>
      <x:c r="R295" s="5">
        <x:f>IF(OR(F295="",G295=""),"",IF(F295&gt;=0.95*G295,1,0))</x:f>
      </x:c>
      <x:c r="S295" s="7">
        <x:f>IFERROR((I295+J295+K295)/F295,"")</x:f>
      </x:c>
      <x:c r="T295" s="5">
        <x:f>IFERROR(I295+J295+K295,"")</x:f>
        <x:v>0</x:v>
      </x:c>
    </x:row>
    <x:row r="296" ht="22" customHeight="1">
      <x:c r="A296" s="5" t="inlineStr">
        <x:is>
          <x:t xml:space="preserve">P025</x:t>
        </x:is>
      </x:c>
      <x:c r="B296" s="5" t="inlineStr">
        <x:is>
          <x:t xml:space="preserve">4</x:t>
        </x:is>
      </x:c>
      <x:c r="C296" s="5" t="inlineStr">
        <x:is>
          <x:t xml:space="preserve">V08_calendar_system</x:t>
        </x:is>
      </x:c>
      <x:c r="D296" s="5" t="inlineStr">
        <x:is>
          <x:t xml:space="preserve">bcc</x:t>
        </x:is>
      </x:c>
      <x:c r="E296" s="5" t="inlineStr">
        <x:is>
          <x:t xml:space="preserve">audio_on</x:t>
        </x:is>
      </x:c>
      <x:c r="F296" s="6" t="inlineStr">
        <x:is>
          <x:t xml:space="preserve"/>
        </x:is>
      </x:c>
      <x:c r="G296" s="6" t="inlineStr">
        <x:is>
          <x:t xml:space="preserve">6</x:t>
        </x:is>
      </x:c>
      <x:c r="H296" s="5" t="inlineStr">
        <x:is>
          <x:t xml:space="preserve"/>
        </x:is>
      </x:c>
      <x:c r="I296" s="5" t="inlineStr">
        <x:is>
          <x:t xml:space="preserve"/>
        </x:is>
      </x:c>
      <x:c r="J296" s="5" t="inlineStr">
        <x:is>
          <x:t xml:space="preserve"/>
        </x:is>
      </x:c>
      <x:c r="K296" s="5" t="inlineStr">
        <x:is>
          <x:t xml:space="preserve"/>
        </x:is>
      </x:c>
      <x:c r="L296" s="5" t="inlineStr">
        <x:is>
          <x:t xml:space="preserve"/>
        </x:is>
      </x:c>
      <x:c r="M296" s="5" t="inlineStr">
        <x:is>
          <x:t xml:space="preserve"/>
        </x:is>
      </x:c>
      <x:c r="N296" s="5" t="inlineStr">
        <x:is>
          <x:t xml:space="preserve"/>
        </x:is>
      </x:c>
      <x:c r="O296" s="5" t="inlineStr">
        <x:is>
          <x:t xml:space="preserve"/>
        </x:is>
      </x:c>
      <x:c r="P296" s="5" t="inlineStr">
        <x:is>
          <x:t xml:space="preserve"/>
        </x:is>
      </x:c>
      <x:c r="Q296" s="5" t="inlineStr">
        <x:is>
          <x:t xml:space="preserve"/>
        </x:is>
      </x:c>
      <x:c r="R296" s="5">
        <x:f>IF(OR(F296="",G296=""),"",IF(F296&gt;=0.95*G296,1,0))</x:f>
      </x:c>
      <x:c r="S296" s="7">
        <x:f>IFERROR((I296+J296+K296)/F296,"")</x:f>
      </x:c>
      <x:c r="T296" s="5">
        <x:f>IFERROR(I296+J296+K296,"")</x:f>
        <x:v>0</x:v>
      </x:c>
    </x:row>
    <x:row r="297" ht="22" customHeight="1">
      <x:c r="A297" s="5" t="inlineStr">
        <x:is>
          <x:t xml:space="preserve">P025</x:t>
        </x:is>
      </x:c>
      <x:c r="B297" s="5" t="inlineStr">
        <x:is>
          <x:t xml:space="preserve">5</x:t>
        </x:is>
      </x:c>
      <x:c r="C297" s="5" t="inlineStr">
        <x:is>
          <x:t xml:space="preserve">V06_overload_open_loops</x:t>
        </x:is>
      </x:c>
      <x:c r="D297" s="5" t="inlineStr">
        <x:is>
          <x:t xml:space="preserve">bcc_plus</x:t>
        </x:is>
      </x:c>
      <x:c r="E297" s="5" t="inlineStr">
        <x:is>
          <x:t xml:space="preserve">muted</x:t>
        </x:is>
      </x:c>
      <x:c r="F297" s="6" t="inlineStr">
        <x:is>
          <x:t xml:space="preserve"/>
        </x:is>
      </x:c>
      <x:c r="G297" s="6" t="inlineStr">
        <x:is>
          <x:t xml:space="preserve">6</x:t>
        </x:is>
      </x:c>
      <x:c r="H297" s="5" t="inlineStr">
        <x:is>
          <x:t xml:space="preserve"/>
        </x:is>
      </x:c>
      <x:c r="I297" s="5" t="inlineStr">
        <x:is>
          <x:t xml:space="preserve"/>
        </x:is>
      </x:c>
      <x:c r="J297" s="5" t="inlineStr">
        <x:is>
          <x:t xml:space="preserve"/>
        </x:is>
      </x:c>
      <x:c r="K297" s="5" t="inlineStr">
        <x:is>
          <x:t xml:space="preserve"/>
        </x:is>
      </x:c>
      <x:c r="L297" s="5" t="inlineStr">
        <x:is>
          <x:t xml:space="preserve"/>
        </x:is>
      </x:c>
      <x:c r="M297" s="5" t="inlineStr">
        <x:is>
          <x:t xml:space="preserve"/>
        </x:is>
      </x:c>
      <x:c r="N297" s="5" t="inlineStr">
        <x:is>
          <x:t xml:space="preserve"/>
        </x:is>
      </x:c>
      <x:c r="O297" s="5" t="inlineStr">
        <x:is>
          <x:t xml:space="preserve"/>
        </x:is>
      </x:c>
      <x:c r="P297" s="5" t="inlineStr">
        <x:is>
          <x:t xml:space="preserve"/>
        </x:is>
      </x:c>
      <x:c r="Q297" s="5" t="inlineStr">
        <x:is>
          <x:t xml:space="preserve"/>
        </x:is>
      </x:c>
      <x:c r="R297" s="5">
        <x:f>IF(OR(F297="",G297=""),"",IF(F297&gt;=0.95*G297,1,0))</x:f>
      </x:c>
      <x:c r="S297" s="7">
        <x:f>IFERROR((I297+J297+K297)/F297,"")</x:f>
      </x:c>
      <x:c r="T297" s="5">
        <x:f>IFERROR(I297+J297+K297,"")</x:f>
        <x:v>0</x:v>
      </x:c>
    </x:row>
    <x:row r="298" ht="22" customHeight="1">
      <x:c r="A298" s="5" t="inlineStr">
        <x:is>
          <x:t xml:space="preserve">P025</x:t>
        </x:is>
      </x:c>
      <x:c r="B298" s="5" t="inlineStr">
        <x:is>
          <x:t xml:space="preserve">6</x:t>
        </x:is>
      </x:c>
      <x:c r="C298" s="5" t="inlineStr">
        <x:is>
          <x:t xml:space="preserve">V11_story_burnout</x:t>
        </x:is>
      </x:c>
      <x:c r="D298" s="5" t="inlineStr">
        <x:is>
          <x:t xml:space="preserve">heavy_bionic</x:t>
        </x:is>
      </x:c>
      <x:c r="E298" s="5" t="inlineStr">
        <x:is>
          <x:t xml:space="preserve">audio_on</x:t>
        </x:is>
      </x:c>
      <x:c r="F298" s="6" t="inlineStr">
        <x:is>
          <x:t xml:space="preserve"/>
        </x:is>
      </x:c>
      <x:c r="G298" s="6" t="inlineStr">
        <x:is>
          <x:t xml:space="preserve">6</x:t>
        </x:is>
      </x:c>
      <x:c r="H298" s="5" t="inlineStr">
        <x:is>
          <x:t xml:space="preserve"/>
        </x:is>
      </x:c>
      <x:c r="I298" s="5" t="inlineStr">
        <x:is>
          <x:t xml:space="preserve"/>
        </x:is>
      </x:c>
      <x:c r="J298" s="5" t="inlineStr">
        <x:is>
          <x:t xml:space="preserve"/>
        </x:is>
      </x:c>
      <x:c r="K298" s="5" t="inlineStr">
        <x:is>
          <x:t xml:space="preserve"/>
        </x:is>
      </x:c>
      <x:c r="L298" s="5" t="inlineStr">
        <x:is>
          <x:t xml:space="preserve"/>
        </x:is>
      </x:c>
      <x:c r="M298" s="5" t="inlineStr">
        <x:is>
          <x:t xml:space="preserve"/>
        </x:is>
      </x:c>
      <x:c r="N298" s="5" t="inlineStr">
        <x:is>
          <x:t xml:space="preserve"/>
        </x:is>
      </x:c>
      <x:c r="O298" s="5" t="inlineStr">
        <x:is>
          <x:t xml:space="preserve"/>
        </x:is>
      </x:c>
      <x:c r="P298" s="5" t="inlineStr">
        <x:is>
          <x:t xml:space="preserve"/>
        </x:is>
      </x:c>
      <x:c r="Q298" s="5" t="inlineStr">
        <x:is>
          <x:t xml:space="preserve"/>
        </x:is>
      </x:c>
      <x:c r="R298" s="5">
        <x:f>IF(OR(F298="",G298=""),"",IF(F298&gt;=0.95*G298,1,0))</x:f>
      </x:c>
      <x:c r="S298" s="7">
        <x:f>IFERROR((I298+J298+K298)/F298,"")</x:f>
      </x:c>
      <x:c r="T298" s="5">
        <x:f>IFERROR(I298+J298+K298,"")</x:f>
        <x:v>0</x:v>
      </x:c>
    </x:row>
    <x:row r="299" ht="22" customHeight="1">
      <x:c r="A299" s="5" t="inlineStr">
        <x:is>
          <x:t xml:space="preserve">P025</x:t>
        </x:is>
      </x:c>
      <x:c r="B299" s="5" t="inlineStr">
        <x:is>
          <x:t xml:space="preserve">7</x:t>
        </x:is>
      </x:c>
      <x:c r="C299" s="5" t="inlineStr">
        <x:is>
          <x:t xml:space="preserve">V04_money_visibility</x:t>
        </x:is>
      </x:c>
      <x:c r="D299" s="5" t="inlineStr">
        <x:is>
          <x:t xml:space="preserve">full_transcript</x:t>
        </x:is>
      </x:c>
      <x:c r="E299" s="5" t="inlineStr">
        <x:is>
          <x:t xml:space="preserve">muted</x:t>
        </x:is>
      </x:c>
      <x:c r="F299" s="6" t="inlineStr">
        <x:is>
          <x:t xml:space="preserve"/>
        </x:is>
      </x:c>
      <x:c r="G299" s="6" t="inlineStr">
        <x:is>
          <x:t xml:space="preserve">6</x:t>
        </x:is>
      </x:c>
      <x:c r="H299" s="5" t="inlineStr">
        <x:is>
          <x:t xml:space="preserve"/>
        </x:is>
      </x:c>
      <x:c r="I299" s="5" t="inlineStr">
        <x:is>
          <x:t xml:space="preserve"/>
        </x:is>
      </x:c>
      <x:c r="J299" s="5" t="inlineStr">
        <x:is>
          <x:t xml:space="preserve"/>
        </x:is>
      </x:c>
      <x:c r="K299" s="5" t="inlineStr">
        <x:is>
          <x:t xml:space="preserve"/>
        </x:is>
      </x:c>
      <x:c r="L299" s="5" t="inlineStr">
        <x:is>
          <x:t xml:space="preserve"/>
        </x:is>
      </x:c>
      <x:c r="M299" s="5" t="inlineStr">
        <x:is>
          <x:t xml:space="preserve"/>
        </x:is>
      </x:c>
      <x:c r="N299" s="5" t="inlineStr">
        <x:is>
          <x:t xml:space="preserve"/>
        </x:is>
      </x:c>
      <x:c r="O299" s="5" t="inlineStr">
        <x:is>
          <x:t xml:space="preserve"/>
        </x:is>
      </x:c>
      <x:c r="P299" s="5" t="inlineStr">
        <x:is>
          <x:t xml:space="preserve"/>
        </x:is>
      </x:c>
      <x:c r="Q299" s="5" t="inlineStr">
        <x:is>
          <x:t xml:space="preserve"/>
        </x:is>
      </x:c>
      <x:c r="R299" s="5">
        <x:f>IF(OR(F299="",G299=""),"",IF(F299&gt;=0.95*G299,1,0))</x:f>
      </x:c>
      <x:c r="S299" s="7">
        <x:f>IFERROR((I299+J299+K299)/F299,"")</x:f>
      </x:c>
      <x:c r="T299" s="5">
        <x:f>IFERROR(I299+J299+K299,"")</x:f>
        <x:v>0</x:v>
      </x:c>
    </x:row>
    <x:row r="300" ht="22" customHeight="1">
      <x:c r="A300" s="5" t="inlineStr">
        <x:is>
          <x:t xml:space="preserve">P025</x:t>
        </x:is>
      </x:c>
      <x:c r="B300" s="5" t="inlineStr">
        <x:is>
          <x:t xml:space="preserve">8</x:t>
        </x:is>
      </x:c>
      <x:c r="C300" s="5" t="inlineStr">
        <x:is>
          <x:t xml:space="preserve">V10_tutorial_ui</x:t>
        </x:is>
      </x:c>
      <x:c r="D300" s="5" t="inlineStr">
        <x:is>
          <x:t xml:space="preserve">keyword_highlight</x:t>
        </x:is>
      </x:c>
      <x:c r="E300" s="5" t="inlineStr">
        <x:is>
          <x:t xml:space="preserve">audio_on</x:t>
        </x:is>
      </x:c>
      <x:c r="F300" s="6" t="inlineStr">
        <x:is>
          <x:t xml:space="preserve"/>
        </x:is>
      </x:c>
      <x:c r="G300" s="6" t="inlineStr">
        <x:is>
          <x:t xml:space="preserve">6</x:t>
        </x:is>
      </x:c>
      <x:c r="H300" s="5" t="inlineStr">
        <x:is>
          <x:t xml:space="preserve"/>
        </x:is>
      </x:c>
      <x:c r="I300" s="5" t="inlineStr">
        <x:is>
          <x:t xml:space="preserve"/>
        </x:is>
      </x:c>
      <x:c r="J300" s="5" t="inlineStr">
        <x:is>
          <x:t xml:space="preserve"/>
        </x:is>
      </x:c>
      <x:c r="K300" s="5" t="inlineStr">
        <x:is>
          <x:t xml:space="preserve"/>
        </x:is>
      </x:c>
      <x:c r="L300" s="5" t="inlineStr">
        <x:is>
          <x:t xml:space="preserve"/>
        </x:is>
      </x:c>
      <x:c r="M300" s="5" t="inlineStr">
        <x:is>
          <x:t xml:space="preserve"/>
        </x:is>
      </x:c>
      <x:c r="N300" s="5" t="inlineStr">
        <x:is>
          <x:t xml:space="preserve"/>
        </x:is>
      </x:c>
      <x:c r="O300" s="5" t="inlineStr">
        <x:is>
          <x:t xml:space="preserve"/>
        </x:is>
      </x:c>
      <x:c r="P300" s="5" t="inlineStr">
        <x:is>
          <x:t xml:space="preserve"/>
        </x:is>
      </x:c>
      <x:c r="Q300" s="5" t="inlineStr">
        <x:is>
          <x:t xml:space="preserve"/>
        </x:is>
      </x:c>
      <x:c r="R300" s="5">
        <x:f>IF(OR(F300="",G300=""),"",IF(F300&gt;=0.95*G300,1,0))</x:f>
      </x:c>
      <x:c r="S300" s="7">
        <x:f>IFERROR((I300+J300+K300)/F300,"")</x:f>
      </x:c>
      <x:c r="T300" s="5">
        <x:f>IFERROR(I300+J300+K300,"")</x:f>
        <x:v>0</x:v>
      </x:c>
    </x:row>
    <x:row r="301" ht="22" customHeight="1">
      <x:c r="A301" s="5" t="inlineStr">
        <x:is>
          <x:t xml:space="preserve">P025</x:t>
        </x:is>
      </x:c>
      <x:c r="B301" s="5" t="inlineStr">
        <x:is>
          <x:t xml:space="preserve">9</x:t>
        </x:is>
      </x:c>
      <x:c r="C301" s="5" t="inlineStr">
        <x:is>
          <x:t xml:space="preserve">V03_fitness_setup</x:t>
        </x:is>
      </x:c>
      <x:c r="D301" s="5" t="inlineStr">
        <x:is>
          <x:t xml:space="preserve">semantic_compression</x:t>
        </x:is>
      </x:c>
      <x:c r="E301" s="5" t="inlineStr">
        <x:is>
          <x:t xml:space="preserve">muted</x:t>
        </x:is>
      </x:c>
      <x:c r="F301" s="6" t="inlineStr">
        <x:is>
          <x:t xml:space="preserve"/>
        </x:is>
      </x:c>
      <x:c r="G301" s="6" t="inlineStr">
        <x:is>
          <x:t xml:space="preserve">6</x:t>
        </x:is>
      </x:c>
      <x:c r="H301" s="5" t="inlineStr">
        <x:is>
          <x:t xml:space="preserve"/>
        </x:is>
      </x:c>
      <x:c r="I301" s="5" t="inlineStr">
        <x:is>
          <x:t xml:space="preserve"/>
        </x:is>
      </x:c>
      <x:c r="J301" s="5" t="inlineStr">
        <x:is>
          <x:t xml:space="preserve"/>
        </x:is>
      </x:c>
      <x:c r="K301" s="5" t="inlineStr">
        <x:is>
          <x:t xml:space="preserve"/>
        </x:is>
      </x:c>
      <x:c r="L301" s="5" t="inlineStr">
        <x:is>
          <x:t xml:space="preserve"/>
        </x:is>
      </x:c>
      <x:c r="M301" s="5" t="inlineStr">
        <x:is>
          <x:t xml:space="preserve"/>
        </x:is>
      </x:c>
      <x:c r="N301" s="5" t="inlineStr">
        <x:is>
          <x:t xml:space="preserve"/>
        </x:is>
      </x:c>
      <x:c r="O301" s="5" t="inlineStr">
        <x:is>
          <x:t xml:space="preserve"/>
        </x:is>
      </x:c>
      <x:c r="P301" s="5" t="inlineStr">
        <x:is>
          <x:t xml:space="preserve"/>
        </x:is>
      </x:c>
      <x:c r="Q301" s="5" t="inlineStr">
        <x:is>
          <x:t xml:space="preserve"/>
        </x:is>
      </x:c>
      <x:c r="R301" s="5">
        <x:f>IF(OR(F301="",G301=""),"",IF(F301&gt;=0.95*G301,1,0))</x:f>
      </x:c>
      <x:c r="S301" s="7">
        <x:f>IFERROR((I301+J301+K301)/F301,"")</x:f>
      </x:c>
      <x:c r="T301" s="5">
        <x:f>IFERROR(I301+J301+K301,"")</x:f>
        <x:v>0</x:v>
      </x:c>
    </x:row>
    <x:row r="302" ht="22" customHeight="1">
      <x:c r="A302" s="5" t="inlineStr">
        <x:is>
          <x:t xml:space="preserve">P025</x:t>
        </x:is>
      </x:c>
      <x:c r="B302" s="5" t="inlineStr">
        <x:is>
          <x:t xml:space="preserve">10</x:t>
        </x:is>
      </x:c>
      <x:c r="C302" s="5" t="inlineStr">
        <x:is>
          <x:t xml:space="preserve">V01_productivity_friction</x:t>
        </x:is>
      </x:c>
      <x:c r="D302" s="5" t="inlineStr">
        <x:is>
          <x:t xml:space="preserve">bcc</x:t>
        </x:is>
      </x:c>
      <x:c r="E302" s="5" t="inlineStr">
        <x:is>
          <x:t xml:space="preserve">audio_on</x:t>
        </x:is>
      </x:c>
      <x:c r="F302" s="6" t="inlineStr">
        <x:is>
          <x:t xml:space="preserve"/>
        </x:is>
      </x:c>
      <x:c r="G302" s="6" t="inlineStr">
        <x:is>
          <x:t xml:space="preserve">6</x:t>
        </x:is>
      </x:c>
      <x:c r="H302" s="5" t="inlineStr">
        <x:is>
          <x:t xml:space="preserve"/>
        </x:is>
      </x:c>
      <x:c r="I302" s="5" t="inlineStr">
        <x:is>
          <x:t xml:space="preserve"/>
        </x:is>
      </x:c>
      <x:c r="J302" s="5" t="inlineStr">
        <x:is>
          <x:t xml:space="preserve"/>
        </x:is>
      </x:c>
      <x:c r="K302" s="5" t="inlineStr">
        <x:is>
          <x:t xml:space="preserve"/>
        </x:is>
      </x:c>
      <x:c r="L302" s="5" t="inlineStr">
        <x:is>
          <x:t xml:space="preserve"/>
        </x:is>
      </x:c>
      <x:c r="M302" s="5" t="inlineStr">
        <x:is>
          <x:t xml:space="preserve"/>
        </x:is>
      </x:c>
      <x:c r="N302" s="5" t="inlineStr">
        <x:is>
          <x:t xml:space="preserve"/>
        </x:is>
      </x:c>
      <x:c r="O302" s="5" t="inlineStr">
        <x:is>
          <x:t xml:space="preserve"/>
        </x:is>
      </x:c>
      <x:c r="P302" s="5" t="inlineStr">
        <x:is>
          <x:t xml:space="preserve"/>
        </x:is>
      </x:c>
      <x:c r="Q302" s="5" t="inlineStr">
        <x:is>
          <x:t xml:space="preserve"/>
        </x:is>
      </x:c>
      <x:c r="R302" s="5">
        <x:f>IF(OR(F302="",G302=""),"",IF(F302&gt;=0.95*G302,1,0))</x:f>
      </x:c>
      <x:c r="S302" s="7">
        <x:f>IFERROR((I302+J302+K302)/F302,"")</x:f>
      </x:c>
      <x:c r="T302" s="5">
        <x:f>IFERROR(I302+J302+K302,"")</x:f>
        <x:v>0</x:v>
      </x:c>
    </x:row>
    <x:row r="303" ht="22" customHeight="1">
      <x:c r="A303" s="5" t="inlineStr">
        <x:is>
          <x:t xml:space="preserve">P025</x:t>
        </x:is>
      </x:c>
      <x:c r="B303" s="5" t="inlineStr">
        <x:is>
          <x:t xml:space="preserve">11</x:t>
        </x:is>
      </x:c>
      <x:c r="C303" s="5" t="inlineStr">
        <x:is>
          <x:t xml:space="preserve">V09_nutrition_satiety</x:t>
        </x:is>
      </x:c>
      <x:c r="D303" s="5" t="inlineStr">
        <x:is>
          <x:t xml:space="preserve">bcc_plus</x:t>
        </x:is>
      </x:c>
      <x:c r="E303" s="5" t="inlineStr">
        <x:is>
          <x:t xml:space="preserve">muted</x:t>
        </x:is>
      </x:c>
      <x:c r="F303" s="6" t="inlineStr">
        <x:is>
          <x:t xml:space="preserve"/>
        </x:is>
      </x:c>
      <x:c r="G303" s="6" t="inlineStr">
        <x:is>
          <x:t xml:space="preserve">6</x:t>
        </x:is>
      </x:c>
      <x:c r="H303" s="5" t="inlineStr">
        <x:is>
          <x:t xml:space="preserve"/>
        </x:is>
      </x:c>
      <x:c r="I303" s="5" t="inlineStr">
        <x:is>
          <x:t xml:space="preserve"/>
        </x:is>
      </x:c>
      <x:c r="J303" s="5" t="inlineStr">
        <x:is>
          <x:t xml:space="preserve"/>
        </x:is>
      </x:c>
      <x:c r="K303" s="5" t="inlineStr">
        <x:is>
          <x:t xml:space="preserve"/>
        </x:is>
      </x:c>
      <x:c r="L303" s="5" t="inlineStr">
        <x:is>
          <x:t xml:space="preserve"/>
        </x:is>
      </x:c>
      <x:c r="M303" s="5" t="inlineStr">
        <x:is>
          <x:t xml:space="preserve"/>
        </x:is>
      </x:c>
      <x:c r="N303" s="5" t="inlineStr">
        <x:is>
          <x:t xml:space="preserve"/>
        </x:is>
      </x:c>
      <x:c r="O303" s="5" t="inlineStr">
        <x:is>
          <x:t xml:space="preserve"/>
        </x:is>
      </x:c>
      <x:c r="P303" s="5" t="inlineStr">
        <x:is>
          <x:t xml:space="preserve"/>
        </x:is>
      </x:c>
      <x:c r="Q303" s="5" t="inlineStr">
        <x:is>
          <x:t xml:space="preserve"/>
        </x:is>
      </x:c>
      <x:c r="R303" s="5">
        <x:f>IF(OR(F303="",G303=""),"",IF(F303&gt;=0.95*G303,1,0))</x:f>
      </x:c>
      <x:c r="S303" s="7">
        <x:f>IFERROR((I303+J303+K303)/F303,"")</x:f>
      </x:c>
      <x:c r="T303" s="5">
        <x:f>IFERROR(I303+J303+K303,"")</x:f>
        <x:v>0</x:v>
      </x:c>
    </x:row>
    <x:row r="304" ht="22" customHeight="1">
      <x:c r="A304" s="5" t="inlineStr">
        <x:is>
          <x:t xml:space="preserve">P025</x:t>
        </x:is>
      </x:c>
      <x:c r="B304" s="5" t="inlineStr">
        <x:is>
          <x:t xml:space="preserve">12</x:t>
        </x:is>
      </x:c>
      <x:c r="C304" s="5" t="inlineStr">
        <x:is>
          <x:t xml:space="preserve">V05_coding_assumptions</x:t>
        </x:is>
      </x:c>
      <x:c r="D304" s="5" t="inlineStr">
        <x:is>
          <x:t xml:space="preserve">heavy_bionic</x:t>
        </x:is>
      </x:c>
      <x:c r="E304" s="5" t="inlineStr">
        <x:is>
          <x:t xml:space="preserve">audio_on</x:t>
        </x:is>
      </x:c>
      <x:c r="F304" s="6" t="inlineStr">
        <x:is>
          <x:t xml:space="preserve"/>
        </x:is>
      </x:c>
      <x:c r="G304" s="6" t="inlineStr">
        <x:is>
          <x:t xml:space="preserve">6</x:t>
        </x:is>
      </x:c>
      <x:c r="H304" s="5" t="inlineStr">
        <x:is>
          <x:t xml:space="preserve"/>
        </x:is>
      </x:c>
      <x:c r="I304" s="5" t="inlineStr">
        <x:is>
          <x:t xml:space="preserve"/>
        </x:is>
      </x:c>
      <x:c r="J304" s="5" t="inlineStr">
        <x:is>
          <x:t xml:space="preserve"/>
        </x:is>
      </x:c>
      <x:c r="K304" s="5" t="inlineStr">
        <x:is>
          <x:t xml:space="preserve"/>
        </x:is>
      </x:c>
      <x:c r="L304" s="5" t="inlineStr">
        <x:is>
          <x:t xml:space="preserve"/>
        </x:is>
      </x:c>
      <x:c r="M304" s="5" t="inlineStr">
        <x:is>
          <x:t xml:space="preserve"/>
        </x:is>
      </x:c>
      <x:c r="N304" s="5" t="inlineStr">
        <x:is>
          <x:t xml:space="preserve"/>
        </x:is>
      </x:c>
      <x:c r="O304" s="5" t="inlineStr">
        <x:is>
          <x:t xml:space="preserve"/>
        </x:is>
      </x:c>
      <x:c r="P304" s="5" t="inlineStr">
        <x:is>
          <x:t xml:space="preserve"/>
        </x:is>
      </x:c>
      <x:c r="Q304" s="5" t="inlineStr">
        <x:is>
          <x:t xml:space="preserve"/>
        </x:is>
      </x:c>
      <x:c r="R304" s="5">
        <x:f>IF(OR(F304="",G304=""),"",IF(F304&gt;=0.95*G304,1,0))</x:f>
      </x:c>
      <x:c r="S304" s="7">
        <x:f>IFERROR((I304+J304+K304)/F304,"")</x:f>
      </x:c>
      <x:c r="T304" s="5">
        <x:f>IFERROR(I304+J304+K304,"")</x:f>
        <x:v>0</x:v>
      </x:c>
    </x:row>
    <x:row r="305" ht="22" customHeight="1">
      <x:c r="A305" s="5" t="inlineStr">
        <x:is>
          <x:t xml:space="preserve">P026</x:t>
        </x:is>
      </x:c>
      <x:c r="B305" s="5" t="inlineStr">
        <x:is>
          <x:t xml:space="preserve">1</x:t>
        </x:is>
      </x:c>
      <x:c r="C305" s="5" t="inlineStr">
        <x:is>
          <x:t xml:space="preserve">V06_overload_open_loops</x:t>
        </x:is>
      </x:c>
      <x:c r="D305" s="5" t="inlineStr">
        <x:is>
          <x:t xml:space="preserve">keyword_highlight</x:t>
        </x:is>
      </x:c>
      <x:c r="E305" s="5" t="inlineStr">
        <x:is>
          <x:t xml:space="preserve">audio_on</x:t>
        </x:is>
      </x:c>
      <x:c r="F305" s="6" t="inlineStr">
        <x:is>
          <x:t xml:space="preserve"/>
        </x:is>
      </x:c>
      <x:c r="G305" s="6" t="inlineStr">
        <x:is>
          <x:t xml:space="preserve">6</x:t>
        </x:is>
      </x:c>
      <x:c r="H305" s="5" t="inlineStr">
        <x:is>
          <x:t xml:space="preserve"/>
        </x:is>
      </x:c>
      <x:c r="I305" s="5" t="inlineStr">
        <x:is>
          <x:t xml:space="preserve"/>
        </x:is>
      </x:c>
      <x:c r="J305" s="5" t="inlineStr">
        <x:is>
          <x:t xml:space="preserve"/>
        </x:is>
      </x:c>
      <x:c r="K305" s="5" t="inlineStr">
        <x:is>
          <x:t xml:space="preserve"/>
        </x:is>
      </x:c>
      <x:c r="L305" s="5" t="inlineStr">
        <x:is>
          <x:t xml:space="preserve"/>
        </x:is>
      </x:c>
      <x:c r="M305" s="5" t="inlineStr">
        <x:is>
          <x:t xml:space="preserve"/>
        </x:is>
      </x:c>
      <x:c r="N305" s="5" t="inlineStr">
        <x:is>
          <x:t xml:space="preserve"/>
        </x:is>
      </x:c>
      <x:c r="O305" s="5" t="inlineStr">
        <x:is>
          <x:t xml:space="preserve"/>
        </x:is>
      </x:c>
      <x:c r="P305" s="5" t="inlineStr">
        <x:is>
          <x:t xml:space="preserve"/>
        </x:is>
      </x:c>
      <x:c r="Q305" s="5" t="inlineStr">
        <x:is>
          <x:t xml:space="preserve"/>
        </x:is>
      </x:c>
      <x:c r="R305" s="5">
        <x:f>IF(OR(F305="",G305=""),"",IF(F305&gt;=0.95*G305,1,0))</x:f>
      </x:c>
      <x:c r="S305" s="7">
        <x:f>IFERROR((I305+J305+K305)/F305,"")</x:f>
      </x:c>
      <x:c r="T305" s="5">
        <x:f>IFERROR(I305+J305+K305,"")</x:f>
        <x:v>0</x:v>
      </x:c>
    </x:row>
    <x:row r="306" ht="22" customHeight="1">
      <x:c r="A306" s="5" t="inlineStr">
        <x:is>
          <x:t xml:space="preserve">P026</x:t>
        </x:is>
      </x:c>
      <x:c r="B306" s="5" t="inlineStr">
        <x:is>
          <x:t xml:space="preserve">2</x:t>
        </x:is>
      </x:c>
      <x:c r="C306" s="5" t="inlineStr">
        <x:is>
          <x:t xml:space="preserve">V01_productivity_friction</x:t>
        </x:is>
      </x:c>
      <x:c r="D306" s="5" t="inlineStr">
        <x:is>
          <x:t xml:space="preserve">semantic_compression</x:t>
        </x:is>
      </x:c>
      <x:c r="E306" s="5" t="inlineStr">
        <x:is>
          <x:t xml:space="preserve">muted</x:t>
        </x:is>
      </x:c>
      <x:c r="F306" s="6" t="inlineStr">
        <x:is>
          <x:t xml:space="preserve"/>
        </x:is>
      </x:c>
      <x:c r="G306" s="6" t="inlineStr">
        <x:is>
          <x:t xml:space="preserve">6</x:t>
        </x:is>
      </x:c>
      <x:c r="H306" s="5" t="inlineStr">
        <x:is>
          <x:t xml:space="preserve"/>
        </x:is>
      </x:c>
      <x:c r="I306" s="5" t="inlineStr">
        <x:is>
          <x:t xml:space="preserve"/>
        </x:is>
      </x:c>
      <x:c r="J306" s="5" t="inlineStr">
        <x:is>
          <x:t xml:space="preserve"/>
        </x:is>
      </x:c>
      <x:c r="K306" s="5" t="inlineStr">
        <x:is>
          <x:t xml:space="preserve"/>
        </x:is>
      </x:c>
      <x:c r="L306" s="5" t="inlineStr">
        <x:is>
          <x:t xml:space="preserve"/>
        </x:is>
      </x:c>
      <x:c r="M306" s="5" t="inlineStr">
        <x:is>
          <x:t xml:space="preserve"/>
        </x:is>
      </x:c>
      <x:c r="N306" s="5" t="inlineStr">
        <x:is>
          <x:t xml:space="preserve"/>
        </x:is>
      </x:c>
      <x:c r="O306" s="5" t="inlineStr">
        <x:is>
          <x:t xml:space="preserve"/>
        </x:is>
      </x:c>
      <x:c r="P306" s="5" t="inlineStr">
        <x:is>
          <x:t xml:space="preserve"/>
        </x:is>
      </x:c>
      <x:c r="Q306" s="5" t="inlineStr">
        <x:is>
          <x:t xml:space="preserve"/>
        </x:is>
      </x:c>
      <x:c r="R306" s="5">
        <x:f>IF(OR(F306="",G306=""),"",IF(F306&gt;=0.95*G306,1,0))</x:f>
      </x:c>
      <x:c r="S306" s="7">
        <x:f>IFERROR((I306+J306+K306)/F306,"")</x:f>
      </x:c>
      <x:c r="T306" s="5">
        <x:f>IFERROR(I306+J306+K306,"")</x:f>
        <x:v>0</x:v>
      </x:c>
    </x:row>
    <x:row r="307" ht="22" customHeight="1">
      <x:c r="A307" s="5" t="inlineStr">
        <x:is>
          <x:t xml:space="preserve">P026</x:t>
        </x:is>
      </x:c>
      <x:c r="B307" s="5" t="inlineStr">
        <x:is>
          <x:t xml:space="preserve">3</x:t>
        </x:is>
      </x:c>
      <x:c r="C307" s="5" t="inlineStr">
        <x:is>
          <x:t xml:space="preserve">V11_story_burnout</x:t>
        </x:is>
      </x:c>
      <x:c r="D307" s="5" t="inlineStr">
        <x:is>
          <x:t xml:space="preserve">bcc</x:t>
        </x:is>
      </x:c>
      <x:c r="E307" s="5" t="inlineStr">
        <x:is>
          <x:t xml:space="preserve">audio_on</x:t>
        </x:is>
      </x:c>
      <x:c r="F307" s="6" t="inlineStr">
        <x:is>
          <x:t xml:space="preserve"/>
        </x:is>
      </x:c>
      <x:c r="G307" s="6" t="inlineStr">
        <x:is>
          <x:t xml:space="preserve">6</x:t>
        </x:is>
      </x:c>
      <x:c r="H307" s="5" t="inlineStr">
        <x:is>
          <x:t xml:space="preserve"/>
        </x:is>
      </x:c>
      <x:c r="I307" s="5" t="inlineStr">
        <x:is>
          <x:t xml:space="preserve"/>
        </x:is>
      </x:c>
      <x:c r="J307" s="5" t="inlineStr">
        <x:is>
          <x:t xml:space="preserve"/>
        </x:is>
      </x:c>
      <x:c r="K307" s="5" t="inlineStr">
        <x:is>
          <x:t xml:space="preserve"/>
        </x:is>
      </x:c>
      <x:c r="L307" s="5" t="inlineStr">
        <x:is>
          <x:t xml:space="preserve"/>
        </x:is>
      </x:c>
      <x:c r="M307" s="5" t="inlineStr">
        <x:is>
          <x:t xml:space="preserve"/>
        </x:is>
      </x:c>
      <x:c r="N307" s="5" t="inlineStr">
        <x:is>
          <x:t xml:space="preserve"/>
        </x:is>
      </x:c>
      <x:c r="O307" s="5" t="inlineStr">
        <x:is>
          <x:t xml:space="preserve"/>
        </x:is>
      </x:c>
      <x:c r="P307" s="5" t="inlineStr">
        <x:is>
          <x:t xml:space="preserve"/>
        </x:is>
      </x:c>
      <x:c r="Q307" s="5" t="inlineStr">
        <x:is>
          <x:t xml:space="preserve"/>
        </x:is>
      </x:c>
      <x:c r="R307" s="5">
        <x:f>IF(OR(F307="",G307=""),"",IF(F307&gt;=0.95*G307,1,0))</x:f>
      </x:c>
      <x:c r="S307" s="7">
        <x:f>IFERROR((I307+J307+K307)/F307,"")</x:f>
      </x:c>
      <x:c r="T307" s="5">
        <x:f>IFERROR(I307+J307+K307,"")</x:f>
        <x:v>0</x:v>
      </x:c>
    </x:row>
    <x:row r="308" ht="22" customHeight="1">
      <x:c r="A308" s="5" t="inlineStr">
        <x:is>
          <x:t xml:space="preserve">P026</x:t>
        </x:is>
      </x:c>
      <x:c r="B308" s="5" t="inlineStr">
        <x:is>
          <x:t xml:space="preserve">4</x:t>
        </x:is>
      </x:c>
      <x:c r="C308" s="5" t="inlineStr">
        <x:is>
          <x:t xml:space="preserve">V07_business_clarity</x:t>
        </x:is>
      </x:c>
      <x:c r="D308" s="5" t="inlineStr">
        <x:is>
          <x:t xml:space="preserve">bcc_plus</x:t>
        </x:is>
      </x:c>
      <x:c r="E308" s="5" t="inlineStr">
        <x:is>
          <x:t xml:space="preserve">muted</x:t>
        </x:is>
      </x:c>
      <x:c r="F308" s="6" t="inlineStr">
        <x:is>
          <x:t xml:space="preserve"/>
        </x:is>
      </x:c>
      <x:c r="G308" s="6" t="inlineStr">
        <x:is>
          <x:t xml:space="preserve">6</x:t>
        </x:is>
      </x:c>
      <x:c r="H308" s="5" t="inlineStr">
        <x:is>
          <x:t xml:space="preserve"/>
        </x:is>
      </x:c>
      <x:c r="I308" s="5" t="inlineStr">
        <x:is>
          <x:t xml:space="preserve"/>
        </x:is>
      </x:c>
      <x:c r="J308" s="5" t="inlineStr">
        <x:is>
          <x:t xml:space="preserve"/>
        </x:is>
      </x:c>
      <x:c r="K308" s="5" t="inlineStr">
        <x:is>
          <x:t xml:space="preserve"/>
        </x:is>
      </x:c>
      <x:c r="L308" s="5" t="inlineStr">
        <x:is>
          <x:t xml:space="preserve"/>
        </x:is>
      </x:c>
      <x:c r="M308" s="5" t="inlineStr">
        <x:is>
          <x:t xml:space="preserve"/>
        </x:is>
      </x:c>
      <x:c r="N308" s="5" t="inlineStr">
        <x:is>
          <x:t xml:space="preserve"/>
        </x:is>
      </x:c>
      <x:c r="O308" s="5" t="inlineStr">
        <x:is>
          <x:t xml:space="preserve"/>
        </x:is>
      </x:c>
      <x:c r="P308" s="5" t="inlineStr">
        <x:is>
          <x:t xml:space="preserve"/>
        </x:is>
      </x:c>
      <x:c r="Q308" s="5" t="inlineStr">
        <x:is>
          <x:t xml:space="preserve"/>
        </x:is>
      </x:c>
      <x:c r="R308" s="5">
        <x:f>IF(OR(F308="",G308=""),"",IF(F308&gt;=0.95*G308,1,0))</x:f>
      </x:c>
      <x:c r="S308" s="7">
        <x:f>IFERROR((I308+J308+K308)/F308,"")</x:f>
      </x:c>
      <x:c r="T308" s="5">
        <x:f>IFERROR(I308+J308+K308,"")</x:f>
        <x:v>0</x:v>
      </x:c>
    </x:row>
    <x:row r="309" ht="22" customHeight="1">
      <x:c r="A309" s="5" t="inlineStr">
        <x:is>
          <x:t xml:space="preserve">P026</x:t>
        </x:is>
      </x:c>
      <x:c r="B309" s="5" t="inlineStr">
        <x:is>
          <x:t xml:space="preserve">5</x:t>
        </x:is>
      </x:c>
      <x:c r="C309" s="5" t="inlineStr">
        <x:is>
          <x:t xml:space="preserve">V09_nutrition_satiety</x:t>
        </x:is>
      </x:c>
      <x:c r="D309" s="5" t="inlineStr">
        <x:is>
          <x:t xml:space="preserve">heavy_bionic</x:t>
        </x:is>
      </x:c>
      <x:c r="E309" s="5" t="inlineStr">
        <x:is>
          <x:t xml:space="preserve">audio_on</x:t>
        </x:is>
      </x:c>
      <x:c r="F309" s="6" t="inlineStr">
        <x:is>
          <x:t xml:space="preserve"/>
        </x:is>
      </x:c>
      <x:c r="G309" s="6" t="inlineStr">
        <x:is>
          <x:t xml:space="preserve">6</x:t>
        </x:is>
      </x:c>
      <x:c r="H309" s="5" t="inlineStr">
        <x:is>
          <x:t xml:space="preserve"/>
        </x:is>
      </x:c>
      <x:c r="I309" s="5" t="inlineStr">
        <x:is>
          <x:t xml:space="preserve"/>
        </x:is>
      </x:c>
      <x:c r="J309" s="5" t="inlineStr">
        <x:is>
          <x:t xml:space="preserve"/>
        </x:is>
      </x:c>
      <x:c r="K309" s="5" t="inlineStr">
        <x:is>
          <x:t xml:space="preserve"/>
        </x:is>
      </x:c>
      <x:c r="L309" s="5" t="inlineStr">
        <x:is>
          <x:t xml:space="preserve"/>
        </x:is>
      </x:c>
      <x:c r="M309" s="5" t="inlineStr">
        <x:is>
          <x:t xml:space="preserve"/>
        </x:is>
      </x:c>
      <x:c r="N309" s="5" t="inlineStr">
        <x:is>
          <x:t xml:space="preserve"/>
        </x:is>
      </x:c>
      <x:c r="O309" s="5" t="inlineStr">
        <x:is>
          <x:t xml:space="preserve"/>
        </x:is>
      </x:c>
      <x:c r="P309" s="5" t="inlineStr">
        <x:is>
          <x:t xml:space="preserve"/>
        </x:is>
      </x:c>
      <x:c r="Q309" s="5" t="inlineStr">
        <x:is>
          <x:t xml:space="preserve"/>
        </x:is>
      </x:c>
      <x:c r="R309" s="5">
        <x:f>IF(OR(F309="",G309=""),"",IF(F309&gt;=0.95*G309,1,0))</x:f>
      </x:c>
      <x:c r="S309" s="7">
        <x:f>IFERROR((I309+J309+K309)/F309,"")</x:f>
      </x:c>
      <x:c r="T309" s="5">
        <x:f>IFERROR(I309+J309+K309,"")</x:f>
        <x:v>0</x:v>
      </x:c>
    </x:row>
    <x:row r="310" ht="22" customHeight="1">
      <x:c r="A310" s="5" t="inlineStr">
        <x:is>
          <x:t xml:space="preserve">P026</x:t>
        </x:is>
      </x:c>
      <x:c r="B310" s="5" t="inlineStr">
        <x:is>
          <x:t xml:space="preserve">6</x:t>
        </x:is>
      </x:c>
      <x:c r="C310" s="5" t="inlineStr">
        <x:is>
          <x:t xml:space="preserve">V02_study_recall</x:t>
        </x:is>
      </x:c>
      <x:c r="D310" s="5" t="inlineStr">
        <x:is>
          <x:t xml:space="preserve">full_transcript</x:t>
        </x:is>
      </x:c>
      <x:c r="E310" s="5" t="inlineStr">
        <x:is>
          <x:t xml:space="preserve">muted</x:t>
        </x:is>
      </x:c>
      <x:c r="F310" s="6" t="inlineStr">
        <x:is>
          <x:t xml:space="preserve"/>
        </x:is>
      </x:c>
      <x:c r="G310" s="6" t="inlineStr">
        <x:is>
          <x:t xml:space="preserve">6</x:t>
        </x:is>
      </x:c>
      <x:c r="H310" s="5" t="inlineStr">
        <x:is>
          <x:t xml:space="preserve"/>
        </x:is>
      </x:c>
      <x:c r="I310" s="5" t="inlineStr">
        <x:is>
          <x:t xml:space="preserve"/>
        </x:is>
      </x:c>
      <x:c r="J310" s="5" t="inlineStr">
        <x:is>
          <x:t xml:space="preserve"/>
        </x:is>
      </x:c>
      <x:c r="K310" s="5" t="inlineStr">
        <x:is>
          <x:t xml:space="preserve"/>
        </x:is>
      </x:c>
      <x:c r="L310" s="5" t="inlineStr">
        <x:is>
          <x:t xml:space="preserve"/>
        </x:is>
      </x:c>
      <x:c r="M310" s="5" t="inlineStr">
        <x:is>
          <x:t xml:space="preserve"/>
        </x:is>
      </x:c>
      <x:c r="N310" s="5" t="inlineStr">
        <x:is>
          <x:t xml:space="preserve"/>
        </x:is>
      </x:c>
      <x:c r="O310" s="5" t="inlineStr">
        <x:is>
          <x:t xml:space="preserve"/>
        </x:is>
      </x:c>
      <x:c r="P310" s="5" t="inlineStr">
        <x:is>
          <x:t xml:space="preserve"/>
        </x:is>
      </x:c>
      <x:c r="Q310" s="5" t="inlineStr">
        <x:is>
          <x:t xml:space="preserve"/>
        </x:is>
      </x:c>
      <x:c r="R310" s="5">
        <x:f>IF(OR(F310="",G310=""),"",IF(F310&gt;=0.95*G310,1,0))</x:f>
      </x:c>
      <x:c r="S310" s="7">
        <x:f>IFERROR((I310+J310+K310)/F310,"")</x:f>
      </x:c>
      <x:c r="T310" s="5">
        <x:f>IFERROR(I310+J310+K310,"")</x:f>
        <x:v>0</x:v>
      </x:c>
    </x:row>
    <x:row r="311" ht="22" customHeight="1">
      <x:c r="A311" s="5" t="inlineStr">
        <x:is>
          <x:t xml:space="preserve">P026</x:t>
        </x:is>
      </x:c>
      <x:c r="B311" s="5" t="inlineStr">
        <x:is>
          <x:t xml:space="preserve">7</x:t>
        </x:is>
      </x:c>
      <x:c r="C311" s="5" t="inlineStr">
        <x:is>
          <x:t xml:space="preserve">V08_calendar_system</x:t>
        </x:is>
      </x:c>
      <x:c r="D311" s="5" t="inlineStr">
        <x:is>
          <x:t xml:space="preserve">keyword_highlight</x:t>
        </x:is>
      </x:c>
      <x:c r="E311" s="5" t="inlineStr">
        <x:is>
          <x:t xml:space="preserve">audio_on</x:t>
        </x:is>
      </x:c>
      <x:c r="F311" s="6" t="inlineStr">
        <x:is>
          <x:t xml:space="preserve"/>
        </x:is>
      </x:c>
      <x:c r="G311" s="6" t="inlineStr">
        <x:is>
          <x:t xml:space="preserve">6</x:t>
        </x:is>
      </x:c>
      <x:c r="H311" s="5" t="inlineStr">
        <x:is>
          <x:t xml:space="preserve"/>
        </x:is>
      </x:c>
      <x:c r="I311" s="5" t="inlineStr">
        <x:is>
          <x:t xml:space="preserve"/>
        </x:is>
      </x:c>
      <x:c r="J311" s="5" t="inlineStr">
        <x:is>
          <x:t xml:space="preserve"/>
        </x:is>
      </x:c>
      <x:c r="K311" s="5" t="inlineStr">
        <x:is>
          <x:t xml:space="preserve"/>
        </x:is>
      </x:c>
      <x:c r="L311" s="5" t="inlineStr">
        <x:is>
          <x:t xml:space="preserve"/>
        </x:is>
      </x:c>
      <x:c r="M311" s="5" t="inlineStr">
        <x:is>
          <x:t xml:space="preserve"/>
        </x:is>
      </x:c>
      <x:c r="N311" s="5" t="inlineStr">
        <x:is>
          <x:t xml:space="preserve"/>
        </x:is>
      </x:c>
      <x:c r="O311" s="5" t="inlineStr">
        <x:is>
          <x:t xml:space="preserve"/>
        </x:is>
      </x:c>
      <x:c r="P311" s="5" t="inlineStr">
        <x:is>
          <x:t xml:space="preserve"/>
        </x:is>
      </x:c>
      <x:c r="Q311" s="5" t="inlineStr">
        <x:is>
          <x:t xml:space="preserve"/>
        </x:is>
      </x:c>
      <x:c r="R311" s="5">
        <x:f>IF(OR(F311="",G311=""),"",IF(F311&gt;=0.95*G311,1,0))</x:f>
      </x:c>
      <x:c r="S311" s="7">
        <x:f>IFERROR((I311+J311+K311)/F311,"")</x:f>
      </x:c>
      <x:c r="T311" s="5">
        <x:f>IFERROR(I311+J311+K311,"")</x:f>
        <x:v>0</x:v>
      </x:c>
    </x:row>
    <x:row r="312" ht="22" customHeight="1">
      <x:c r="A312" s="5" t="inlineStr">
        <x:is>
          <x:t xml:space="preserve">P026</x:t>
        </x:is>
      </x:c>
      <x:c r="B312" s="5" t="inlineStr">
        <x:is>
          <x:t xml:space="preserve">8</x:t>
        </x:is>
      </x:c>
      <x:c r="C312" s="5" t="inlineStr">
        <x:is>
          <x:t xml:space="preserve">V03_fitness_setup</x:t>
        </x:is>
      </x:c>
      <x:c r="D312" s="5" t="inlineStr">
        <x:is>
          <x:t xml:space="preserve">semantic_compression</x:t>
        </x:is>
      </x:c>
      <x:c r="E312" s="5" t="inlineStr">
        <x:is>
          <x:t xml:space="preserve">muted</x:t>
        </x:is>
      </x:c>
      <x:c r="F312" s="6" t="inlineStr">
        <x:is>
          <x:t xml:space="preserve"/>
        </x:is>
      </x:c>
      <x:c r="G312" s="6" t="inlineStr">
        <x:is>
          <x:t xml:space="preserve">6</x:t>
        </x:is>
      </x:c>
      <x:c r="H312" s="5" t="inlineStr">
        <x:is>
          <x:t xml:space="preserve"/>
        </x:is>
      </x:c>
      <x:c r="I312" s="5" t="inlineStr">
        <x:is>
          <x:t xml:space="preserve"/>
        </x:is>
      </x:c>
      <x:c r="J312" s="5" t="inlineStr">
        <x:is>
          <x:t xml:space="preserve"/>
        </x:is>
      </x:c>
      <x:c r="K312" s="5" t="inlineStr">
        <x:is>
          <x:t xml:space="preserve"/>
        </x:is>
      </x:c>
      <x:c r="L312" s="5" t="inlineStr">
        <x:is>
          <x:t xml:space="preserve"/>
        </x:is>
      </x:c>
      <x:c r="M312" s="5" t="inlineStr">
        <x:is>
          <x:t xml:space="preserve"/>
        </x:is>
      </x:c>
      <x:c r="N312" s="5" t="inlineStr">
        <x:is>
          <x:t xml:space="preserve"/>
        </x:is>
      </x:c>
      <x:c r="O312" s="5" t="inlineStr">
        <x:is>
          <x:t xml:space="preserve"/>
        </x:is>
      </x:c>
      <x:c r="P312" s="5" t="inlineStr">
        <x:is>
          <x:t xml:space="preserve"/>
        </x:is>
      </x:c>
      <x:c r="Q312" s="5" t="inlineStr">
        <x:is>
          <x:t xml:space="preserve"/>
        </x:is>
      </x:c>
      <x:c r="R312" s="5">
        <x:f>IF(OR(F312="",G312=""),"",IF(F312&gt;=0.95*G312,1,0))</x:f>
      </x:c>
      <x:c r="S312" s="7">
        <x:f>IFERROR((I312+J312+K312)/F312,"")</x:f>
      </x:c>
      <x:c r="T312" s="5">
        <x:f>IFERROR(I312+J312+K312,"")</x:f>
        <x:v>0</x:v>
      </x:c>
    </x:row>
    <x:row r="313" ht="22" customHeight="1">
      <x:c r="A313" s="5" t="inlineStr">
        <x:is>
          <x:t xml:space="preserve">P026</x:t>
        </x:is>
      </x:c>
      <x:c r="B313" s="5" t="inlineStr">
        <x:is>
          <x:t xml:space="preserve">9</x:t>
        </x:is>
      </x:c>
      <x:c r="C313" s="5" t="inlineStr">
        <x:is>
          <x:t xml:space="preserve">V05_coding_assumptions</x:t>
        </x:is>
      </x:c>
      <x:c r="D313" s="5" t="inlineStr">
        <x:is>
          <x:t xml:space="preserve">bcc</x:t>
        </x:is>
      </x:c>
      <x:c r="E313" s="5" t="inlineStr">
        <x:is>
          <x:t xml:space="preserve">audio_on</x:t>
        </x:is>
      </x:c>
      <x:c r="F313" s="6" t="inlineStr">
        <x:is>
          <x:t xml:space="preserve"/>
        </x:is>
      </x:c>
      <x:c r="G313" s="6" t="inlineStr">
        <x:is>
          <x:t xml:space="preserve">6</x:t>
        </x:is>
      </x:c>
      <x:c r="H313" s="5" t="inlineStr">
        <x:is>
          <x:t xml:space="preserve"/>
        </x:is>
      </x:c>
      <x:c r="I313" s="5" t="inlineStr">
        <x:is>
          <x:t xml:space="preserve"/>
        </x:is>
      </x:c>
      <x:c r="J313" s="5" t="inlineStr">
        <x:is>
          <x:t xml:space="preserve"/>
        </x:is>
      </x:c>
      <x:c r="K313" s="5" t="inlineStr">
        <x:is>
          <x:t xml:space="preserve"/>
        </x:is>
      </x:c>
      <x:c r="L313" s="5" t="inlineStr">
        <x:is>
          <x:t xml:space="preserve"/>
        </x:is>
      </x:c>
      <x:c r="M313" s="5" t="inlineStr">
        <x:is>
          <x:t xml:space="preserve"/>
        </x:is>
      </x:c>
      <x:c r="N313" s="5" t="inlineStr">
        <x:is>
          <x:t xml:space="preserve"/>
        </x:is>
      </x:c>
      <x:c r="O313" s="5" t="inlineStr">
        <x:is>
          <x:t xml:space="preserve"/>
        </x:is>
      </x:c>
      <x:c r="P313" s="5" t="inlineStr">
        <x:is>
          <x:t xml:space="preserve"/>
        </x:is>
      </x:c>
      <x:c r="Q313" s="5" t="inlineStr">
        <x:is>
          <x:t xml:space="preserve"/>
        </x:is>
      </x:c>
      <x:c r="R313" s="5">
        <x:f>IF(OR(F313="",G313=""),"",IF(F313&gt;=0.95*G313,1,0))</x:f>
      </x:c>
      <x:c r="S313" s="7">
        <x:f>IFERROR((I313+J313+K313)/F313,"")</x:f>
      </x:c>
      <x:c r="T313" s="5">
        <x:f>IFERROR(I313+J313+K313,"")</x:f>
        <x:v>0</x:v>
      </x:c>
    </x:row>
    <x:row r="314" ht="22" customHeight="1">
      <x:c r="A314" s="5" t="inlineStr">
        <x:is>
          <x:t xml:space="preserve">P026</x:t>
        </x:is>
      </x:c>
      <x:c r="B314" s="5" t="inlineStr">
        <x:is>
          <x:t xml:space="preserve">10</x:t>
        </x:is>
      </x:c>
      <x:c r="C314" s="5" t="inlineStr">
        <x:is>
          <x:t xml:space="preserve">V10_tutorial_ui</x:t>
        </x:is>
      </x:c>
      <x:c r="D314" s="5" t="inlineStr">
        <x:is>
          <x:t xml:space="preserve">bcc_plus</x:t>
        </x:is>
      </x:c>
      <x:c r="E314" s="5" t="inlineStr">
        <x:is>
          <x:t xml:space="preserve">muted</x:t>
        </x:is>
      </x:c>
      <x:c r="F314" s="6" t="inlineStr">
        <x:is>
          <x:t xml:space="preserve"/>
        </x:is>
      </x:c>
      <x:c r="G314" s="6" t="inlineStr">
        <x:is>
          <x:t xml:space="preserve">6</x:t>
        </x:is>
      </x:c>
      <x:c r="H314" s="5" t="inlineStr">
        <x:is>
          <x:t xml:space="preserve"/>
        </x:is>
      </x:c>
      <x:c r="I314" s="5" t="inlineStr">
        <x:is>
          <x:t xml:space="preserve"/>
        </x:is>
      </x:c>
      <x:c r="J314" s="5" t="inlineStr">
        <x:is>
          <x:t xml:space="preserve"/>
        </x:is>
      </x:c>
      <x:c r="K314" s="5" t="inlineStr">
        <x:is>
          <x:t xml:space="preserve"/>
        </x:is>
      </x:c>
      <x:c r="L314" s="5" t="inlineStr">
        <x:is>
          <x:t xml:space="preserve"/>
        </x:is>
      </x:c>
      <x:c r="M314" s="5" t="inlineStr">
        <x:is>
          <x:t xml:space="preserve"/>
        </x:is>
      </x:c>
      <x:c r="N314" s="5" t="inlineStr">
        <x:is>
          <x:t xml:space="preserve"/>
        </x:is>
      </x:c>
      <x:c r="O314" s="5" t="inlineStr">
        <x:is>
          <x:t xml:space="preserve"/>
        </x:is>
      </x:c>
      <x:c r="P314" s="5" t="inlineStr">
        <x:is>
          <x:t xml:space="preserve"/>
        </x:is>
      </x:c>
      <x:c r="Q314" s="5" t="inlineStr">
        <x:is>
          <x:t xml:space="preserve"/>
        </x:is>
      </x:c>
      <x:c r="R314" s="5">
        <x:f>IF(OR(F314="",G314=""),"",IF(F314&gt;=0.95*G314,1,0))</x:f>
      </x:c>
      <x:c r="S314" s="7">
        <x:f>IFERROR((I314+J314+K314)/F314,"")</x:f>
      </x:c>
      <x:c r="T314" s="5">
        <x:f>IFERROR(I314+J314+K314,"")</x:f>
        <x:v>0</x:v>
      </x:c>
    </x:row>
    <x:row r="315" ht="22" customHeight="1">
      <x:c r="A315" s="5" t="inlineStr">
        <x:is>
          <x:t xml:space="preserve">P026</x:t>
        </x:is>
      </x:c>
      <x:c r="B315" s="5" t="inlineStr">
        <x:is>
          <x:t xml:space="preserve">11</x:t>
        </x:is>
      </x:c>
      <x:c r="C315" s="5" t="inlineStr">
        <x:is>
          <x:t xml:space="preserve">V12_creativity_constraints</x:t>
        </x:is>
      </x:c>
      <x:c r="D315" s="5" t="inlineStr">
        <x:is>
          <x:t xml:space="preserve">heavy_bionic</x:t>
        </x:is>
      </x:c>
      <x:c r="E315" s="5" t="inlineStr">
        <x:is>
          <x:t xml:space="preserve">audio_on</x:t>
        </x:is>
      </x:c>
      <x:c r="F315" s="6" t="inlineStr">
        <x:is>
          <x:t xml:space="preserve"/>
        </x:is>
      </x:c>
      <x:c r="G315" s="6" t="inlineStr">
        <x:is>
          <x:t xml:space="preserve">6</x:t>
        </x:is>
      </x:c>
      <x:c r="H315" s="5" t="inlineStr">
        <x:is>
          <x:t xml:space="preserve"/>
        </x:is>
      </x:c>
      <x:c r="I315" s="5" t="inlineStr">
        <x:is>
          <x:t xml:space="preserve"/>
        </x:is>
      </x:c>
      <x:c r="J315" s="5" t="inlineStr">
        <x:is>
          <x:t xml:space="preserve"/>
        </x:is>
      </x:c>
      <x:c r="K315" s="5" t="inlineStr">
        <x:is>
          <x:t xml:space="preserve"/>
        </x:is>
      </x:c>
      <x:c r="L315" s="5" t="inlineStr">
        <x:is>
          <x:t xml:space="preserve"/>
        </x:is>
      </x:c>
      <x:c r="M315" s="5" t="inlineStr">
        <x:is>
          <x:t xml:space="preserve"/>
        </x:is>
      </x:c>
      <x:c r="N315" s="5" t="inlineStr">
        <x:is>
          <x:t xml:space="preserve"/>
        </x:is>
      </x:c>
      <x:c r="O315" s="5" t="inlineStr">
        <x:is>
          <x:t xml:space="preserve"/>
        </x:is>
      </x:c>
      <x:c r="P315" s="5" t="inlineStr">
        <x:is>
          <x:t xml:space="preserve"/>
        </x:is>
      </x:c>
      <x:c r="Q315" s="5" t="inlineStr">
        <x:is>
          <x:t xml:space="preserve"/>
        </x:is>
      </x:c>
      <x:c r="R315" s="5">
        <x:f>IF(OR(F315="",G315=""),"",IF(F315&gt;=0.95*G315,1,0))</x:f>
      </x:c>
      <x:c r="S315" s="7">
        <x:f>IFERROR((I315+J315+K315)/F315,"")</x:f>
      </x:c>
      <x:c r="T315" s="5">
        <x:f>IFERROR(I315+J315+K315,"")</x:f>
        <x:v>0</x:v>
      </x:c>
    </x:row>
    <x:row r="316" ht="22" customHeight="1">
      <x:c r="A316" s="5" t="inlineStr">
        <x:is>
          <x:t xml:space="preserve">P026</x:t>
        </x:is>
      </x:c>
      <x:c r="B316" s="5" t="inlineStr">
        <x:is>
          <x:t xml:space="preserve">12</x:t>
        </x:is>
      </x:c>
      <x:c r="C316" s="5" t="inlineStr">
        <x:is>
          <x:t xml:space="preserve">V04_money_visibility</x:t>
        </x:is>
      </x:c>
      <x:c r="D316" s="5" t="inlineStr">
        <x:is>
          <x:t xml:space="preserve">full_transcript</x:t>
        </x:is>
      </x:c>
      <x:c r="E316" s="5" t="inlineStr">
        <x:is>
          <x:t xml:space="preserve">muted</x:t>
        </x:is>
      </x:c>
      <x:c r="F316" s="6" t="inlineStr">
        <x:is>
          <x:t xml:space="preserve"/>
        </x:is>
      </x:c>
      <x:c r="G316" s="6" t="inlineStr">
        <x:is>
          <x:t xml:space="preserve">6</x:t>
        </x:is>
      </x:c>
      <x:c r="H316" s="5" t="inlineStr">
        <x:is>
          <x:t xml:space="preserve"/>
        </x:is>
      </x:c>
      <x:c r="I316" s="5" t="inlineStr">
        <x:is>
          <x:t xml:space="preserve"/>
        </x:is>
      </x:c>
      <x:c r="J316" s="5" t="inlineStr">
        <x:is>
          <x:t xml:space="preserve"/>
        </x:is>
      </x:c>
      <x:c r="K316" s="5" t="inlineStr">
        <x:is>
          <x:t xml:space="preserve"/>
        </x:is>
      </x:c>
      <x:c r="L316" s="5" t="inlineStr">
        <x:is>
          <x:t xml:space="preserve"/>
        </x:is>
      </x:c>
      <x:c r="M316" s="5" t="inlineStr">
        <x:is>
          <x:t xml:space="preserve"/>
        </x:is>
      </x:c>
      <x:c r="N316" s="5" t="inlineStr">
        <x:is>
          <x:t xml:space="preserve"/>
        </x:is>
      </x:c>
      <x:c r="O316" s="5" t="inlineStr">
        <x:is>
          <x:t xml:space="preserve"/>
        </x:is>
      </x:c>
      <x:c r="P316" s="5" t="inlineStr">
        <x:is>
          <x:t xml:space="preserve"/>
        </x:is>
      </x:c>
      <x:c r="Q316" s="5" t="inlineStr">
        <x:is>
          <x:t xml:space="preserve"/>
        </x:is>
      </x:c>
      <x:c r="R316" s="5">
        <x:f>IF(OR(F316="",G316=""),"",IF(F316&gt;=0.95*G316,1,0))</x:f>
      </x:c>
      <x:c r="S316" s="7">
        <x:f>IFERROR((I316+J316+K316)/F316,"")</x:f>
      </x:c>
      <x:c r="T316" s="5">
        <x:f>IFERROR(I316+J316+K316,"")</x:f>
        <x:v>0</x:v>
      </x:c>
    </x:row>
    <x:row r="317" ht="22" customHeight="1">
      <x:c r="A317" s="5" t="inlineStr">
        <x:is>
          <x:t xml:space="preserve">P027</x:t>
        </x:is>
      </x:c>
      <x:c r="B317" s="5" t="inlineStr">
        <x:is>
          <x:t xml:space="preserve">1</x:t>
        </x:is>
      </x:c>
      <x:c r="C317" s="5" t="inlineStr">
        <x:is>
          <x:t xml:space="preserve">V07_business_clarity</x:t>
        </x:is>
      </x:c>
      <x:c r="D317" s="5" t="inlineStr">
        <x:is>
          <x:t xml:space="preserve">semantic_compression</x:t>
        </x:is>
      </x:c>
      <x:c r="E317" s="5" t="inlineStr">
        <x:is>
          <x:t xml:space="preserve">muted</x:t>
        </x:is>
      </x:c>
      <x:c r="F317" s="6" t="inlineStr">
        <x:is>
          <x:t xml:space="preserve"/>
        </x:is>
      </x:c>
      <x:c r="G317" s="6" t="inlineStr">
        <x:is>
          <x:t xml:space="preserve">6</x:t>
        </x:is>
      </x:c>
      <x:c r="H317" s="5" t="inlineStr">
        <x:is>
          <x:t xml:space="preserve"/>
        </x:is>
      </x:c>
      <x:c r="I317" s="5" t="inlineStr">
        <x:is>
          <x:t xml:space="preserve"/>
        </x:is>
      </x:c>
      <x:c r="J317" s="5" t="inlineStr">
        <x:is>
          <x:t xml:space="preserve"/>
        </x:is>
      </x:c>
      <x:c r="K317" s="5" t="inlineStr">
        <x:is>
          <x:t xml:space="preserve"/>
        </x:is>
      </x:c>
      <x:c r="L317" s="5" t="inlineStr">
        <x:is>
          <x:t xml:space="preserve"/>
        </x:is>
      </x:c>
      <x:c r="M317" s="5" t="inlineStr">
        <x:is>
          <x:t xml:space="preserve"/>
        </x:is>
      </x:c>
      <x:c r="N317" s="5" t="inlineStr">
        <x:is>
          <x:t xml:space="preserve"/>
        </x:is>
      </x:c>
      <x:c r="O317" s="5" t="inlineStr">
        <x:is>
          <x:t xml:space="preserve"/>
        </x:is>
      </x:c>
      <x:c r="P317" s="5" t="inlineStr">
        <x:is>
          <x:t xml:space="preserve"/>
        </x:is>
      </x:c>
      <x:c r="Q317" s="5" t="inlineStr">
        <x:is>
          <x:t xml:space="preserve"/>
        </x:is>
      </x:c>
      <x:c r="R317" s="5">
        <x:f>IF(OR(F317="",G317=""),"",IF(F317&gt;=0.95*G317,1,0))</x:f>
      </x:c>
      <x:c r="S317" s="7">
        <x:f>IFERROR((I317+J317+K317)/F317,"")</x:f>
      </x:c>
      <x:c r="T317" s="5">
        <x:f>IFERROR(I317+J317+K317,"")</x:f>
        <x:v>0</x:v>
      </x:c>
    </x:row>
    <x:row r="318" ht="22" customHeight="1">
      <x:c r="A318" s="5" t="inlineStr">
        <x:is>
          <x:t xml:space="preserve">P027</x:t>
        </x:is>
      </x:c>
      <x:c r="B318" s="5" t="inlineStr">
        <x:is>
          <x:t xml:space="preserve">2</x:t>
        </x:is>
      </x:c>
      <x:c r="C318" s="5" t="inlineStr">
        <x:is>
          <x:t xml:space="preserve">V03_fitness_setup</x:t>
        </x:is>
      </x:c>
      <x:c r="D318" s="5" t="inlineStr">
        <x:is>
          <x:t xml:space="preserve">bcc</x:t>
        </x:is>
      </x:c>
      <x:c r="E318" s="5" t="inlineStr">
        <x:is>
          <x:t xml:space="preserve">audio_on</x:t>
        </x:is>
      </x:c>
      <x:c r="F318" s="6" t="inlineStr">
        <x:is>
          <x:t xml:space="preserve"/>
        </x:is>
      </x:c>
      <x:c r="G318" s="6" t="inlineStr">
        <x:is>
          <x:t xml:space="preserve">6</x:t>
        </x:is>
      </x:c>
      <x:c r="H318" s="5" t="inlineStr">
        <x:is>
          <x:t xml:space="preserve"/>
        </x:is>
      </x:c>
      <x:c r="I318" s="5" t="inlineStr">
        <x:is>
          <x:t xml:space="preserve"/>
        </x:is>
      </x:c>
      <x:c r="J318" s="5" t="inlineStr">
        <x:is>
          <x:t xml:space="preserve"/>
        </x:is>
      </x:c>
      <x:c r="K318" s="5" t="inlineStr">
        <x:is>
          <x:t xml:space="preserve"/>
        </x:is>
      </x:c>
      <x:c r="L318" s="5" t="inlineStr">
        <x:is>
          <x:t xml:space="preserve"/>
        </x:is>
      </x:c>
      <x:c r="M318" s="5" t="inlineStr">
        <x:is>
          <x:t xml:space="preserve"/>
        </x:is>
      </x:c>
      <x:c r="N318" s="5" t="inlineStr">
        <x:is>
          <x:t xml:space="preserve"/>
        </x:is>
      </x:c>
      <x:c r="O318" s="5" t="inlineStr">
        <x:is>
          <x:t xml:space="preserve"/>
        </x:is>
      </x:c>
      <x:c r="P318" s="5" t="inlineStr">
        <x:is>
          <x:t xml:space="preserve"/>
        </x:is>
      </x:c>
      <x:c r="Q318" s="5" t="inlineStr">
        <x:is>
          <x:t xml:space="preserve"/>
        </x:is>
      </x:c>
      <x:c r="R318" s="5">
        <x:f>IF(OR(F318="",G318=""),"",IF(F318&gt;=0.95*G318,1,0))</x:f>
      </x:c>
      <x:c r="S318" s="7">
        <x:f>IFERROR((I318+J318+K318)/F318,"")</x:f>
      </x:c>
      <x:c r="T318" s="5">
        <x:f>IFERROR(I318+J318+K318,"")</x:f>
        <x:v>0</x:v>
      </x:c>
    </x:row>
    <x:row r="319" ht="22" customHeight="1">
      <x:c r="A319" s="5" t="inlineStr">
        <x:is>
          <x:t xml:space="preserve">P027</x:t>
        </x:is>
      </x:c>
      <x:c r="B319" s="5" t="inlineStr">
        <x:is>
          <x:t xml:space="preserve">3</x:t>
        </x:is>
      </x:c>
      <x:c r="C319" s="5" t="inlineStr">
        <x:is>
          <x:t xml:space="preserve">V11_story_burnout</x:t>
        </x:is>
      </x:c>
      <x:c r="D319" s="5" t="inlineStr">
        <x:is>
          <x:t xml:space="preserve">bcc_plus</x:t>
        </x:is>
      </x:c>
      <x:c r="E319" s="5" t="inlineStr">
        <x:is>
          <x:t xml:space="preserve">muted</x:t>
        </x:is>
      </x:c>
      <x:c r="F319" s="6" t="inlineStr">
        <x:is>
          <x:t xml:space="preserve"/>
        </x:is>
      </x:c>
      <x:c r="G319" s="6" t="inlineStr">
        <x:is>
          <x:t xml:space="preserve">6</x:t>
        </x:is>
      </x:c>
      <x:c r="H319" s="5" t="inlineStr">
        <x:is>
          <x:t xml:space="preserve"/>
        </x:is>
      </x:c>
      <x:c r="I319" s="5" t="inlineStr">
        <x:is>
          <x:t xml:space="preserve"/>
        </x:is>
      </x:c>
      <x:c r="J319" s="5" t="inlineStr">
        <x:is>
          <x:t xml:space="preserve"/>
        </x:is>
      </x:c>
      <x:c r="K319" s="5" t="inlineStr">
        <x:is>
          <x:t xml:space="preserve"/>
        </x:is>
      </x:c>
      <x:c r="L319" s="5" t="inlineStr">
        <x:is>
          <x:t xml:space="preserve"/>
        </x:is>
      </x:c>
      <x:c r="M319" s="5" t="inlineStr">
        <x:is>
          <x:t xml:space="preserve"/>
        </x:is>
      </x:c>
      <x:c r="N319" s="5" t="inlineStr">
        <x:is>
          <x:t xml:space="preserve"/>
        </x:is>
      </x:c>
      <x:c r="O319" s="5" t="inlineStr">
        <x:is>
          <x:t xml:space="preserve"/>
        </x:is>
      </x:c>
      <x:c r="P319" s="5" t="inlineStr">
        <x:is>
          <x:t xml:space="preserve"/>
        </x:is>
      </x:c>
      <x:c r="Q319" s="5" t="inlineStr">
        <x:is>
          <x:t xml:space="preserve"/>
        </x:is>
      </x:c>
      <x:c r="R319" s="5">
        <x:f>IF(OR(F319="",G319=""),"",IF(F319&gt;=0.95*G319,1,0))</x:f>
      </x:c>
      <x:c r="S319" s="7">
        <x:f>IFERROR((I319+J319+K319)/F319,"")</x:f>
      </x:c>
      <x:c r="T319" s="5">
        <x:f>IFERROR(I319+J319+K319,"")</x:f>
        <x:v>0</x:v>
      </x:c>
    </x:row>
    <x:row r="320" ht="22" customHeight="1">
      <x:c r="A320" s="5" t="inlineStr">
        <x:is>
          <x:t xml:space="preserve">P027</x:t>
        </x:is>
      </x:c>
      <x:c r="B320" s="5" t="inlineStr">
        <x:is>
          <x:t xml:space="preserve">4</x:t>
        </x:is>
      </x:c>
      <x:c r="C320" s="5" t="inlineStr">
        <x:is>
          <x:t xml:space="preserve">V05_coding_assumptions</x:t>
        </x:is>
      </x:c>
      <x:c r="D320" s="5" t="inlineStr">
        <x:is>
          <x:t xml:space="preserve">heavy_bionic</x:t>
        </x:is>
      </x:c>
      <x:c r="E320" s="5" t="inlineStr">
        <x:is>
          <x:t xml:space="preserve">audio_on</x:t>
        </x:is>
      </x:c>
      <x:c r="F320" s="6" t="inlineStr">
        <x:is>
          <x:t xml:space="preserve"/>
        </x:is>
      </x:c>
      <x:c r="G320" s="6" t="inlineStr">
        <x:is>
          <x:t xml:space="preserve">6</x:t>
        </x:is>
      </x:c>
      <x:c r="H320" s="5" t="inlineStr">
        <x:is>
          <x:t xml:space="preserve"/>
        </x:is>
      </x:c>
      <x:c r="I320" s="5" t="inlineStr">
        <x:is>
          <x:t xml:space="preserve"/>
        </x:is>
      </x:c>
      <x:c r="J320" s="5" t="inlineStr">
        <x:is>
          <x:t xml:space="preserve"/>
        </x:is>
      </x:c>
      <x:c r="K320" s="5" t="inlineStr">
        <x:is>
          <x:t xml:space="preserve"/>
        </x:is>
      </x:c>
      <x:c r="L320" s="5" t="inlineStr">
        <x:is>
          <x:t xml:space="preserve"/>
        </x:is>
      </x:c>
      <x:c r="M320" s="5" t="inlineStr">
        <x:is>
          <x:t xml:space="preserve"/>
        </x:is>
      </x:c>
      <x:c r="N320" s="5" t="inlineStr">
        <x:is>
          <x:t xml:space="preserve"/>
        </x:is>
      </x:c>
      <x:c r="O320" s="5" t="inlineStr">
        <x:is>
          <x:t xml:space="preserve"/>
        </x:is>
      </x:c>
      <x:c r="P320" s="5" t="inlineStr">
        <x:is>
          <x:t xml:space="preserve"/>
        </x:is>
      </x:c>
      <x:c r="Q320" s="5" t="inlineStr">
        <x:is>
          <x:t xml:space="preserve"/>
        </x:is>
      </x:c>
      <x:c r="R320" s="5">
        <x:f>IF(OR(F320="",G320=""),"",IF(F320&gt;=0.95*G320,1,0))</x:f>
      </x:c>
      <x:c r="S320" s="7">
        <x:f>IFERROR((I320+J320+K320)/F320,"")</x:f>
      </x:c>
      <x:c r="T320" s="5">
        <x:f>IFERROR(I320+J320+K320,"")</x:f>
        <x:v>0</x:v>
      </x:c>
    </x:row>
    <x:row r="321" ht="22" customHeight="1">
      <x:c r="A321" s="5" t="inlineStr">
        <x:is>
          <x:t xml:space="preserve">P027</x:t>
        </x:is>
      </x:c>
      <x:c r="B321" s="5" t="inlineStr">
        <x:is>
          <x:t xml:space="preserve">5</x:t>
        </x:is>
      </x:c>
      <x:c r="C321" s="5" t="inlineStr">
        <x:is>
          <x:t xml:space="preserve">V09_nutrition_satiety</x:t>
        </x:is>
      </x:c>
      <x:c r="D321" s="5" t="inlineStr">
        <x:is>
          <x:t xml:space="preserve">full_transcript</x:t>
        </x:is>
      </x:c>
      <x:c r="E321" s="5" t="inlineStr">
        <x:is>
          <x:t xml:space="preserve">muted</x:t>
        </x:is>
      </x:c>
      <x:c r="F321" s="6" t="inlineStr">
        <x:is>
          <x:t xml:space="preserve"/>
        </x:is>
      </x:c>
      <x:c r="G321" s="6" t="inlineStr">
        <x:is>
          <x:t xml:space="preserve">6</x:t>
        </x:is>
      </x:c>
      <x:c r="H321" s="5" t="inlineStr">
        <x:is>
          <x:t xml:space="preserve"/>
        </x:is>
      </x:c>
      <x:c r="I321" s="5" t="inlineStr">
        <x:is>
          <x:t xml:space="preserve"/>
        </x:is>
      </x:c>
      <x:c r="J321" s="5" t="inlineStr">
        <x:is>
          <x:t xml:space="preserve"/>
        </x:is>
      </x:c>
      <x:c r="K321" s="5" t="inlineStr">
        <x:is>
          <x:t xml:space="preserve"/>
        </x:is>
      </x:c>
      <x:c r="L321" s="5" t="inlineStr">
        <x:is>
          <x:t xml:space="preserve"/>
        </x:is>
      </x:c>
      <x:c r="M321" s="5" t="inlineStr">
        <x:is>
          <x:t xml:space="preserve"/>
        </x:is>
      </x:c>
      <x:c r="N321" s="5" t="inlineStr">
        <x:is>
          <x:t xml:space="preserve"/>
        </x:is>
      </x:c>
      <x:c r="O321" s="5" t="inlineStr">
        <x:is>
          <x:t xml:space="preserve"/>
        </x:is>
      </x:c>
      <x:c r="P321" s="5" t="inlineStr">
        <x:is>
          <x:t xml:space="preserve"/>
        </x:is>
      </x:c>
      <x:c r="Q321" s="5" t="inlineStr">
        <x:is>
          <x:t xml:space="preserve"/>
        </x:is>
      </x:c>
      <x:c r="R321" s="5">
        <x:f>IF(OR(F321="",G321=""),"",IF(F321&gt;=0.95*G321,1,0))</x:f>
      </x:c>
      <x:c r="S321" s="7">
        <x:f>IFERROR((I321+J321+K321)/F321,"")</x:f>
      </x:c>
      <x:c r="T321" s="5">
        <x:f>IFERROR(I321+J321+K321,"")</x:f>
        <x:v>0</x:v>
      </x:c>
    </x:row>
    <x:row r="322" ht="22" customHeight="1">
      <x:c r="A322" s="5" t="inlineStr">
        <x:is>
          <x:t xml:space="preserve">P027</x:t>
        </x:is>
      </x:c>
      <x:c r="B322" s="5" t="inlineStr">
        <x:is>
          <x:t xml:space="preserve">6</x:t>
        </x:is>
      </x:c>
      <x:c r="C322" s="5" t="inlineStr">
        <x:is>
          <x:t xml:space="preserve">V02_study_recall</x:t>
        </x:is>
      </x:c>
      <x:c r="D322" s="5" t="inlineStr">
        <x:is>
          <x:t xml:space="preserve">keyword_highlight</x:t>
        </x:is>
      </x:c>
      <x:c r="E322" s="5" t="inlineStr">
        <x:is>
          <x:t xml:space="preserve">audio_on</x:t>
        </x:is>
      </x:c>
      <x:c r="F322" s="6" t="inlineStr">
        <x:is>
          <x:t xml:space="preserve"/>
        </x:is>
      </x:c>
      <x:c r="G322" s="6" t="inlineStr">
        <x:is>
          <x:t xml:space="preserve">6</x:t>
        </x:is>
      </x:c>
      <x:c r="H322" s="5" t="inlineStr">
        <x:is>
          <x:t xml:space="preserve"/>
        </x:is>
      </x:c>
      <x:c r="I322" s="5" t="inlineStr">
        <x:is>
          <x:t xml:space="preserve"/>
        </x:is>
      </x:c>
      <x:c r="J322" s="5" t="inlineStr">
        <x:is>
          <x:t xml:space="preserve"/>
        </x:is>
      </x:c>
      <x:c r="K322" s="5" t="inlineStr">
        <x:is>
          <x:t xml:space="preserve"/>
        </x:is>
      </x:c>
      <x:c r="L322" s="5" t="inlineStr">
        <x:is>
          <x:t xml:space="preserve"/>
        </x:is>
      </x:c>
      <x:c r="M322" s="5" t="inlineStr">
        <x:is>
          <x:t xml:space="preserve"/>
        </x:is>
      </x:c>
      <x:c r="N322" s="5" t="inlineStr">
        <x:is>
          <x:t xml:space="preserve"/>
        </x:is>
      </x:c>
      <x:c r="O322" s="5" t="inlineStr">
        <x:is>
          <x:t xml:space="preserve"/>
        </x:is>
      </x:c>
      <x:c r="P322" s="5" t="inlineStr">
        <x:is>
          <x:t xml:space="preserve"/>
        </x:is>
      </x:c>
      <x:c r="Q322" s="5" t="inlineStr">
        <x:is>
          <x:t xml:space="preserve"/>
        </x:is>
      </x:c>
      <x:c r="R322" s="5">
        <x:f>IF(OR(F322="",G322=""),"",IF(F322&gt;=0.95*G322,1,0))</x:f>
      </x:c>
      <x:c r="S322" s="7">
        <x:f>IFERROR((I322+J322+K322)/F322,"")</x:f>
      </x:c>
      <x:c r="T322" s="5">
        <x:f>IFERROR(I322+J322+K322,"")</x:f>
        <x:v>0</x:v>
      </x:c>
    </x:row>
    <x:row r="323" ht="22" customHeight="1">
      <x:c r="A323" s="5" t="inlineStr">
        <x:is>
          <x:t xml:space="preserve">P027</x:t>
        </x:is>
      </x:c>
      <x:c r="B323" s="5" t="inlineStr">
        <x:is>
          <x:t xml:space="preserve">7</x:t>
        </x:is>
      </x:c>
      <x:c r="C323" s="5" t="inlineStr">
        <x:is>
          <x:t xml:space="preserve">V06_overload_open_loops</x:t>
        </x:is>
      </x:c>
      <x:c r="D323" s="5" t="inlineStr">
        <x:is>
          <x:t xml:space="preserve">semantic_compression</x:t>
        </x:is>
      </x:c>
      <x:c r="E323" s="5" t="inlineStr">
        <x:is>
          <x:t xml:space="preserve">muted</x:t>
        </x:is>
      </x:c>
      <x:c r="F323" s="6" t="inlineStr">
        <x:is>
          <x:t xml:space="preserve"/>
        </x:is>
      </x:c>
      <x:c r="G323" s="6" t="inlineStr">
        <x:is>
          <x:t xml:space="preserve">6</x:t>
        </x:is>
      </x:c>
      <x:c r="H323" s="5" t="inlineStr">
        <x:is>
          <x:t xml:space="preserve"/>
        </x:is>
      </x:c>
      <x:c r="I323" s="5" t="inlineStr">
        <x:is>
          <x:t xml:space="preserve"/>
        </x:is>
      </x:c>
      <x:c r="J323" s="5" t="inlineStr">
        <x:is>
          <x:t xml:space="preserve"/>
        </x:is>
      </x:c>
      <x:c r="K323" s="5" t="inlineStr">
        <x:is>
          <x:t xml:space="preserve"/>
        </x:is>
      </x:c>
      <x:c r="L323" s="5" t="inlineStr">
        <x:is>
          <x:t xml:space="preserve"/>
        </x:is>
      </x:c>
      <x:c r="M323" s="5" t="inlineStr">
        <x:is>
          <x:t xml:space="preserve"/>
        </x:is>
      </x:c>
      <x:c r="N323" s="5" t="inlineStr">
        <x:is>
          <x:t xml:space="preserve"/>
        </x:is>
      </x:c>
      <x:c r="O323" s="5" t="inlineStr">
        <x:is>
          <x:t xml:space="preserve"/>
        </x:is>
      </x:c>
      <x:c r="P323" s="5" t="inlineStr">
        <x:is>
          <x:t xml:space="preserve"/>
        </x:is>
      </x:c>
      <x:c r="Q323" s="5" t="inlineStr">
        <x:is>
          <x:t xml:space="preserve"/>
        </x:is>
      </x:c>
      <x:c r="R323" s="5">
        <x:f>IF(OR(F323="",G323=""),"",IF(F323&gt;=0.95*G323,1,0))</x:f>
      </x:c>
      <x:c r="S323" s="7">
        <x:f>IFERROR((I323+J323+K323)/F323,"")</x:f>
      </x:c>
      <x:c r="T323" s="5">
        <x:f>IFERROR(I323+J323+K323,"")</x:f>
        <x:v>0</x:v>
      </x:c>
    </x:row>
    <x:row r="324" ht="22" customHeight="1">
      <x:c r="A324" s="5" t="inlineStr">
        <x:is>
          <x:t xml:space="preserve">P027</x:t>
        </x:is>
      </x:c>
      <x:c r="B324" s="5" t="inlineStr">
        <x:is>
          <x:t xml:space="preserve">8</x:t>
        </x:is>
      </x:c>
      <x:c r="C324" s="5" t="inlineStr">
        <x:is>
          <x:t xml:space="preserve">V04_money_visibility</x:t>
        </x:is>
      </x:c>
      <x:c r="D324" s="5" t="inlineStr">
        <x:is>
          <x:t xml:space="preserve">bcc</x:t>
        </x:is>
      </x:c>
      <x:c r="E324" s="5" t="inlineStr">
        <x:is>
          <x:t xml:space="preserve">audio_on</x:t>
        </x:is>
      </x:c>
      <x:c r="F324" s="6" t="inlineStr">
        <x:is>
          <x:t xml:space="preserve"/>
        </x:is>
      </x:c>
      <x:c r="G324" s="6" t="inlineStr">
        <x:is>
          <x:t xml:space="preserve">6</x:t>
        </x:is>
      </x:c>
      <x:c r="H324" s="5" t="inlineStr">
        <x:is>
          <x:t xml:space="preserve"/>
        </x:is>
      </x:c>
      <x:c r="I324" s="5" t="inlineStr">
        <x:is>
          <x:t xml:space="preserve"/>
        </x:is>
      </x:c>
      <x:c r="J324" s="5" t="inlineStr">
        <x:is>
          <x:t xml:space="preserve"/>
        </x:is>
      </x:c>
      <x:c r="K324" s="5" t="inlineStr">
        <x:is>
          <x:t xml:space="preserve"/>
        </x:is>
      </x:c>
      <x:c r="L324" s="5" t="inlineStr">
        <x:is>
          <x:t xml:space="preserve"/>
        </x:is>
      </x:c>
      <x:c r="M324" s="5" t="inlineStr">
        <x:is>
          <x:t xml:space="preserve"/>
        </x:is>
      </x:c>
      <x:c r="N324" s="5" t="inlineStr">
        <x:is>
          <x:t xml:space="preserve"/>
        </x:is>
      </x:c>
      <x:c r="O324" s="5" t="inlineStr">
        <x:is>
          <x:t xml:space="preserve"/>
        </x:is>
      </x:c>
      <x:c r="P324" s="5" t="inlineStr">
        <x:is>
          <x:t xml:space="preserve"/>
        </x:is>
      </x:c>
      <x:c r="Q324" s="5" t="inlineStr">
        <x:is>
          <x:t xml:space="preserve"/>
        </x:is>
      </x:c>
      <x:c r="R324" s="5">
        <x:f>IF(OR(F324="",G324=""),"",IF(F324&gt;=0.95*G324,1,0))</x:f>
      </x:c>
      <x:c r="S324" s="7">
        <x:f>IFERROR((I324+J324+K324)/F324,"")</x:f>
      </x:c>
      <x:c r="T324" s="5">
        <x:f>IFERROR(I324+J324+K324,"")</x:f>
        <x:v>0</x:v>
      </x:c>
    </x:row>
    <x:row r="325" ht="22" customHeight="1">
      <x:c r="A325" s="5" t="inlineStr">
        <x:is>
          <x:t xml:space="preserve">P027</x:t>
        </x:is>
      </x:c>
      <x:c r="B325" s="5" t="inlineStr">
        <x:is>
          <x:t xml:space="preserve">9</x:t>
        </x:is>
      </x:c>
      <x:c r="C325" s="5" t="inlineStr">
        <x:is>
          <x:t xml:space="preserve">V08_calendar_system</x:t>
        </x:is>
      </x:c>
      <x:c r="D325" s="5" t="inlineStr">
        <x:is>
          <x:t xml:space="preserve">bcc_plus</x:t>
        </x:is>
      </x:c>
      <x:c r="E325" s="5" t="inlineStr">
        <x:is>
          <x:t xml:space="preserve">muted</x:t>
        </x:is>
      </x:c>
      <x:c r="F325" s="6" t="inlineStr">
        <x:is>
          <x:t xml:space="preserve"/>
        </x:is>
      </x:c>
      <x:c r="G325" s="6" t="inlineStr">
        <x:is>
          <x:t xml:space="preserve">6</x:t>
        </x:is>
      </x:c>
      <x:c r="H325" s="5" t="inlineStr">
        <x:is>
          <x:t xml:space="preserve"/>
        </x:is>
      </x:c>
      <x:c r="I325" s="5" t="inlineStr">
        <x:is>
          <x:t xml:space="preserve"/>
        </x:is>
      </x:c>
      <x:c r="J325" s="5" t="inlineStr">
        <x:is>
          <x:t xml:space="preserve"/>
        </x:is>
      </x:c>
      <x:c r="K325" s="5" t="inlineStr">
        <x:is>
          <x:t xml:space="preserve"/>
        </x:is>
      </x:c>
      <x:c r="L325" s="5" t="inlineStr">
        <x:is>
          <x:t xml:space="preserve"/>
        </x:is>
      </x:c>
      <x:c r="M325" s="5" t="inlineStr">
        <x:is>
          <x:t xml:space="preserve"/>
        </x:is>
      </x:c>
      <x:c r="N325" s="5" t="inlineStr">
        <x:is>
          <x:t xml:space="preserve"/>
        </x:is>
      </x:c>
      <x:c r="O325" s="5" t="inlineStr">
        <x:is>
          <x:t xml:space="preserve"/>
        </x:is>
      </x:c>
      <x:c r="P325" s="5" t="inlineStr">
        <x:is>
          <x:t xml:space="preserve"/>
        </x:is>
      </x:c>
      <x:c r="Q325" s="5" t="inlineStr">
        <x:is>
          <x:t xml:space="preserve"/>
        </x:is>
      </x:c>
      <x:c r="R325" s="5">
        <x:f>IF(OR(F325="",G325=""),"",IF(F325&gt;=0.95*G325,1,0))</x:f>
      </x:c>
      <x:c r="S325" s="7">
        <x:f>IFERROR((I325+J325+K325)/F325,"")</x:f>
      </x:c>
      <x:c r="T325" s="5">
        <x:f>IFERROR(I325+J325+K325,"")</x:f>
        <x:v>0</x:v>
      </x:c>
    </x:row>
    <x:row r="326" ht="22" customHeight="1">
      <x:c r="A326" s="5" t="inlineStr">
        <x:is>
          <x:t xml:space="preserve">P027</x:t>
        </x:is>
      </x:c>
      <x:c r="B326" s="5" t="inlineStr">
        <x:is>
          <x:t xml:space="preserve">10</x:t>
        </x:is>
      </x:c>
      <x:c r="C326" s="5" t="inlineStr">
        <x:is>
          <x:t xml:space="preserve">V12_creativity_constraints</x:t>
        </x:is>
      </x:c>
      <x:c r="D326" s="5" t="inlineStr">
        <x:is>
          <x:t xml:space="preserve">heavy_bionic</x:t>
        </x:is>
      </x:c>
      <x:c r="E326" s="5" t="inlineStr">
        <x:is>
          <x:t xml:space="preserve">audio_on</x:t>
        </x:is>
      </x:c>
      <x:c r="F326" s="6" t="inlineStr">
        <x:is>
          <x:t xml:space="preserve"/>
        </x:is>
      </x:c>
      <x:c r="G326" s="6" t="inlineStr">
        <x:is>
          <x:t xml:space="preserve">6</x:t>
        </x:is>
      </x:c>
      <x:c r="H326" s="5" t="inlineStr">
        <x:is>
          <x:t xml:space="preserve"/>
        </x:is>
      </x:c>
      <x:c r="I326" s="5" t="inlineStr">
        <x:is>
          <x:t xml:space="preserve"/>
        </x:is>
      </x:c>
      <x:c r="J326" s="5" t="inlineStr">
        <x:is>
          <x:t xml:space="preserve"/>
        </x:is>
      </x:c>
      <x:c r="K326" s="5" t="inlineStr">
        <x:is>
          <x:t xml:space="preserve"/>
        </x:is>
      </x:c>
      <x:c r="L326" s="5" t="inlineStr">
        <x:is>
          <x:t xml:space="preserve"/>
        </x:is>
      </x:c>
      <x:c r="M326" s="5" t="inlineStr">
        <x:is>
          <x:t xml:space="preserve"/>
        </x:is>
      </x:c>
      <x:c r="N326" s="5" t="inlineStr">
        <x:is>
          <x:t xml:space="preserve"/>
        </x:is>
      </x:c>
      <x:c r="O326" s="5" t="inlineStr">
        <x:is>
          <x:t xml:space="preserve"/>
        </x:is>
      </x:c>
      <x:c r="P326" s="5" t="inlineStr">
        <x:is>
          <x:t xml:space="preserve"/>
        </x:is>
      </x:c>
      <x:c r="Q326" s="5" t="inlineStr">
        <x:is>
          <x:t xml:space="preserve"/>
        </x:is>
      </x:c>
      <x:c r="R326" s="5">
        <x:f>IF(OR(F326="",G326=""),"",IF(F326&gt;=0.95*G326,1,0))</x:f>
      </x:c>
      <x:c r="S326" s="7">
        <x:f>IFERROR((I326+J326+K326)/F326,"")</x:f>
      </x:c>
      <x:c r="T326" s="5">
        <x:f>IFERROR(I326+J326+K326,"")</x:f>
        <x:v>0</x:v>
      </x:c>
    </x:row>
    <x:row r="327" ht="22" customHeight="1">
      <x:c r="A327" s="5" t="inlineStr">
        <x:is>
          <x:t xml:space="preserve">P027</x:t>
        </x:is>
      </x:c>
      <x:c r="B327" s="5" t="inlineStr">
        <x:is>
          <x:t xml:space="preserve">11</x:t>
        </x:is>
      </x:c>
      <x:c r="C327" s="5" t="inlineStr">
        <x:is>
          <x:t xml:space="preserve">V01_productivity_friction</x:t>
        </x:is>
      </x:c>
      <x:c r="D327" s="5" t="inlineStr">
        <x:is>
          <x:t xml:space="preserve">full_transcript</x:t>
        </x:is>
      </x:c>
      <x:c r="E327" s="5" t="inlineStr">
        <x:is>
          <x:t xml:space="preserve">muted</x:t>
        </x:is>
      </x:c>
      <x:c r="F327" s="6" t="inlineStr">
        <x:is>
          <x:t xml:space="preserve"/>
        </x:is>
      </x:c>
      <x:c r="G327" s="6" t="inlineStr">
        <x:is>
          <x:t xml:space="preserve">6</x:t>
        </x:is>
      </x:c>
      <x:c r="H327" s="5" t="inlineStr">
        <x:is>
          <x:t xml:space="preserve"/>
        </x:is>
      </x:c>
      <x:c r="I327" s="5" t="inlineStr">
        <x:is>
          <x:t xml:space="preserve"/>
        </x:is>
      </x:c>
      <x:c r="J327" s="5" t="inlineStr">
        <x:is>
          <x:t xml:space="preserve"/>
        </x:is>
      </x:c>
      <x:c r="K327" s="5" t="inlineStr">
        <x:is>
          <x:t xml:space="preserve"/>
        </x:is>
      </x:c>
      <x:c r="L327" s="5" t="inlineStr">
        <x:is>
          <x:t xml:space="preserve"/>
        </x:is>
      </x:c>
      <x:c r="M327" s="5" t="inlineStr">
        <x:is>
          <x:t xml:space="preserve"/>
        </x:is>
      </x:c>
      <x:c r="N327" s="5" t="inlineStr">
        <x:is>
          <x:t xml:space="preserve"/>
        </x:is>
      </x:c>
      <x:c r="O327" s="5" t="inlineStr">
        <x:is>
          <x:t xml:space="preserve"/>
        </x:is>
      </x:c>
      <x:c r="P327" s="5" t="inlineStr">
        <x:is>
          <x:t xml:space="preserve"/>
        </x:is>
      </x:c>
      <x:c r="Q327" s="5" t="inlineStr">
        <x:is>
          <x:t xml:space="preserve"/>
        </x:is>
      </x:c>
      <x:c r="R327" s="5">
        <x:f>IF(OR(F327="",G327=""),"",IF(F327&gt;=0.95*G327,1,0))</x:f>
      </x:c>
      <x:c r="S327" s="7">
        <x:f>IFERROR((I327+J327+K327)/F327,"")</x:f>
      </x:c>
      <x:c r="T327" s="5">
        <x:f>IFERROR(I327+J327+K327,"")</x:f>
        <x:v>0</x:v>
      </x:c>
    </x:row>
    <x:row r="328" ht="22" customHeight="1">
      <x:c r="A328" s="5" t="inlineStr">
        <x:is>
          <x:t xml:space="preserve">P027</x:t>
        </x:is>
      </x:c>
      <x:c r="B328" s="5" t="inlineStr">
        <x:is>
          <x:t xml:space="preserve">12</x:t>
        </x:is>
      </x:c>
      <x:c r="C328" s="5" t="inlineStr">
        <x:is>
          <x:t xml:space="preserve">V10_tutorial_ui</x:t>
        </x:is>
      </x:c>
      <x:c r="D328" s="5" t="inlineStr">
        <x:is>
          <x:t xml:space="preserve">keyword_highlight</x:t>
        </x:is>
      </x:c>
      <x:c r="E328" s="5" t="inlineStr">
        <x:is>
          <x:t xml:space="preserve">audio_on</x:t>
        </x:is>
      </x:c>
      <x:c r="F328" s="6" t="inlineStr">
        <x:is>
          <x:t xml:space="preserve"/>
        </x:is>
      </x:c>
      <x:c r="G328" s="6" t="inlineStr">
        <x:is>
          <x:t xml:space="preserve">6</x:t>
        </x:is>
      </x:c>
      <x:c r="H328" s="5" t="inlineStr">
        <x:is>
          <x:t xml:space="preserve"/>
        </x:is>
      </x:c>
      <x:c r="I328" s="5" t="inlineStr">
        <x:is>
          <x:t xml:space="preserve"/>
        </x:is>
      </x:c>
      <x:c r="J328" s="5" t="inlineStr">
        <x:is>
          <x:t xml:space="preserve"/>
        </x:is>
      </x:c>
      <x:c r="K328" s="5" t="inlineStr">
        <x:is>
          <x:t xml:space="preserve"/>
        </x:is>
      </x:c>
      <x:c r="L328" s="5" t="inlineStr">
        <x:is>
          <x:t xml:space="preserve"/>
        </x:is>
      </x:c>
      <x:c r="M328" s="5" t="inlineStr">
        <x:is>
          <x:t xml:space="preserve"/>
        </x:is>
      </x:c>
      <x:c r="N328" s="5" t="inlineStr">
        <x:is>
          <x:t xml:space="preserve"/>
        </x:is>
      </x:c>
      <x:c r="O328" s="5" t="inlineStr">
        <x:is>
          <x:t xml:space="preserve"/>
        </x:is>
      </x:c>
      <x:c r="P328" s="5" t="inlineStr">
        <x:is>
          <x:t xml:space="preserve"/>
        </x:is>
      </x:c>
      <x:c r="Q328" s="5" t="inlineStr">
        <x:is>
          <x:t xml:space="preserve"/>
        </x:is>
      </x:c>
      <x:c r="R328" s="5">
        <x:f>IF(OR(F328="",G328=""),"",IF(F328&gt;=0.95*G328,1,0))</x:f>
      </x:c>
      <x:c r="S328" s="7">
        <x:f>IFERROR((I328+J328+K328)/F328,"")</x:f>
      </x:c>
      <x:c r="T328" s="5">
        <x:f>IFERROR(I328+J328+K328,"")</x:f>
        <x:v>0</x:v>
      </x:c>
    </x:row>
    <x:row r="329" ht="22" customHeight="1">
      <x:c r="A329" s="5" t="inlineStr">
        <x:is>
          <x:t xml:space="preserve">P028</x:t>
        </x:is>
      </x:c>
      <x:c r="B329" s="5" t="inlineStr">
        <x:is>
          <x:t xml:space="preserve">1</x:t>
        </x:is>
      </x:c>
      <x:c r="C329" s="5" t="inlineStr">
        <x:is>
          <x:t xml:space="preserve">V06_overload_open_loops</x:t>
        </x:is>
      </x:c>
      <x:c r="D329" s="5" t="inlineStr">
        <x:is>
          <x:t xml:space="preserve">bcc</x:t>
        </x:is>
      </x:c>
      <x:c r="E329" s="5" t="inlineStr">
        <x:is>
          <x:t xml:space="preserve">audio_on</x:t>
        </x:is>
      </x:c>
      <x:c r="F329" s="6" t="inlineStr">
        <x:is>
          <x:t xml:space="preserve"/>
        </x:is>
      </x:c>
      <x:c r="G329" s="6" t="inlineStr">
        <x:is>
          <x:t xml:space="preserve">6</x:t>
        </x:is>
      </x:c>
      <x:c r="H329" s="5" t="inlineStr">
        <x:is>
          <x:t xml:space="preserve"/>
        </x:is>
      </x:c>
      <x:c r="I329" s="5" t="inlineStr">
        <x:is>
          <x:t xml:space="preserve"/>
        </x:is>
      </x:c>
      <x:c r="J329" s="5" t="inlineStr">
        <x:is>
          <x:t xml:space="preserve"/>
        </x:is>
      </x:c>
      <x:c r="K329" s="5" t="inlineStr">
        <x:is>
          <x:t xml:space="preserve"/>
        </x:is>
      </x:c>
      <x:c r="L329" s="5" t="inlineStr">
        <x:is>
          <x:t xml:space="preserve"/>
        </x:is>
      </x:c>
      <x:c r="M329" s="5" t="inlineStr">
        <x:is>
          <x:t xml:space="preserve"/>
        </x:is>
      </x:c>
      <x:c r="N329" s="5" t="inlineStr">
        <x:is>
          <x:t xml:space="preserve"/>
        </x:is>
      </x:c>
      <x:c r="O329" s="5" t="inlineStr">
        <x:is>
          <x:t xml:space="preserve"/>
        </x:is>
      </x:c>
      <x:c r="P329" s="5" t="inlineStr">
        <x:is>
          <x:t xml:space="preserve"/>
        </x:is>
      </x:c>
      <x:c r="Q329" s="5" t="inlineStr">
        <x:is>
          <x:t xml:space="preserve"/>
        </x:is>
      </x:c>
      <x:c r="R329" s="5">
        <x:f>IF(OR(F329="",G329=""),"",IF(F329&gt;=0.95*G329,1,0))</x:f>
      </x:c>
      <x:c r="S329" s="7">
        <x:f>IFERROR((I329+J329+K329)/F329,"")</x:f>
      </x:c>
      <x:c r="T329" s="5">
        <x:f>IFERROR(I329+J329+K329,"")</x:f>
        <x:v>0</x:v>
      </x:c>
    </x:row>
    <x:row r="330" ht="22" customHeight="1">
      <x:c r="A330" s="5" t="inlineStr">
        <x:is>
          <x:t xml:space="preserve">P028</x:t>
        </x:is>
      </x:c>
      <x:c r="B330" s="5" t="inlineStr">
        <x:is>
          <x:t xml:space="preserve">2</x:t>
        </x:is>
      </x:c>
      <x:c r="C330" s="5" t="inlineStr">
        <x:is>
          <x:t xml:space="preserve">V05_coding_assumptions</x:t>
        </x:is>
      </x:c>
      <x:c r="D330" s="5" t="inlineStr">
        <x:is>
          <x:t xml:space="preserve">bcc_plus</x:t>
        </x:is>
      </x:c>
      <x:c r="E330" s="5" t="inlineStr">
        <x:is>
          <x:t xml:space="preserve">muted</x:t>
        </x:is>
      </x:c>
      <x:c r="F330" s="6" t="inlineStr">
        <x:is>
          <x:t xml:space="preserve"/>
        </x:is>
      </x:c>
      <x:c r="G330" s="6" t="inlineStr">
        <x:is>
          <x:t xml:space="preserve">6</x:t>
        </x:is>
      </x:c>
      <x:c r="H330" s="5" t="inlineStr">
        <x:is>
          <x:t xml:space="preserve"/>
        </x:is>
      </x:c>
      <x:c r="I330" s="5" t="inlineStr">
        <x:is>
          <x:t xml:space="preserve"/>
        </x:is>
      </x:c>
      <x:c r="J330" s="5" t="inlineStr">
        <x:is>
          <x:t xml:space="preserve"/>
        </x:is>
      </x:c>
      <x:c r="K330" s="5" t="inlineStr">
        <x:is>
          <x:t xml:space="preserve"/>
        </x:is>
      </x:c>
      <x:c r="L330" s="5" t="inlineStr">
        <x:is>
          <x:t xml:space="preserve"/>
        </x:is>
      </x:c>
      <x:c r="M330" s="5" t="inlineStr">
        <x:is>
          <x:t xml:space="preserve"/>
        </x:is>
      </x:c>
      <x:c r="N330" s="5" t="inlineStr">
        <x:is>
          <x:t xml:space="preserve"/>
        </x:is>
      </x:c>
      <x:c r="O330" s="5" t="inlineStr">
        <x:is>
          <x:t xml:space="preserve"/>
        </x:is>
      </x:c>
      <x:c r="P330" s="5" t="inlineStr">
        <x:is>
          <x:t xml:space="preserve"/>
        </x:is>
      </x:c>
      <x:c r="Q330" s="5" t="inlineStr">
        <x:is>
          <x:t xml:space="preserve"/>
        </x:is>
      </x:c>
      <x:c r="R330" s="5">
        <x:f>IF(OR(F330="",G330=""),"",IF(F330&gt;=0.95*G330,1,0))</x:f>
      </x:c>
      <x:c r="S330" s="7">
        <x:f>IFERROR((I330+J330+K330)/F330,"")</x:f>
      </x:c>
      <x:c r="T330" s="5">
        <x:f>IFERROR(I330+J330+K330,"")</x:f>
        <x:v>0</x:v>
      </x:c>
    </x:row>
    <x:row r="331" ht="22" customHeight="1">
      <x:c r="A331" s="5" t="inlineStr">
        <x:is>
          <x:t xml:space="preserve">P028</x:t>
        </x:is>
      </x:c>
      <x:c r="B331" s="5" t="inlineStr">
        <x:is>
          <x:t xml:space="preserve">3</x:t>
        </x:is>
      </x:c>
      <x:c r="C331" s="5" t="inlineStr">
        <x:is>
          <x:t xml:space="preserve">V07_business_clarity</x:t>
        </x:is>
      </x:c>
      <x:c r="D331" s="5" t="inlineStr">
        <x:is>
          <x:t xml:space="preserve">heavy_bionic</x:t>
        </x:is>
      </x:c>
      <x:c r="E331" s="5" t="inlineStr">
        <x:is>
          <x:t xml:space="preserve">audio_on</x:t>
        </x:is>
      </x:c>
      <x:c r="F331" s="6" t="inlineStr">
        <x:is>
          <x:t xml:space="preserve"/>
        </x:is>
      </x:c>
      <x:c r="G331" s="6" t="inlineStr">
        <x:is>
          <x:t xml:space="preserve">6</x:t>
        </x:is>
      </x:c>
      <x:c r="H331" s="5" t="inlineStr">
        <x:is>
          <x:t xml:space="preserve"/>
        </x:is>
      </x:c>
      <x:c r="I331" s="5" t="inlineStr">
        <x:is>
          <x:t xml:space="preserve"/>
        </x:is>
      </x:c>
      <x:c r="J331" s="5" t="inlineStr">
        <x:is>
          <x:t xml:space="preserve"/>
        </x:is>
      </x:c>
      <x:c r="K331" s="5" t="inlineStr">
        <x:is>
          <x:t xml:space="preserve"/>
        </x:is>
      </x:c>
      <x:c r="L331" s="5" t="inlineStr">
        <x:is>
          <x:t xml:space="preserve"/>
        </x:is>
      </x:c>
      <x:c r="M331" s="5" t="inlineStr">
        <x:is>
          <x:t xml:space="preserve"/>
        </x:is>
      </x:c>
      <x:c r="N331" s="5" t="inlineStr">
        <x:is>
          <x:t xml:space="preserve"/>
        </x:is>
      </x:c>
      <x:c r="O331" s="5" t="inlineStr">
        <x:is>
          <x:t xml:space="preserve"/>
        </x:is>
      </x:c>
      <x:c r="P331" s="5" t="inlineStr">
        <x:is>
          <x:t xml:space="preserve"/>
        </x:is>
      </x:c>
      <x:c r="Q331" s="5" t="inlineStr">
        <x:is>
          <x:t xml:space="preserve"/>
        </x:is>
      </x:c>
      <x:c r="R331" s="5">
        <x:f>IF(OR(F331="",G331=""),"",IF(F331&gt;=0.95*G331,1,0))</x:f>
      </x:c>
      <x:c r="S331" s="7">
        <x:f>IFERROR((I331+J331+K331)/F331,"")</x:f>
      </x:c>
      <x:c r="T331" s="5">
        <x:f>IFERROR(I331+J331+K331,"")</x:f>
        <x:v>0</x:v>
      </x:c>
    </x:row>
    <x:row r="332" ht="22" customHeight="1">
      <x:c r="A332" s="5" t="inlineStr">
        <x:is>
          <x:t xml:space="preserve">P028</x:t>
        </x:is>
      </x:c>
      <x:c r="B332" s="5" t="inlineStr">
        <x:is>
          <x:t xml:space="preserve">4</x:t>
        </x:is>
      </x:c>
      <x:c r="C332" s="5" t="inlineStr">
        <x:is>
          <x:t xml:space="preserve">V04_money_visibility</x:t>
        </x:is>
      </x:c>
      <x:c r="D332" s="5" t="inlineStr">
        <x:is>
          <x:t xml:space="preserve">full_transcript</x:t>
        </x:is>
      </x:c>
      <x:c r="E332" s="5" t="inlineStr">
        <x:is>
          <x:t xml:space="preserve">muted</x:t>
        </x:is>
      </x:c>
      <x:c r="F332" s="6" t="inlineStr">
        <x:is>
          <x:t xml:space="preserve"/>
        </x:is>
      </x:c>
      <x:c r="G332" s="6" t="inlineStr">
        <x:is>
          <x:t xml:space="preserve">6</x:t>
        </x:is>
      </x:c>
      <x:c r="H332" s="5" t="inlineStr">
        <x:is>
          <x:t xml:space="preserve"/>
        </x:is>
      </x:c>
      <x:c r="I332" s="5" t="inlineStr">
        <x:is>
          <x:t xml:space="preserve"/>
        </x:is>
      </x:c>
      <x:c r="J332" s="5" t="inlineStr">
        <x:is>
          <x:t xml:space="preserve"/>
        </x:is>
      </x:c>
      <x:c r="K332" s="5" t="inlineStr">
        <x:is>
          <x:t xml:space="preserve"/>
        </x:is>
      </x:c>
      <x:c r="L332" s="5" t="inlineStr">
        <x:is>
          <x:t xml:space="preserve"/>
        </x:is>
      </x:c>
      <x:c r="M332" s="5" t="inlineStr">
        <x:is>
          <x:t xml:space="preserve"/>
        </x:is>
      </x:c>
      <x:c r="N332" s="5" t="inlineStr">
        <x:is>
          <x:t xml:space="preserve"/>
        </x:is>
      </x:c>
      <x:c r="O332" s="5" t="inlineStr">
        <x:is>
          <x:t xml:space="preserve"/>
        </x:is>
      </x:c>
      <x:c r="P332" s="5" t="inlineStr">
        <x:is>
          <x:t xml:space="preserve"/>
        </x:is>
      </x:c>
      <x:c r="Q332" s="5" t="inlineStr">
        <x:is>
          <x:t xml:space="preserve"/>
        </x:is>
      </x:c>
      <x:c r="R332" s="5">
        <x:f>IF(OR(F332="",G332=""),"",IF(F332&gt;=0.95*G332,1,0))</x:f>
      </x:c>
      <x:c r="S332" s="7">
        <x:f>IFERROR((I332+J332+K332)/F332,"")</x:f>
      </x:c>
      <x:c r="T332" s="5">
        <x:f>IFERROR(I332+J332+K332,"")</x:f>
        <x:v>0</x:v>
      </x:c>
    </x:row>
    <x:row r="333" ht="22" customHeight="1">
      <x:c r="A333" s="5" t="inlineStr">
        <x:is>
          <x:t xml:space="preserve">P028</x:t>
        </x:is>
      </x:c>
      <x:c r="B333" s="5" t="inlineStr">
        <x:is>
          <x:t xml:space="preserve">5</x:t>
        </x:is>
      </x:c>
      <x:c r="C333" s="5" t="inlineStr">
        <x:is>
          <x:t xml:space="preserve">V09_nutrition_satiety</x:t>
        </x:is>
      </x:c>
      <x:c r="D333" s="5" t="inlineStr">
        <x:is>
          <x:t xml:space="preserve">keyword_highlight</x:t>
        </x:is>
      </x:c>
      <x:c r="E333" s="5" t="inlineStr">
        <x:is>
          <x:t xml:space="preserve">audio_on</x:t>
        </x:is>
      </x:c>
      <x:c r="F333" s="6" t="inlineStr">
        <x:is>
          <x:t xml:space="preserve"/>
        </x:is>
      </x:c>
      <x:c r="G333" s="6" t="inlineStr">
        <x:is>
          <x:t xml:space="preserve">6</x:t>
        </x:is>
      </x:c>
      <x:c r="H333" s="5" t="inlineStr">
        <x:is>
          <x:t xml:space="preserve"/>
        </x:is>
      </x:c>
      <x:c r="I333" s="5" t="inlineStr">
        <x:is>
          <x:t xml:space="preserve"/>
        </x:is>
      </x:c>
      <x:c r="J333" s="5" t="inlineStr">
        <x:is>
          <x:t xml:space="preserve"/>
        </x:is>
      </x:c>
      <x:c r="K333" s="5" t="inlineStr">
        <x:is>
          <x:t xml:space="preserve"/>
        </x:is>
      </x:c>
      <x:c r="L333" s="5" t="inlineStr">
        <x:is>
          <x:t xml:space="preserve"/>
        </x:is>
      </x:c>
      <x:c r="M333" s="5" t="inlineStr">
        <x:is>
          <x:t xml:space="preserve"/>
        </x:is>
      </x:c>
      <x:c r="N333" s="5" t="inlineStr">
        <x:is>
          <x:t xml:space="preserve"/>
        </x:is>
      </x:c>
      <x:c r="O333" s="5" t="inlineStr">
        <x:is>
          <x:t xml:space="preserve"/>
        </x:is>
      </x:c>
      <x:c r="P333" s="5" t="inlineStr">
        <x:is>
          <x:t xml:space="preserve"/>
        </x:is>
      </x:c>
      <x:c r="Q333" s="5" t="inlineStr">
        <x:is>
          <x:t xml:space="preserve"/>
        </x:is>
      </x:c>
      <x:c r="R333" s="5">
        <x:f>IF(OR(F333="",G333=""),"",IF(F333&gt;=0.95*G333,1,0))</x:f>
      </x:c>
      <x:c r="S333" s="7">
        <x:f>IFERROR((I333+J333+K333)/F333,"")</x:f>
      </x:c>
      <x:c r="T333" s="5">
        <x:f>IFERROR(I333+J333+K333,"")</x:f>
        <x:v>0</x:v>
      </x:c>
    </x:row>
    <x:row r="334" ht="22" customHeight="1">
      <x:c r="A334" s="5" t="inlineStr">
        <x:is>
          <x:t xml:space="preserve">P028</x:t>
        </x:is>
      </x:c>
      <x:c r="B334" s="5" t="inlineStr">
        <x:is>
          <x:t xml:space="preserve">6</x:t>
        </x:is>
      </x:c>
      <x:c r="C334" s="5" t="inlineStr">
        <x:is>
          <x:t xml:space="preserve">V03_fitness_setup</x:t>
        </x:is>
      </x:c>
      <x:c r="D334" s="5" t="inlineStr">
        <x:is>
          <x:t xml:space="preserve">semantic_compression</x:t>
        </x:is>
      </x:c>
      <x:c r="E334" s="5" t="inlineStr">
        <x:is>
          <x:t xml:space="preserve">muted</x:t>
        </x:is>
      </x:c>
      <x:c r="F334" s="6" t="inlineStr">
        <x:is>
          <x:t xml:space="preserve"/>
        </x:is>
      </x:c>
      <x:c r="G334" s="6" t="inlineStr">
        <x:is>
          <x:t xml:space="preserve">6</x:t>
        </x:is>
      </x:c>
      <x:c r="H334" s="5" t="inlineStr">
        <x:is>
          <x:t xml:space="preserve"/>
        </x:is>
      </x:c>
      <x:c r="I334" s="5" t="inlineStr">
        <x:is>
          <x:t xml:space="preserve"/>
        </x:is>
      </x:c>
      <x:c r="J334" s="5" t="inlineStr">
        <x:is>
          <x:t xml:space="preserve"/>
        </x:is>
      </x:c>
      <x:c r="K334" s="5" t="inlineStr">
        <x:is>
          <x:t xml:space="preserve"/>
        </x:is>
      </x:c>
      <x:c r="L334" s="5" t="inlineStr">
        <x:is>
          <x:t xml:space="preserve"/>
        </x:is>
      </x:c>
      <x:c r="M334" s="5" t="inlineStr">
        <x:is>
          <x:t xml:space="preserve"/>
        </x:is>
      </x:c>
      <x:c r="N334" s="5" t="inlineStr">
        <x:is>
          <x:t xml:space="preserve"/>
        </x:is>
      </x:c>
      <x:c r="O334" s="5" t="inlineStr">
        <x:is>
          <x:t xml:space="preserve"/>
        </x:is>
      </x:c>
      <x:c r="P334" s="5" t="inlineStr">
        <x:is>
          <x:t xml:space="preserve"/>
        </x:is>
      </x:c>
      <x:c r="Q334" s="5" t="inlineStr">
        <x:is>
          <x:t xml:space="preserve"/>
        </x:is>
      </x:c>
      <x:c r="R334" s="5">
        <x:f>IF(OR(F334="",G334=""),"",IF(F334&gt;=0.95*G334,1,0))</x:f>
      </x:c>
      <x:c r="S334" s="7">
        <x:f>IFERROR((I334+J334+K334)/F334,"")</x:f>
      </x:c>
      <x:c r="T334" s="5">
        <x:f>IFERROR(I334+J334+K334,"")</x:f>
        <x:v>0</x:v>
      </x:c>
    </x:row>
    <x:row r="335" ht="22" customHeight="1">
      <x:c r="A335" s="5" t="inlineStr">
        <x:is>
          <x:t xml:space="preserve">P028</x:t>
        </x:is>
      </x:c>
      <x:c r="B335" s="5" t="inlineStr">
        <x:is>
          <x:t xml:space="preserve">7</x:t>
        </x:is>
      </x:c>
      <x:c r="C335" s="5" t="inlineStr">
        <x:is>
          <x:t xml:space="preserve">V08_calendar_system</x:t>
        </x:is>
      </x:c>
      <x:c r="D335" s="5" t="inlineStr">
        <x:is>
          <x:t xml:space="preserve">bcc</x:t>
        </x:is>
      </x:c>
      <x:c r="E335" s="5" t="inlineStr">
        <x:is>
          <x:t xml:space="preserve">audio_on</x:t>
        </x:is>
      </x:c>
      <x:c r="F335" s="6" t="inlineStr">
        <x:is>
          <x:t xml:space="preserve"/>
        </x:is>
      </x:c>
      <x:c r="G335" s="6" t="inlineStr">
        <x:is>
          <x:t xml:space="preserve">6</x:t>
        </x:is>
      </x:c>
      <x:c r="H335" s="5" t="inlineStr">
        <x:is>
          <x:t xml:space="preserve"/>
        </x:is>
      </x:c>
      <x:c r="I335" s="5" t="inlineStr">
        <x:is>
          <x:t xml:space="preserve"/>
        </x:is>
      </x:c>
      <x:c r="J335" s="5" t="inlineStr">
        <x:is>
          <x:t xml:space="preserve"/>
        </x:is>
      </x:c>
      <x:c r="K335" s="5" t="inlineStr">
        <x:is>
          <x:t xml:space="preserve"/>
        </x:is>
      </x:c>
      <x:c r="L335" s="5" t="inlineStr">
        <x:is>
          <x:t xml:space="preserve"/>
        </x:is>
      </x:c>
      <x:c r="M335" s="5" t="inlineStr">
        <x:is>
          <x:t xml:space="preserve"/>
        </x:is>
      </x:c>
      <x:c r="N335" s="5" t="inlineStr">
        <x:is>
          <x:t xml:space="preserve"/>
        </x:is>
      </x:c>
      <x:c r="O335" s="5" t="inlineStr">
        <x:is>
          <x:t xml:space="preserve"/>
        </x:is>
      </x:c>
      <x:c r="P335" s="5" t="inlineStr">
        <x:is>
          <x:t xml:space="preserve"/>
        </x:is>
      </x:c>
      <x:c r="Q335" s="5" t="inlineStr">
        <x:is>
          <x:t xml:space="preserve"/>
        </x:is>
      </x:c>
      <x:c r="R335" s="5">
        <x:f>IF(OR(F335="",G335=""),"",IF(F335&gt;=0.95*G335,1,0))</x:f>
      </x:c>
      <x:c r="S335" s="7">
        <x:f>IFERROR((I335+J335+K335)/F335,"")</x:f>
      </x:c>
      <x:c r="T335" s="5">
        <x:f>IFERROR(I335+J335+K335,"")</x:f>
        <x:v>0</x:v>
      </x:c>
    </x:row>
    <x:row r="336" ht="22" customHeight="1">
      <x:c r="A336" s="5" t="inlineStr">
        <x:is>
          <x:t xml:space="preserve">P028</x:t>
        </x:is>
      </x:c>
      <x:c r="B336" s="5" t="inlineStr">
        <x:is>
          <x:t xml:space="preserve">8</x:t>
        </x:is>
      </x:c>
      <x:c r="C336" s="5" t="inlineStr">
        <x:is>
          <x:t xml:space="preserve">V12_creativity_constraints</x:t>
        </x:is>
      </x:c>
      <x:c r="D336" s="5" t="inlineStr">
        <x:is>
          <x:t xml:space="preserve">bcc_plus</x:t>
        </x:is>
      </x:c>
      <x:c r="E336" s="5" t="inlineStr">
        <x:is>
          <x:t xml:space="preserve">muted</x:t>
        </x:is>
      </x:c>
      <x:c r="F336" s="6" t="inlineStr">
        <x:is>
          <x:t xml:space="preserve"/>
        </x:is>
      </x:c>
      <x:c r="G336" s="6" t="inlineStr">
        <x:is>
          <x:t xml:space="preserve">6</x:t>
        </x:is>
      </x:c>
      <x:c r="H336" s="5" t="inlineStr">
        <x:is>
          <x:t xml:space="preserve"/>
        </x:is>
      </x:c>
      <x:c r="I336" s="5" t="inlineStr">
        <x:is>
          <x:t xml:space="preserve"/>
        </x:is>
      </x:c>
      <x:c r="J336" s="5" t="inlineStr">
        <x:is>
          <x:t xml:space="preserve"/>
        </x:is>
      </x:c>
      <x:c r="K336" s="5" t="inlineStr">
        <x:is>
          <x:t xml:space="preserve"/>
        </x:is>
      </x:c>
      <x:c r="L336" s="5" t="inlineStr">
        <x:is>
          <x:t xml:space="preserve"/>
        </x:is>
      </x:c>
      <x:c r="M336" s="5" t="inlineStr">
        <x:is>
          <x:t xml:space="preserve"/>
        </x:is>
      </x:c>
      <x:c r="N336" s="5" t="inlineStr">
        <x:is>
          <x:t xml:space="preserve"/>
        </x:is>
      </x:c>
      <x:c r="O336" s="5" t="inlineStr">
        <x:is>
          <x:t xml:space="preserve"/>
        </x:is>
      </x:c>
      <x:c r="P336" s="5" t="inlineStr">
        <x:is>
          <x:t xml:space="preserve"/>
        </x:is>
      </x:c>
      <x:c r="Q336" s="5" t="inlineStr">
        <x:is>
          <x:t xml:space="preserve"/>
        </x:is>
      </x:c>
      <x:c r="R336" s="5">
        <x:f>IF(OR(F336="",G336=""),"",IF(F336&gt;=0.95*G336,1,0))</x:f>
      </x:c>
      <x:c r="S336" s="7">
        <x:f>IFERROR((I336+J336+K336)/F336,"")</x:f>
      </x:c>
      <x:c r="T336" s="5">
        <x:f>IFERROR(I336+J336+K336,"")</x:f>
        <x:v>0</x:v>
      </x:c>
    </x:row>
    <x:row r="337" ht="22" customHeight="1">
      <x:c r="A337" s="5" t="inlineStr">
        <x:is>
          <x:t xml:space="preserve">P028</x:t>
        </x:is>
      </x:c>
      <x:c r="B337" s="5" t="inlineStr">
        <x:is>
          <x:t xml:space="preserve">9</x:t>
        </x:is>
      </x:c>
      <x:c r="C337" s="5" t="inlineStr">
        <x:is>
          <x:t xml:space="preserve">V02_study_recall</x:t>
        </x:is>
      </x:c>
      <x:c r="D337" s="5" t="inlineStr">
        <x:is>
          <x:t xml:space="preserve">heavy_bionic</x:t>
        </x:is>
      </x:c>
      <x:c r="E337" s="5" t="inlineStr">
        <x:is>
          <x:t xml:space="preserve">audio_on</x:t>
        </x:is>
      </x:c>
      <x:c r="F337" s="6" t="inlineStr">
        <x:is>
          <x:t xml:space="preserve"/>
        </x:is>
      </x:c>
      <x:c r="G337" s="6" t="inlineStr">
        <x:is>
          <x:t xml:space="preserve">6</x:t>
        </x:is>
      </x:c>
      <x:c r="H337" s="5" t="inlineStr">
        <x:is>
          <x:t xml:space="preserve"/>
        </x:is>
      </x:c>
      <x:c r="I337" s="5" t="inlineStr">
        <x:is>
          <x:t xml:space="preserve"/>
        </x:is>
      </x:c>
      <x:c r="J337" s="5" t="inlineStr">
        <x:is>
          <x:t xml:space="preserve"/>
        </x:is>
      </x:c>
      <x:c r="K337" s="5" t="inlineStr">
        <x:is>
          <x:t xml:space="preserve"/>
        </x:is>
      </x:c>
      <x:c r="L337" s="5" t="inlineStr">
        <x:is>
          <x:t xml:space="preserve"/>
        </x:is>
      </x:c>
      <x:c r="M337" s="5" t="inlineStr">
        <x:is>
          <x:t xml:space="preserve"/>
        </x:is>
      </x:c>
      <x:c r="N337" s="5" t="inlineStr">
        <x:is>
          <x:t xml:space="preserve"/>
        </x:is>
      </x:c>
      <x:c r="O337" s="5" t="inlineStr">
        <x:is>
          <x:t xml:space="preserve"/>
        </x:is>
      </x:c>
      <x:c r="P337" s="5" t="inlineStr">
        <x:is>
          <x:t xml:space="preserve"/>
        </x:is>
      </x:c>
      <x:c r="Q337" s="5" t="inlineStr">
        <x:is>
          <x:t xml:space="preserve"/>
        </x:is>
      </x:c>
      <x:c r="R337" s="5">
        <x:f>IF(OR(F337="",G337=""),"",IF(F337&gt;=0.95*G337,1,0))</x:f>
      </x:c>
      <x:c r="S337" s="7">
        <x:f>IFERROR((I337+J337+K337)/F337,"")</x:f>
      </x:c>
      <x:c r="T337" s="5">
        <x:f>IFERROR(I337+J337+K337,"")</x:f>
        <x:v>0</x:v>
      </x:c>
    </x:row>
    <x:row r="338" ht="22" customHeight="1">
      <x:c r="A338" s="5" t="inlineStr">
        <x:is>
          <x:t xml:space="preserve">P028</x:t>
        </x:is>
      </x:c>
      <x:c r="B338" s="5" t="inlineStr">
        <x:is>
          <x:t xml:space="preserve">10</x:t>
        </x:is>
      </x:c>
      <x:c r="C338" s="5" t="inlineStr">
        <x:is>
          <x:t xml:space="preserve">V11_story_burnout</x:t>
        </x:is>
      </x:c>
      <x:c r="D338" s="5" t="inlineStr">
        <x:is>
          <x:t xml:space="preserve">full_transcript</x:t>
        </x:is>
      </x:c>
      <x:c r="E338" s="5" t="inlineStr">
        <x:is>
          <x:t xml:space="preserve">muted</x:t>
        </x:is>
      </x:c>
      <x:c r="F338" s="6" t="inlineStr">
        <x:is>
          <x:t xml:space="preserve"/>
        </x:is>
      </x:c>
      <x:c r="G338" s="6" t="inlineStr">
        <x:is>
          <x:t xml:space="preserve">6</x:t>
        </x:is>
      </x:c>
      <x:c r="H338" s="5" t="inlineStr">
        <x:is>
          <x:t xml:space="preserve"/>
        </x:is>
      </x:c>
      <x:c r="I338" s="5" t="inlineStr">
        <x:is>
          <x:t xml:space="preserve"/>
        </x:is>
      </x:c>
      <x:c r="J338" s="5" t="inlineStr">
        <x:is>
          <x:t xml:space="preserve"/>
        </x:is>
      </x:c>
      <x:c r="K338" s="5" t="inlineStr">
        <x:is>
          <x:t xml:space="preserve"/>
        </x:is>
      </x:c>
      <x:c r="L338" s="5" t="inlineStr">
        <x:is>
          <x:t xml:space="preserve"/>
        </x:is>
      </x:c>
      <x:c r="M338" s="5" t="inlineStr">
        <x:is>
          <x:t xml:space="preserve"/>
        </x:is>
      </x:c>
      <x:c r="N338" s="5" t="inlineStr">
        <x:is>
          <x:t xml:space="preserve"/>
        </x:is>
      </x:c>
      <x:c r="O338" s="5" t="inlineStr">
        <x:is>
          <x:t xml:space="preserve"/>
        </x:is>
      </x:c>
      <x:c r="P338" s="5" t="inlineStr">
        <x:is>
          <x:t xml:space="preserve"/>
        </x:is>
      </x:c>
      <x:c r="Q338" s="5" t="inlineStr">
        <x:is>
          <x:t xml:space="preserve"/>
        </x:is>
      </x:c>
      <x:c r="R338" s="5">
        <x:f>IF(OR(F338="",G338=""),"",IF(F338&gt;=0.95*G338,1,0))</x:f>
      </x:c>
      <x:c r="S338" s="7">
        <x:f>IFERROR((I338+J338+K338)/F338,"")</x:f>
      </x:c>
      <x:c r="T338" s="5">
        <x:f>IFERROR(I338+J338+K338,"")</x:f>
        <x:v>0</x:v>
      </x:c>
    </x:row>
    <x:row r="339" ht="22" customHeight="1">
      <x:c r="A339" s="5" t="inlineStr">
        <x:is>
          <x:t xml:space="preserve">P028</x:t>
        </x:is>
      </x:c>
      <x:c r="B339" s="5" t="inlineStr">
        <x:is>
          <x:t xml:space="preserve">11</x:t>
        </x:is>
      </x:c>
      <x:c r="C339" s="5" t="inlineStr">
        <x:is>
          <x:t xml:space="preserve">V10_tutorial_ui</x:t>
        </x:is>
      </x:c>
      <x:c r="D339" s="5" t="inlineStr">
        <x:is>
          <x:t xml:space="preserve">keyword_highlight</x:t>
        </x:is>
      </x:c>
      <x:c r="E339" s="5" t="inlineStr">
        <x:is>
          <x:t xml:space="preserve">audio_on</x:t>
        </x:is>
      </x:c>
      <x:c r="F339" s="6" t="inlineStr">
        <x:is>
          <x:t xml:space="preserve"/>
        </x:is>
      </x:c>
      <x:c r="G339" s="6" t="inlineStr">
        <x:is>
          <x:t xml:space="preserve">6</x:t>
        </x:is>
      </x:c>
      <x:c r="H339" s="5" t="inlineStr">
        <x:is>
          <x:t xml:space="preserve"/>
        </x:is>
      </x:c>
      <x:c r="I339" s="5" t="inlineStr">
        <x:is>
          <x:t xml:space="preserve"/>
        </x:is>
      </x:c>
      <x:c r="J339" s="5" t="inlineStr">
        <x:is>
          <x:t xml:space="preserve"/>
        </x:is>
      </x:c>
      <x:c r="K339" s="5" t="inlineStr">
        <x:is>
          <x:t xml:space="preserve"/>
        </x:is>
      </x:c>
      <x:c r="L339" s="5" t="inlineStr">
        <x:is>
          <x:t xml:space="preserve"/>
        </x:is>
      </x:c>
      <x:c r="M339" s="5" t="inlineStr">
        <x:is>
          <x:t xml:space="preserve"/>
        </x:is>
      </x:c>
      <x:c r="N339" s="5" t="inlineStr">
        <x:is>
          <x:t xml:space="preserve"/>
        </x:is>
      </x:c>
      <x:c r="O339" s="5" t="inlineStr">
        <x:is>
          <x:t xml:space="preserve"/>
        </x:is>
      </x:c>
      <x:c r="P339" s="5" t="inlineStr">
        <x:is>
          <x:t xml:space="preserve"/>
        </x:is>
      </x:c>
      <x:c r="Q339" s="5" t="inlineStr">
        <x:is>
          <x:t xml:space="preserve"/>
        </x:is>
      </x:c>
      <x:c r="R339" s="5">
        <x:f>IF(OR(F339="",G339=""),"",IF(F339&gt;=0.95*G339,1,0))</x:f>
      </x:c>
      <x:c r="S339" s="7">
        <x:f>IFERROR((I339+J339+K339)/F339,"")</x:f>
      </x:c>
      <x:c r="T339" s="5">
        <x:f>IFERROR(I339+J339+K339,"")</x:f>
        <x:v>0</x:v>
      </x:c>
    </x:row>
    <x:row r="340" ht="22" customHeight="1">
      <x:c r="A340" s="5" t="inlineStr">
        <x:is>
          <x:t xml:space="preserve">P028</x:t>
        </x:is>
      </x:c>
      <x:c r="B340" s="5" t="inlineStr">
        <x:is>
          <x:t xml:space="preserve">12</x:t>
        </x:is>
      </x:c>
      <x:c r="C340" s="5" t="inlineStr">
        <x:is>
          <x:t xml:space="preserve">V01_productivity_friction</x:t>
        </x:is>
      </x:c>
      <x:c r="D340" s="5" t="inlineStr">
        <x:is>
          <x:t xml:space="preserve">semantic_compression</x:t>
        </x:is>
      </x:c>
      <x:c r="E340" s="5" t="inlineStr">
        <x:is>
          <x:t xml:space="preserve">muted</x:t>
        </x:is>
      </x:c>
      <x:c r="F340" s="6" t="inlineStr">
        <x:is>
          <x:t xml:space="preserve"/>
        </x:is>
      </x:c>
      <x:c r="G340" s="6" t="inlineStr">
        <x:is>
          <x:t xml:space="preserve">6</x:t>
        </x:is>
      </x:c>
      <x:c r="H340" s="5" t="inlineStr">
        <x:is>
          <x:t xml:space="preserve"/>
        </x:is>
      </x:c>
      <x:c r="I340" s="5" t="inlineStr">
        <x:is>
          <x:t xml:space="preserve"/>
        </x:is>
      </x:c>
      <x:c r="J340" s="5" t="inlineStr">
        <x:is>
          <x:t xml:space="preserve"/>
        </x:is>
      </x:c>
      <x:c r="K340" s="5" t="inlineStr">
        <x:is>
          <x:t xml:space="preserve"/>
        </x:is>
      </x:c>
      <x:c r="L340" s="5" t="inlineStr">
        <x:is>
          <x:t xml:space="preserve"/>
        </x:is>
      </x:c>
      <x:c r="M340" s="5" t="inlineStr">
        <x:is>
          <x:t xml:space="preserve"/>
        </x:is>
      </x:c>
      <x:c r="N340" s="5" t="inlineStr">
        <x:is>
          <x:t xml:space="preserve"/>
        </x:is>
      </x:c>
      <x:c r="O340" s="5" t="inlineStr">
        <x:is>
          <x:t xml:space="preserve"/>
        </x:is>
      </x:c>
      <x:c r="P340" s="5" t="inlineStr">
        <x:is>
          <x:t xml:space="preserve"/>
        </x:is>
      </x:c>
      <x:c r="Q340" s="5" t="inlineStr">
        <x:is>
          <x:t xml:space="preserve"/>
        </x:is>
      </x:c>
      <x:c r="R340" s="5">
        <x:f>IF(OR(F340="",G340=""),"",IF(F340&gt;=0.95*G340,1,0))</x:f>
      </x:c>
      <x:c r="S340" s="7">
        <x:f>IFERROR((I340+J340+K340)/F340,"")</x:f>
      </x:c>
      <x:c r="T340" s="5">
        <x:f>IFERROR(I340+J340+K340,"")</x:f>
        <x:v>0</x:v>
      </x:c>
    </x:row>
    <x:row r="341" ht="22" customHeight="1">
      <x:c r="A341" s="5" t="inlineStr">
        <x:is>
          <x:t xml:space="preserve">P029</x:t>
        </x:is>
      </x:c>
      <x:c r="B341" s="5" t="inlineStr">
        <x:is>
          <x:t xml:space="preserve">1</x:t>
        </x:is>
      </x:c>
      <x:c r="C341" s="5" t="inlineStr">
        <x:is>
          <x:t xml:space="preserve">V10_tutorial_ui</x:t>
        </x:is>
      </x:c>
      <x:c r="D341" s="5" t="inlineStr">
        <x:is>
          <x:t xml:space="preserve">bcc_plus</x:t>
        </x:is>
      </x:c>
      <x:c r="E341" s="5" t="inlineStr">
        <x:is>
          <x:t xml:space="preserve">muted</x:t>
        </x:is>
      </x:c>
      <x:c r="F341" s="6" t="inlineStr">
        <x:is>
          <x:t xml:space="preserve"/>
        </x:is>
      </x:c>
      <x:c r="G341" s="6" t="inlineStr">
        <x:is>
          <x:t xml:space="preserve">6</x:t>
        </x:is>
      </x:c>
      <x:c r="H341" s="5" t="inlineStr">
        <x:is>
          <x:t xml:space="preserve"/>
        </x:is>
      </x:c>
      <x:c r="I341" s="5" t="inlineStr">
        <x:is>
          <x:t xml:space="preserve"/>
        </x:is>
      </x:c>
      <x:c r="J341" s="5" t="inlineStr">
        <x:is>
          <x:t xml:space="preserve"/>
        </x:is>
      </x:c>
      <x:c r="K341" s="5" t="inlineStr">
        <x:is>
          <x:t xml:space="preserve"/>
        </x:is>
      </x:c>
      <x:c r="L341" s="5" t="inlineStr">
        <x:is>
          <x:t xml:space="preserve"/>
        </x:is>
      </x:c>
      <x:c r="M341" s="5" t="inlineStr">
        <x:is>
          <x:t xml:space="preserve"/>
        </x:is>
      </x:c>
      <x:c r="N341" s="5" t="inlineStr">
        <x:is>
          <x:t xml:space="preserve"/>
        </x:is>
      </x:c>
      <x:c r="O341" s="5" t="inlineStr">
        <x:is>
          <x:t xml:space="preserve"/>
        </x:is>
      </x:c>
      <x:c r="P341" s="5" t="inlineStr">
        <x:is>
          <x:t xml:space="preserve"/>
        </x:is>
      </x:c>
      <x:c r="Q341" s="5" t="inlineStr">
        <x:is>
          <x:t xml:space="preserve"/>
        </x:is>
      </x:c>
      <x:c r="R341" s="5">
        <x:f>IF(OR(F341="",G341=""),"",IF(F341&gt;=0.95*G341,1,0))</x:f>
      </x:c>
      <x:c r="S341" s="7">
        <x:f>IFERROR((I341+J341+K341)/F341,"")</x:f>
      </x:c>
      <x:c r="T341" s="5">
        <x:f>IFERROR(I341+J341+K341,"")</x:f>
        <x:v>0</x:v>
      </x:c>
    </x:row>
    <x:row r="342" ht="22" customHeight="1">
      <x:c r="A342" s="5" t="inlineStr">
        <x:is>
          <x:t xml:space="preserve">P029</x:t>
        </x:is>
      </x:c>
      <x:c r="B342" s="5" t="inlineStr">
        <x:is>
          <x:t xml:space="preserve">2</x:t>
        </x:is>
      </x:c>
      <x:c r="C342" s="5" t="inlineStr">
        <x:is>
          <x:t xml:space="preserve">V05_coding_assumptions</x:t>
        </x:is>
      </x:c>
      <x:c r="D342" s="5" t="inlineStr">
        <x:is>
          <x:t xml:space="preserve">heavy_bionic</x:t>
        </x:is>
      </x:c>
      <x:c r="E342" s="5" t="inlineStr">
        <x:is>
          <x:t xml:space="preserve">audio_on</x:t>
        </x:is>
      </x:c>
      <x:c r="F342" s="6" t="inlineStr">
        <x:is>
          <x:t xml:space="preserve"/>
        </x:is>
      </x:c>
      <x:c r="G342" s="6" t="inlineStr">
        <x:is>
          <x:t xml:space="preserve">6</x:t>
        </x:is>
      </x:c>
      <x:c r="H342" s="5" t="inlineStr">
        <x:is>
          <x:t xml:space="preserve"/>
        </x:is>
      </x:c>
      <x:c r="I342" s="5" t="inlineStr">
        <x:is>
          <x:t xml:space="preserve"/>
        </x:is>
      </x:c>
      <x:c r="J342" s="5" t="inlineStr">
        <x:is>
          <x:t xml:space="preserve"/>
        </x:is>
      </x:c>
      <x:c r="K342" s="5" t="inlineStr">
        <x:is>
          <x:t xml:space="preserve"/>
        </x:is>
      </x:c>
      <x:c r="L342" s="5" t="inlineStr">
        <x:is>
          <x:t xml:space="preserve"/>
        </x:is>
      </x:c>
      <x:c r="M342" s="5" t="inlineStr">
        <x:is>
          <x:t xml:space="preserve"/>
        </x:is>
      </x:c>
      <x:c r="N342" s="5" t="inlineStr">
        <x:is>
          <x:t xml:space="preserve"/>
        </x:is>
      </x:c>
      <x:c r="O342" s="5" t="inlineStr">
        <x:is>
          <x:t xml:space="preserve"/>
        </x:is>
      </x:c>
      <x:c r="P342" s="5" t="inlineStr">
        <x:is>
          <x:t xml:space="preserve"/>
        </x:is>
      </x:c>
      <x:c r="Q342" s="5" t="inlineStr">
        <x:is>
          <x:t xml:space="preserve"/>
        </x:is>
      </x:c>
      <x:c r="R342" s="5">
        <x:f>IF(OR(F342="",G342=""),"",IF(F342&gt;=0.95*G342,1,0))</x:f>
      </x:c>
      <x:c r="S342" s="7">
        <x:f>IFERROR((I342+J342+K342)/F342,"")</x:f>
      </x:c>
      <x:c r="T342" s="5">
        <x:f>IFERROR(I342+J342+K342,"")</x:f>
        <x:v>0</x:v>
      </x:c>
    </x:row>
    <x:row r="343" ht="22" customHeight="1">
      <x:c r="A343" s="5" t="inlineStr">
        <x:is>
          <x:t xml:space="preserve">P029</x:t>
        </x:is>
      </x:c>
      <x:c r="B343" s="5" t="inlineStr">
        <x:is>
          <x:t xml:space="preserve">3</x:t>
        </x:is>
      </x:c>
      <x:c r="C343" s="5" t="inlineStr">
        <x:is>
          <x:t xml:space="preserve">V11_story_burnout</x:t>
        </x:is>
      </x:c>
      <x:c r="D343" s="5" t="inlineStr">
        <x:is>
          <x:t xml:space="preserve">full_transcript</x:t>
        </x:is>
      </x:c>
      <x:c r="E343" s="5" t="inlineStr">
        <x:is>
          <x:t xml:space="preserve">muted</x:t>
        </x:is>
      </x:c>
      <x:c r="F343" s="6" t="inlineStr">
        <x:is>
          <x:t xml:space="preserve"/>
        </x:is>
      </x:c>
      <x:c r="G343" s="6" t="inlineStr">
        <x:is>
          <x:t xml:space="preserve">6</x:t>
        </x:is>
      </x:c>
      <x:c r="H343" s="5" t="inlineStr">
        <x:is>
          <x:t xml:space="preserve"/>
        </x:is>
      </x:c>
      <x:c r="I343" s="5" t="inlineStr">
        <x:is>
          <x:t xml:space="preserve"/>
        </x:is>
      </x:c>
      <x:c r="J343" s="5" t="inlineStr">
        <x:is>
          <x:t xml:space="preserve"/>
        </x:is>
      </x:c>
      <x:c r="K343" s="5" t="inlineStr">
        <x:is>
          <x:t xml:space="preserve"/>
        </x:is>
      </x:c>
      <x:c r="L343" s="5" t="inlineStr">
        <x:is>
          <x:t xml:space="preserve"/>
        </x:is>
      </x:c>
      <x:c r="M343" s="5" t="inlineStr">
        <x:is>
          <x:t xml:space="preserve"/>
        </x:is>
      </x:c>
      <x:c r="N343" s="5" t="inlineStr">
        <x:is>
          <x:t xml:space="preserve"/>
        </x:is>
      </x:c>
      <x:c r="O343" s="5" t="inlineStr">
        <x:is>
          <x:t xml:space="preserve"/>
        </x:is>
      </x:c>
      <x:c r="P343" s="5" t="inlineStr">
        <x:is>
          <x:t xml:space="preserve"/>
        </x:is>
      </x:c>
      <x:c r="Q343" s="5" t="inlineStr">
        <x:is>
          <x:t xml:space="preserve"/>
        </x:is>
      </x:c>
      <x:c r="R343" s="5">
        <x:f>IF(OR(F343="",G343=""),"",IF(F343&gt;=0.95*G343,1,0))</x:f>
      </x:c>
      <x:c r="S343" s="7">
        <x:f>IFERROR((I343+J343+K343)/F343,"")</x:f>
      </x:c>
      <x:c r="T343" s="5">
        <x:f>IFERROR(I343+J343+K343,"")</x:f>
        <x:v>0</x:v>
      </x:c>
    </x:row>
    <x:row r="344" ht="22" customHeight="1">
      <x:c r="A344" s="5" t="inlineStr">
        <x:is>
          <x:t xml:space="preserve">P029</x:t>
        </x:is>
      </x:c>
      <x:c r="B344" s="5" t="inlineStr">
        <x:is>
          <x:t xml:space="preserve">4</x:t>
        </x:is>
      </x:c>
      <x:c r="C344" s="5" t="inlineStr">
        <x:is>
          <x:t xml:space="preserve">V08_calendar_system</x:t>
        </x:is>
      </x:c>
      <x:c r="D344" s="5" t="inlineStr">
        <x:is>
          <x:t xml:space="preserve">keyword_highlight</x:t>
        </x:is>
      </x:c>
      <x:c r="E344" s="5" t="inlineStr">
        <x:is>
          <x:t xml:space="preserve">audio_on</x:t>
        </x:is>
      </x:c>
      <x:c r="F344" s="6" t="inlineStr">
        <x:is>
          <x:t xml:space="preserve"/>
        </x:is>
      </x:c>
      <x:c r="G344" s="6" t="inlineStr">
        <x:is>
          <x:t xml:space="preserve">6</x:t>
        </x:is>
      </x:c>
      <x:c r="H344" s="5" t="inlineStr">
        <x:is>
          <x:t xml:space="preserve"/>
        </x:is>
      </x:c>
      <x:c r="I344" s="5" t="inlineStr">
        <x:is>
          <x:t xml:space="preserve"/>
        </x:is>
      </x:c>
      <x:c r="J344" s="5" t="inlineStr">
        <x:is>
          <x:t xml:space="preserve"/>
        </x:is>
      </x:c>
      <x:c r="K344" s="5" t="inlineStr">
        <x:is>
          <x:t xml:space="preserve"/>
        </x:is>
      </x:c>
      <x:c r="L344" s="5" t="inlineStr">
        <x:is>
          <x:t xml:space="preserve"/>
        </x:is>
      </x:c>
      <x:c r="M344" s="5" t="inlineStr">
        <x:is>
          <x:t xml:space="preserve"/>
        </x:is>
      </x:c>
      <x:c r="N344" s="5" t="inlineStr">
        <x:is>
          <x:t xml:space="preserve"/>
        </x:is>
      </x:c>
      <x:c r="O344" s="5" t="inlineStr">
        <x:is>
          <x:t xml:space="preserve"/>
        </x:is>
      </x:c>
      <x:c r="P344" s="5" t="inlineStr">
        <x:is>
          <x:t xml:space="preserve"/>
        </x:is>
      </x:c>
      <x:c r="Q344" s="5" t="inlineStr">
        <x:is>
          <x:t xml:space="preserve"/>
        </x:is>
      </x:c>
      <x:c r="R344" s="5">
        <x:f>IF(OR(F344="",G344=""),"",IF(F344&gt;=0.95*G344,1,0))</x:f>
      </x:c>
      <x:c r="S344" s="7">
        <x:f>IFERROR((I344+J344+K344)/F344,"")</x:f>
      </x:c>
      <x:c r="T344" s="5">
        <x:f>IFERROR(I344+J344+K344,"")</x:f>
        <x:v>0</x:v>
      </x:c>
    </x:row>
    <x:row r="345" ht="22" customHeight="1">
      <x:c r="A345" s="5" t="inlineStr">
        <x:is>
          <x:t xml:space="preserve">P029</x:t>
        </x:is>
      </x:c>
      <x:c r="B345" s="5" t="inlineStr">
        <x:is>
          <x:t xml:space="preserve">5</x:t>
        </x:is>
      </x:c>
      <x:c r="C345" s="5" t="inlineStr">
        <x:is>
          <x:t xml:space="preserve">V02_study_recall</x:t>
        </x:is>
      </x:c>
      <x:c r="D345" s="5" t="inlineStr">
        <x:is>
          <x:t xml:space="preserve">semantic_compression</x:t>
        </x:is>
      </x:c>
      <x:c r="E345" s="5" t="inlineStr">
        <x:is>
          <x:t xml:space="preserve">muted</x:t>
        </x:is>
      </x:c>
      <x:c r="F345" s="6" t="inlineStr">
        <x:is>
          <x:t xml:space="preserve"/>
        </x:is>
      </x:c>
      <x:c r="G345" s="6" t="inlineStr">
        <x:is>
          <x:t xml:space="preserve">6</x:t>
        </x:is>
      </x:c>
      <x:c r="H345" s="5" t="inlineStr">
        <x:is>
          <x:t xml:space="preserve"/>
        </x:is>
      </x:c>
      <x:c r="I345" s="5" t="inlineStr">
        <x:is>
          <x:t xml:space="preserve"/>
        </x:is>
      </x:c>
      <x:c r="J345" s="5" t="inlineStr">
        <x:is>
          <x:t xml:space="preserve"/>
        </x:is>
      </x:c>
      <x:c r="K345" s="5" t="inlineStr">
        <x:is>
          <x:t xml:space="preserve"/>
        </x:is>
      </x:c>
      <x:c r="L345" s="5" t="inlineStr">
        <x:is>
          <x:t xml:space="preserve"/>
        </x:is>
      </x:c>
      <x:c r="M345" s="5" t="inlineStr">
        <x:is>
          <x:t xml:space="preserve"/>
        </x:is>
      </x:c>
      <x:c r="N345" s="5" t="inlineStr">
        <x:is>
          <x:t xml:space="preserve"/>
        </x:is>
      </x:c>
      <x:c r="O345" s="5" t="inlineStr">
        <x:is>
          <x:t xml:space="preserve"/>
        </x:is>
      </x:c>
      <x:c r="P345" s="5" t="inlineStr">
        <x:is>
          <x:t xml:space="preserve"/>
        </x:is>
      </x:c>
      <x:c r="Q345" s="5" t="inlineStr">
        <x:is>
          <x:t xml:space="preserve"/>
        </x:is>
      </x:c>
      <x:c r="R345" s="5">
        <x:f>IF(OR(F345="",G345=""),"",IF(F345&gt;=0.95*G345,1,0))</x:f>
      </x:c>
      <x:c r="S345" s="7">
        <x:f>IFERROR((I345+J345+K345)/F345,"")</x:f>
      </x:c>
      <x:c r="T345" s="5">
        <x:f>IFERROR(I345+J345+K345,"")</x:f>
        <x:v>0</x:v>
      </x:c>
    </x:row>
    <x:row r="346" ht="22" customHeight="1">
      <x:c r="A346" s="5" t="inlineStr">
        <x:is>
          <x:t xml:space="preserve">P029</x:t>
        </x:is>
      </x:c>
      <x:c r="B346" s="5" t="inlineStr">
        <x:is>
          <x:t xml:space="preserve">6</x:t>
        </x:is>
      </x:c>
      <x:c r="C346" s="5" t="inlineStr">
        <x:is>
          <x:t xml:space="preserve">V01_productivity_friction</x:t>
        </x:is>
      </x:c>
      <x:c r="D346" s="5" t="inlineStr">
        <x:is>
          <x:t xml:space="preserve">bcc</x:t>
        </x:is>
      </x:c>
      <x:c r="E346" s="5" t="inlineStr">
        <x:is>
          <x:t xml:space="preserve">audio_on</x:t>
        </x:is>
      </x:c>
      <x:c r="F346" s="6" t="inlineStr">
        <x:is>
          <x:t xml:space="preserve"/>
        </x:is>
      </x:c>
      <x:c r="G346" s="6" t="inlineStr">
        <x:is>
          <x:t xml:space="preserve">6</x:t>
        </x:is>
      </x:c>
      <x:c r="H346" s="5" t="inlineStr">
        <x:is>
          <x:t xml:space="preserve"/>
        </x:is>
      </x:c>
      <x:c r="I346" s="5" t="inlineStr">
        <x:is>
          <x:t xml:space="preserve"/>
        </x:is>
      </x:c>
      <x:c r="J346" s="5" t="inlineStr">
        <x:is>
          <x:t xml:space="preserve"/>
        </x:is>
      </x:c>
      <x:c r="K346" s="5" t="inlineStr">
        <x:is>
          <x:t xml:space="preserve"/>
        </x:is>
      </x:c>
      <x:c r="L346" s="5" t="inlineStr">
        <x:is>
          <x:t xml:space="preserve"/>
        </x:is>
      </x:c>
      <x:c r="M346" s="5" t="inlineStr">
        <x:is>
          <x:t xml:space="preserve"/>
        </x:is>
      </x:c>
      <x:c r="N346" s="5" t="inlineStr">
        <x:is>
          <x:t xml:space="preserve"/>
        </x:is>
      </x:c>
      <x:c r="O346" s="5" t="inlineStr">
        <x:is>
          <x:t xml:space="preserve"/>
        </x:is>
      </x:c>
      <x:c r="P346" s="5" t="inlineStr">
        <x:is>
          <x:t xml:space="preserve"/>
        </x:is>
      </x:c>
      <x:c r="Q346" s="5" t="inlineStr">
        <x:is>
          <x:t xml:space="preserve"/>
        </x:is>
      </x:c>
      <x:c r="R346" s="5">
        <x:f>IF(OR(F346="",G346=""),"",IF(F346&gt;=0.95*G346,1,0))</x:f>
      </x:c>
      <x:c r="S346" s="7">
        <x:f>IFERROR((I346+J346+K346)/F346,"")</x:f>
      </x:c>
      <x:c r="T346" s="5">
        <x:f>IFERROR(I346+J346+K346,"")</x:f>
        <x:v>0</x:v>
      </x:c>
    </x:row>
    <x:row r="347" ht="22" customHeight="1">
      <x:c r="A347" s="5" t="inlineStr">
        <x:is>
          <x:t xml:space="preserve">P029</x:t>
        </x:is>
      </x:c>
      <x:c r="B347" s="5" t="inlineStr">
        <x:is>
          <x:t xml:space="preserve">7</x:t>
        </x:is>
      </x:c>
      <x:c r="C347" s="5" t="inlineStr">
        <x:is>
          <x:t xml:space="preserve">V12_creativity_constraints</x:t>
        </x:is>
      </x:c>
      <x:c r="D347" s="5" t="inlineStr">
        <x:is>
          <x:t xml:space="preserve">bcc_plus</x:t>
        </x:is>
      </x:c>
      <x:c r="E347" s="5" t="inlineStr">
        <x:is>
          <x:t xml:space="preserve">muted</x:t>
        </x:is>
      </x:c>
      <x:c r="F347" s="6" t="inlineStr">
        <x:is>
          <x:t xml:space="preserve"/>
        </x:is>
      </x:c>
      <x:c r="G347" s="6" t="inlineStr">
        <x:is>
          <x:t xml:space="preserve">6</x:t>
        </x:is>
      </x:c>
      <x:c r="H347" s="5" t="inlineStr">
        <x:is>
          <x:t xml:space="preserve"/>
        </x:is>
      </x:c>
      <x:c r="I347" s="5" t="inlineStr">
        <x:is>
          <x:t xml:space="preserve"/>
        </x:is>
      </x:c>
      <x:c r="J347" s="5" t="inlineStr">
        <x:is>
          <x:t xml:space="preserve"/>
        </x:is>
      </x:c>
      <x:c r="K347" s="5" t="inlineStr">
        <x:is>
          <x:t xml:space="preserve"/>
        </x:is>
      </x:c>
      <x:c r="L347" s="5" t="inlineStr">
        <x:is>
          <x:t xml:space="preserve"/>
        </x:is>
      </x:c>
      <x:c r="M347" s="5" t="inlineStr">
        <x:is>
          <x:t xml:space="preserve"/>
        </x:is>
      </x:c>
      <x:c r="N347" s="5" t="inlineStr">
        <x:is>
          <x:t xml:space="preserve"/>
        </x:is>
      </x:c>
      <x:c r="O347" s="5" t="inlineStr">
        <x:is>
          <x:t xml:space="preserve"/>
        </x:is>
      </x:c>
      <x:c r="P347" s="5" t="inlineStr">
        <x:is>
          <x:t xml:space="preserve"/>
        </x:is>
      </x:c>
      <x:c r="Q347" s="5" t="inlineStr">
        <x:is>
          <x:t xml:space="preserve"/>
        </x:is>
      </x:c>
      <x:c r="R347" s="5">
        <x:f>IF(OR(F347="",G347=""),"",IF(F347&gt;=0.95*G347,1,0))</x:f>
      </x:c>
      <x:c r="S347" s="7">
        <x:f>IFERROR((I347+J347+K347)/F347,"")</x:f>
      </x:c>
      <x:c r="T347" s="5">
        <x:f>IFERROR(I347+J347+K347,"")</x:f>
        <x:v>0</x:v>
      </x:c>
    </x:row>
    <x:row r="348" ht="22" customHeight="1">
      <x:c r="A348" s="5" t="inlineStr">
        <x:is>
          <x:t xml:space="preserve">P029</x:t>
        </x:is>
      </x:c>
      <x:c r="B348" s="5" t="inlineStr">
        <x:is>
          <x:t xml:space="preserve">8</x:t>
        </x:is>
      </x:c>
      <x:c r="C348" s="5" t="inlineStr">
        <x:is>
          <x:t xml:space="preserve">V03_fitness_setup</x:t>
        </x:is>
      </x:c>
      <x:c r="D348" s="5" t="inlineStr">
        <x:is>
          <x:t xml:space="preserve">heavy_bionic</x:t>
        </x:is>
      </x:c>
      <x:c r="E348" s="5" t="inlineStr">
        <x:is>
          <x:t xml:space="preserve">audio_on</x:t>
        </x:is>
      </x:c>
      <x:c r="F348" s="6" t="inlineStr">
        <x:is>
          <x:t xml:space="preserve"/>
        </x:is>
      </x:c>
      <x:c r="G348" s="6" t="inlineStr">
        <x:is>
          <x:t xml:space="preserve">6</x:t>
        </x:is>
      </x:c>
      <x:c r="H348" s="5" t="inlineStr">
        <x:is>
          <x:t xml:space="preserve"/>
        </x:is>
      </x:c>
      <x:c r="I348" s="5" t="inlineStr">
        <x:is>
          <x:t xml:space="preserve"/>
        </x:is>
      </x:c>
      <x:c r="J348" s="5" t="inlineStr">
        <x:is>
          <x:t xml:space="preserve"/>
        </x:is>
      </x:c>
      <x:c r="K348" s="5" t="inlineStr">
        <x:is>
          <x:t xml:space="preserve"/>
        </x:is>
      </x:c>
      <x:c r="L348" s="5" t="inlineStr">
        <x:is>
          <x:t xml:space="preserve"/>
        </x:is>
      </x:c>
      <x:c r="M348" s="5" t="inlineStr">
        <x:is>
          <x:t xml:space="preserve"/>
        </x:is>
      </x:c>
      <x:c r="N348" s="5" t="inlineStr">
        <x:is>
          <x:t xml:space="preserve"/>
        </x:is>
      </x:c>
      <x:c r="O348" s="5" t="inlineStr">
        <x:is>
          <x:t xml:space="preserve"/>
        </x:is>
      </x:c>
      <x:c r="P348" s="5" t="inlineStr">
        <x:is>
          <x:t xml:space="preserve"/>
        </x:is>
      </x:c>
      <x:c r="Q348" s="5" t="inlineStr">
        <x:is>
          <x:t xml:space="preserve"/>
        </x:is>
      </x:c>
      <x:c r="R348" s="5">
        <x:f>IF(OR(F348="",G348=""),"",IF(F348&gt;=0.95*G348,1,0))</x:f>
      </x:c>
      <x:c r="S348" s="7">
        <x:f>IFERROR((I348+J348+K348)/F348,"")</x:f>
      </x:c>
      <x:c r="T348" s="5">
        <x:f>IFERROR(I348+J348+K348,"")</x:f>
        <x:v>0</x:v>
      </x:c>
    </x:row>
    <x:row r="349" ht="22" customHeight="1">
      <x:c r="A349" s="5" t="inlineStr">
        <x:is>
          <x:t xml:space="preserve">P029</x:t>
        </x:is>
      </x:c>
      <x:c r="B349" s="5" t="inlineStr">
        <x:is>
          <x:t xml:space="preserve">9</x:t>
        </x:is>
      </x:c>
      <x:c r="C349" s="5" t="inlineStr">
        <x:is>
          <x:t xml:space="preserve">V06_overload_open_loops</x:t>
        </x:is>
      </x:c>
      <x:c r="D349" s="5" t="inlineStr">
        <x:is>
          <x:t xml:space="preserve">full_transcript</x:t>
        </x:is>
      </x:c>
      <x:c r="E349" s="5" t="inlineStr">
        <x:is>
          <x:t xml:space="preserve">muted</x:t>
        </x:is>
      </x:c>
      <x:c r="F349" s="6" t="inlineStr">
        <x:is>
          <x:t xml:space="preserve"/>
        </x:is>
      </x:c>
      <x:c r="G349" s="6" t="inlineStr">
        <x:is>
          <x:t xml:space="preserve">6</x:t>
        </x:is>
      </x:c>
      <x:c r="H349" s="5" t="inlineStr">
        <x:is>
          <x:t xml:space="preserve"/>
        </x:is>
      </x:c>
      <x:c r="I349" s="5" t="inlineStr">
        <x:is>
          <x:t xml:space="preserve"/>
        </x:is>
      </x:c>
      <x:c r="J349" s="5" t="inlineStr">
        <x:is>
          <x:t xml:space="preserve"/>
        </x:is>
      </x:c>
      <x:c r="K349" s="5" t="inlineStr">
        <x:is>
          <x:t xml:space="preserve"/>
        </x:is>
      </x:c>
      <x:c r="L349" s="5" t="inlineStr">
        <x:is>
          <x:t xml:space="preserve"/>
        </x:is>
      </x:c>
      <x:c r="M349" s="5" t="inlineStr">
        <x:is>
          <x:t xml:space="preserve"/>
        </x:is>
      </x:c>
      <x:c r="N349" s="5" t="inlineStr">
        <x:is>
          <x:t xml:space="preserve"/>
        </x:is>
      </x:c>
      <x:c r="O349" s="5" t="inlineStr">
        <x:is>
          <x:t xml:space="preserve"/>
        </x:is>
      </x:c>
      <x:c r="P349" s="5" t="inlineStr">
        <x:is>
          <x:t xml:space="preserve"/>
        </x:is>
      </x:c>
      <x:c r="Q349" s="5" t="inlineStr">
        <x:is>
          <x:t xml:space="preserve"/>
        </x:is>
      </x:c>
      <x:c r="R349" s="5">
        <x:f>IF(OR(F349="",G349=""),"",IF(F349&gt;=0.95*G349,1,0))</x:f>
      </x:c>
      <x:c r="S349" s="7">
        <x:f>IFERROR((I349+J349+K349)/F349,"")</x:f>
      </x:c>
      <x:c r="T349" s="5">
        <x:f>IFERROR(I349+J349+K349,"")</x:f>
        <x:v>0</x:v>
      </x:c>
    </x:row>
    <x:row r="350" ht="22" customHeight="1">
      <x:c r="A350" s="5" t="inlineStr">
        <x:is>
          <x:t xml:space="preserve">P029</x:t>
        </x:is>
      </x:c>
      <x:c r="B350" s="5" t="inlineStr">
        <x:is>
          <x:t xml:space="preserve">10</x:t>
        </x:is>
      </x:c>
      <x:c r="C350" s="5" t="inlineStr">
        <x:is>
          <x:t xml:space="preserve">V09_nutrition_satiety</x:t>
        </x:is>
      </x:c>
      <x:c r="D350" s="5" t="inlineStr">
        <x:is>
          <x:t xml:space="preserve">keyword_highlight</x:t>
        </x:is>
      </x:c>
      <x:c r="E350" s="5" t="inlineStr">
        <x:is>
          <x:t xml:space="preserve">audio_on</x:t>
        </x:is>
      </x:c>
      <x:c r="F350" s="6" t="inlineStr">
        <x:is>
          <x:t xml:space="preserve"/>
        </x:is>
      </x:c>
      <x:c r="G350" s="6" t="inlineStr">
        <x:is>
          <x:t xml:space="preserve">6</x:t>
        </x:is>
      </x:c>
      <x:c r="H350" s="5" t="inlineStr">
        <x:is>
          <x:t xml:space="preserve"/>
        </x:is>
      </x:c>
      <x:c r="I350" s="5" t="inlineStr">
        <x:is>
          <x:t xml:space="preserve"/>
        </x:is>
      </x:c>
      <x:c r="J350" s="5" t="inlineStr">
        <x:is>
          <x:t xml:space="preserve"/>
        </x:is>
      </x:c>
      <x:c r="K350" s="5" t="inlineStr">
        <x:is>
          <x:t xml:space="preserve"/>
        </x:is>
      </x:c>
      <x:c r="L350" s="5" t="inlineStr">
        <x:is>
          <x:t xml:space="preserve"/>
        </x:is>
      </x:c>
      <x:c r="M350" s="5" t="inlineStr">
        <x:is>
          <x:t xml:space="preserve"/>
        </x:is>
      </x:c>
      <x:c r="N350" s="5" t="inlineStr">
        <x:is>
          <x:t xml:space="preserve"/>
        </x:is>
      </x:c>
      <x:c r="O350" s="5" t="inlineStr">
        <x:is>
          <x:t xml:space="preserve"/>
        </x:is>
      </x:c>
      <x:c r="P350" s="5" t="inlineStr">
        <x:is>
          <x:t xml:space="preserve"/>
        </x:is>
      </x:c>
      <x:c r="Q350" s="5" t="inlineStr">
        <x:is>
          <x:t xml:space="preserve"/>
        </x:is>
      </x:c>
      <x:c r="R350" s="5">
        <x:f>IF(OR(F350="",G350=""),"",IF(F350&gt;=0.95*G350,1,0))</x:f>
      </x:c>
      <x:c r="S350" s="7">
        <x:f>IFERROR((I350+J350+K350)/F350,"")</x:f>
      </x:c>
      <x:c r="T350" s="5">
        <x:f>IFERROR(I350+J350+K350,"")</x:f>
        <x:v>0</x:v>
      </x:c>
    </x:row>
    <x:row r="351" ht="22" customHeight="1">
      <x:c r="A351" s="5" t="inlineStr">
        <x:is>
          <x:t xml:space="preserve">P029</x:t>
        </x:is>
      </x:c>
      <x:c r="B351" s="5" t="inlineStr">
        <x:is>
          <x:t xml:space="preserve">11</x:t>
        </x:is>
      </x:c>
      <x:c r="C351" s="5" t="inlineStr">
        <x:is>
          <x:t xml:space="preserve">V07_business_clarity</x:t>
        </x:is>
      </x:c>
      <x:c r="D351" s="5" t="inlineStr">
        <x:is>
          <x:t xml:space="preserve">semantic_compression</x:t>
        </x:is>
      </x:c>
      <x:c r="E351" s="5" t="inlineStr">
        <x:is>
          <x:t xml:space="preserve">muted</x:t>
        </x:is>
      </x:c>
      <x:c r="F351" s="6" t="inlineStr">
        <x:is>
          <x:t xml:space="preserve"/>
        </x:is>
      </x:c>
      <x:c r="G351" s="6" t="inlineStr">
        <x:is>
          <x:t xml:space="preserve">6</x:t>
        </x:is>
      </x:c>
      <x:c r="H351" s="5" t="inlineStr">
        <x:is>
          <x:t xml:space="preserve"/>
        </x:is>
      </x:c>
      <x:c r="I351" s="5" t="inlineStr">
        <x:is>
          <x:t xml:space="preserve"/>
        </x:is>
      </x:c>
      <x:c r="J351" s="5" t="inlineStr">
        <x:is>
          <x:t xml:space="preserve"/>
        </x:is>
      </x:c>
      <x:c r="K351" s="5" t="inlineStr">
        <x:is>
          <x:t xml:space="preserve"/>
        </x:is>
      </x:c>
      <x:c r="L351" s="5" t="inlineStr">
        <x:is>
          <x:t xml:space="preserve"/>
        </x:is>
      </x:c>
      <x:c r="M351" s="5" t="inlineStr">
        <x:is>
          <x:t xml:space="preserve"/>
        </x:is>
      </x:c>
      <x:c r="N351" s="5" t="inlineStr">
        <x:is>
          <x:t xml:space="preserve"/>
        </x:is>
      </x:c>
      <x:c r="O351" s="5" t="inlineStr">
        <x:is>
          <x:t xml:space="preserve"/>
        </x:is>
      </x:c>
      <x:c r="P351" s="5" t="inlineStr">
        <x:is>
          <x:t xml:space="preserve"/>
        </x:is>
      </x:c>
      <x:c r="Q351" s="5" t="inlineStr">
        <x:is>
          <x:t xml:space="preserve"/>
        </x:is>
      </x:c>
      <x:c r="R351" s="5">
        <x:f>IF(OR(F351="",G351=""),"",IF(F351&gt;=0.95*G351,1,0))</x:f>
      </x:c>
      <x:c r="S351" s="7">
        <x:f>IFERROR((I351+J351+K351)/F351,"")</x:f>
      </x:c>
      <x:c r="T351" s="5">
        <x:f>IFERROR(I351+J351+K351,"")</x:f>
        <x:v>0</x:v>
      </x:c>
    </x:row>
    <x:row r="352" ht="22" customHeight="1">
      <x:c r="A352" s="5" t="inlineStr">
        <x:is>
          <x:t xml:space="preserve">P029</x:t>
        </x:is>
      </x:c>
      <x:c r="B352" s="5" t="inlineStr">
        <x:is>
          <x:t xml:space="preserve">12</x:t>
        </x:is>
      </x:c>
      <x:c r="C352" s="5" t="inlineStr">
        <x:is>
          <x:t xml:space="preserve">V04_money_visibility</x:t>
        </x:is>
      </x:c>
      <x:c r="D352" s="5" t="inlineStr">
        <x:is>
          <x:t xml:space="preserve">bcc</x:t>
        </x:is>
      </x:c>
      <x:c r="E352" s="5" t="inlineStr">
        <x:is>
          <x:t xml:space="preserve">audio_on</x:t>
        </x:is>
      </x:c>
      <x:c r="F352" s="6" t="inlineStr">
        <x:is>
          <x:t xml:space="preserve"/>
        </x:is>
      </x:c>
      <x:c r="G352" s="6" t="inlineStr">
        <x:is>
          <x:t xml:space="preserve">6</x:t>
        </x:is>
      </x:c>
      <x:c r="H352" s="5" t="inlineStr">
        <x:is>
          <x:t xml:space="preserve"/>
        </x:is>
      </x:c>
      <x:c r="I352" s="5" t="inlineStr">
        <x:is>
          <x:t xml:space="preserve"/>
        </x:is>
      </x:c>
      <x:c r="J352" s="5" t="inlineStr">
        <x:is>
          <x:t xml:space="preserve"/>
        </x:is>
      </x:c>
      <x:c r="K352" s="5" t="inlineStr">
        <x:is>
          <x:t xml:space="preserve"/>
        </x:is>
      </x:c>
      <x:c r="L352" s="5" t="inlineStr">
        <x:is>
          <x:t xml:space="preserve"/>
        </x:is>
      </x:c>
      <x:c r="M352" s="5" t="inlineStr">
        <x:is>
          <x:t xml:space="preserve"/>
        </x:is>
      </x:c>
      <x:c r="N352" s="5" t="inlineStr">
        <x:is>
          <x:t xml:space="preserve"/>
        </x:is>
      </x:c>
      <x:c r="O352" s="5" t="inlineStr">
        <x:is>
          <x:t xml:space="preserve"/>
        </x:is>
      </x:c>
      <x:c r="P352" s="5" t="inlineStr">
        <x:is>
          <x:t xml:space="preserve"/>
        </x:is>
      </x:c>
      <x:c r="Q352" s="5" t="inlineStr">
        <x:is>
          <x:t xml:space="preserve"/>
        </x:is>
      </x:c>
      <x:c r="R352" s="5">
        <x:f>IF(OR(F352="",G352=""),"",IF(F352&gt;=0.95*G352,1,0))</x:f>
      </x:c>
      <x:c r="S352" s="7">
        <x:f>IFERROR((I352+J352+K352)/F352,"")</x:f>
      </x:c>
      <x:c r="T352" s="5">
        <x:f>IFERROR(I352+J352+K352,"")</x:f>
        <x:v>0</x:v>
      </x:c>
    </x:row>
    <x:row r="353" ht="22" customHeight="1">
      <x:c r="A353" s="5" t="inlineStr">
        <x:is>
          <x:t xml:space="preserve">P030</x:t>
        </x:is>
      </x:c>
      <x:c r="B353" s="5" t="inlineStr">
        <x:is>
          <x:t xml:space="preserve">1</x:t>
        </x:is>
      </x:c>
      <x:c r="C353" s="5" t="inlineStr">
        <x:is>
          <x:t xml:space="preserve">V04_money_visibility</x:t>
        </x:is>
      </x:c>
      <x:c r="D353" s="5" t="inlineStr">
        <x:is>
          <x:t xml:space="preserve">heavy_bionic</x:t>
        </x:is>
      </x:c>
      <x:c r="E353" s="5" t="inlineStr">
        <x:is>
          <x:t xml:space="preserve">audio_on</x:t>
        </x:is>
      </x:c>
      <x:c r="F353" s="6" t="inlineStr">
        <x:is>
          <x:t xml:space="preserve"/>
        </x:is>
      </x:c>
      <x:c r="G353" s="6" t="inlineStr">
        <x:is>
          <x:t xml:space="preserve">6</x:t>
        </x:is>
      </x:c>
      <x:c r="H353" s="5" t="inlineStr">
        <x:is>
          <x:t xml:space="preserve"/>
        </x:is>
      </x:c>
      <x:c r="I353" s="5" t="inlineStr">
        <x:is>
          <x:t xml:space="preserve"/>
        </x:is>
      </x:c>
      <x:c r="J353" s="5" t="inlineStr">
        <x:is>
          <x:t xml:space="preserve"/>
        </x:is>
      </x:c>
      <x:c r="K353" s="5" t="inlineStr">
        <x:is>
          <x:t xml:space="preserve"/>
        </x:is>
      </x:c>
      <x:c r="L353" s="5" t="inlineStr">
        <x:is>
          <x:t xml:space="preserve"/>
        </x:is>
      </x:c>
      <x:c r="M353" s="5" t="inlineStr">
        <x:is>
          <x:t xml:space="preserve"/>
        </x:is>
      </x:c>
      <x:c r="N353" s="5" t="inlineStr">
        <x:is>
          <x:t xml:space="preserve"/>
        </x:is>
      </x:c>
      <x:c r="O353" s="5" t="inlineStr">
        <x:is>
          <x:t xml:space="preserve"/>
        </x:is>
      </x:c>
      <x:c r="P353" s="5" t="inlineStr">
        <x:is>
          <x:t xml:space="preserve"/>
        </x:is>
      </x:c>
      <x:c r="Q353" s="5" t="inlineStr">
        <x:is>
          <x:t xml:space="preserve"/>
        </x:is>
      </x:c>
      <x:c r="R353" s="5">
        <x:f>IF(OR(F353="",G353=""),"",IF(F353&gt;=0.95*G353,1,0))</x:f>
      </x:c>
      <x:c r="S353" s="7">
        <x:f>IFERROR((I353+J353+K353)/F353,"")</x:f>
      </x:c>
      <x:c r="T353" s="5">
        <x:f>IFERROR(I353+J353+K353,"")</x:f>
        <x:v>0</x:v>
      </x:c>
    </x:row>
    <x:row r="354" ht="22" customHeight="1">
      <x:c r="A354" s="5" t="inlineStr">
        <x:is>
          <x:t xml:space="preserve">P030</x:t>
        </x:is>
      </x:c>
      <x:c r="B354" s="5" t="inlineStr">
        <x:is>
          <x:t xml:space="preserve">2</x:t>
        </x:is>
      </x:c>
      <x:c r="C354" s="5" t="inlineStr">
        <x:is>
          <x:t xml:space="preserve">V12_creativity_constraints</x:t>
        </x:is>
      </x:c>
      <x:c r="D354" s="5" t="inlineStr">
        <x:is>
          <x:t xml:space="preserve">full_transcript</x:t>
        </x:is>
      </x:c>
      <x:c r="E354" s="5" t="inlineStr">
        <x:is>
          <x:t xml:space="preserve">muted</x:t>
        </x:is>
      </x:c>
      <x:c r="F354" s="6" t="inlineStr">
        <x:is>
          <x:t xml:space="preserve"/>
        </x:is>
      </x:c>
      <x:c r="G354" s="6" t="inlineStr">
        <x:is>
          <x:t xml:space="preserve">6</x:t>
        </x:is>
      </x:c>
      <x:c r="H354" s="5" t="inlineStr">
        <x:is>
          <x:t xml:space="preserve"/>
        </x:is>
      </x:c>
      <x:c r="I354" s="5" t="inlineStr">
        <x:is>
          <x:t xml:space="preserve"/>
        </x:is>
      </x:c>
      <x:c r="J354" s="5" t="inlineStr">
        <x:is>
          <x:t xml:space="preserve"/>
        </x:is>
      </x:c>
      <x:c r="K354" s="5" t="inlineStr">
        <x:is>
          <x:t xml:space="preserve"/>
        </x:is>
      </x:c>
      <x:c r="L354" s="5" t="inlineStr">
        <x:is>
          <x:t xml:space="preserve"/>
        </x:is>
      </x:c>
      <x:c r="M354" s="5" t="inlineStr">
        <x:is>
          <x:t xml:space="preserve"/>
        </x:is>
      </x:c>
      <x:c r="N354" s="5" t="inlineStr">
        <x:is>
          <x:t xml:space="preserve"/>
        </x:is>
      </x:c>
      <x:c r="O354" s="5" t="inlineStr">
        <x:is>
          <x:t xml:space="preserve"/>
        </x:is>
      </x:c>
      <x:c r="P354" s="5" t="inlineStr">
        <x:is>
          <x:t xml:space="preserve"/>
        </x:is>
      </x:c>
      <x:c r="Q354" s="5" t="inlineStr">
        <x:is>
          <x:t xml:space="preserve"/>
        </x:is>
      </x:c>
      <x:c r="R354" s="5">
        <x:f>IF(OR(F354="",G354=""),"",IF(F354&gt;=0.95*G354,1,0))</x:f>
      </x:c>
      <x:c r="S354" s="7">
        <x:f>IFERROR((I354+J354+K354)/F354,"")</x:f>
      </x:c>
      <x:c r="T354" s="5">
        <x:f>IFERROR(I354+J354+K354,"")</x:f>
        <x:v>0</x:v>
      </x:c>
    </x:row>
    <x:row r="355" ht="22" customHeight="1">
      <x:c r="A355" s="5" t="inlineStr">
        <x:is>
          <x:t xml:space="preserve">P030</x:t>
        </x:is>
      </x:c>
      <x:c r="B355" s="5" t="inlineStr">
        <x:is>
          <x:t xml:space="preserve">3</x:t>
        </x:is>
      </x:c>
      <x:c r="C355" s="5" t="inlineStr">
        <x:is>
          <x:t xml:space="preserve">V11_story_burnout</x:t>
        </x:is>
      </x:c>
      <x:c r="D355" s="5" t="inlineStr">
        <x:is>
          <x:t xml:space="preserve">keyword_highlight</x:t>
        </x:is>
      </x:c>
      <x:c r="E355" s="5" t="inlineStr">
        <x:is>
          <x:t xml:space="preserve">audio_on</x:t>
        </x:is>
      </x:c>
      <x:c r="F355" s="6" t="inlineStr">
        <x:is>
          <x:t xml:space="preserve"/>
        </x:is>
      </x:c>
      <x:c r="G355" s="6" t="inlineStr">
        <x:is>
          <x:t xml:space="preserve">6</x:t>
        </x:is>
      </x:c>
      <x:c r="H355" s="5" t="inlineStr">
        <x:is>
          <x:t xml:space="preserve"/>
        </x:is>
      </x:c>
      <x:c r="I355" s="5" t="inlineStr">
        <x:is>
          <x:t xml:space="preserve"/>
        </x:is>
      </x:c>
      <x:c r="J355" s="5" t="inlineStr">
        <x:is>
          <x:t xml:space="preserve"/>
        </x:is>
      </x:c>
      <x:c r="K355" s="5" t="inlineStr">
        <x:is>
          <x:t xml:space="preserve"/>
        </x:is>
      </x:c>
      <x:c r="L355" s="5" t="inlineStr">
        <x:is>
          <x:t xml:space="preserve"/>
        </x:is>
      </x:c>
      <x:c r="M355" s="5" t="inlineStr">
        <x:is>
          <x:t xml:space="preserve"/>
        </x:is>
      </x:c>
      <x:c r="N355" s="5" t="inlineStr">
        <x:is>
          <x:t xml:space="preserve"/>
        </x:is>
      </x:c>
      <x:c r="O355" s="5" t="inlineStr">
        <x:is>
          <x:t xml:space="preserve"/>
        </x:is>
      </x:c>
      <x:c r="P355" s="5" t="inlineStr">
        <x:is>
          <x:t xml:space="preserve"/>
        </x:is>
      </x:c>
      <x:c r="Q355" s="5" t="inlineStr">
        <x:is>
          <x:t xml:space="preserve"/>
        </x:is>
      </x:c>
      <x:c r="R355" s="5">
        <x:f>IF(OR(F355="",G355=""),"",IF(F355&gt;=0.95*G355,1,0))</x:f>
      </x:c>
      <x:c r="S355" s="7">
        <x:f>IFERROR((I355+J355+K355)/F355,"")</x:f>
      </x:c>
      <x:c r="T355" s="5">
        <x:f>IFERROR(I355+J355+K355,"")</x:f>
        <x:v>0</x:v>
      </x:c>
    </x:row>
    <x:row r="356" ht="22" customHeight="1">
      <x:c r="A356" s="5" t="inlineStr">
        <x:is>
          <x:t xml:space="preserve">P030</x:t>
        </x:is>
      </x:c>
      <x:c r="B356" s="5" t="inlineStr">
        <x:is>
          <x:t xml:space="preserve">4</x:t>
        </x:is>
      </x:c>
      <x:c r="C356" s="5" t="inlineStr">
        <x:is>
          <x:t xml:space="preserve">V08_calendar_system</x:t>
        </x:is>
      </x:c>
      <x:c r="D356" s="5" t="inlineStr">
        <x:is>
          <x:t xml:space="preserve">semantic_compression</x:t>
        </x:is>
      </x:c>
      <x:c r="E356" s="5" t="inlineStr">
        <x:is>
          <x:t xml:space="preserve">muted</x:t>
        </x:is>
      </x:c>
      <x:c r="F356" s="6" t="inlineStr">
        <x:is>
          <x:t xml:space="preserve"/>
        </x:is>
      </x:c>
      <x:c r="G356" s="6" t="inlineStr">
        <x:is>
          <x:t xml:space="preserve">6</x:t>
        </x:is>
      </x:c>
      <x:c r="H356" s="5" t="inlineStr">
        <x:is>
          <x:t xml:space="preserve"/>
        </x:is>
      </x:c>
      <x:c r="I356" s="5" t="inlineStr">
        <x:is>
          <x:t xml:space="preserve"/>
        </x:is>
      </x:c>
      <x:c r="J356" s="5" t="inlineStr">
        <x:is>
          <x:t xml:space="preserve"/>
        </x:is>
      </x:c>
      <x:c r="K356" s="5" t="inlineStr">
        <x:is>
          <x:t xml:space="preserve"/>
        </x:is>
      </x:c>
      <x:c r="L356" s="5" t="inlineStr">
        <x:is>
          <x:t xml:space="preserve"/>
        </x:is>
      </x:c>
      <x:c r="M356" s="5" t="inlineStr">
        <x:is>
          <x:t xml:space="preserve"/>
        </x:is>
      </x:c>
      <x:c r="N356" s="5" t="inlineStr">
        <x:is>
          <x:t xml:space="preserve"/>
        </x:is>
      </x:c>
      <x:c r="O356" s="5" t="inlineStr">
        <x:is>
          <x:t xml:space="preserve"/>
        </x:is>
      </x:c>
      <x:c r="P356" s="5" t="inlineStr">
        <x:is>
          <x:t xml:space="preserve"/>
        </x:is>
      </x:c>
      <x:c r="Q356" s="5" t="inlineStr">
        <x:is>
          <x:t xml:space="preserve"/>
        </x:is>
      </x:c>
      <x:c r="R356" s="5">
        <x:f>IF(OR(F356="",G356=""),"",IF(F356&gt;=0.95*G356,1,0))</x:f>
      </x:c>
      <x:c r="S356" s="7">
        <x:f>IFERROR((I356+J356+K356)/F356,"")</x:f>
      </x:c>
      <x:c r="T356" s="5">
        <x:f>IFERROR(I356+J356+K356,"")</x:f>
        <x:v>0</x:v>
      </x:c>
    </x:row>
    <x:row r="357" ht="22" customHeight="1">
      <x:c r="A357" s="5" t="inlineStr">
        <x:is>
          <x:t xml:space="preserve">P030</x:t>
        </x:is>
      </x:c>
      <x:c r="B357" s="5" t="inlineStr">
        <x:is>
          <x:t xml:space="preserve">5</x:t>
        </x:is>
      </x:c>
      <x:c r="C357" s="5" t="inlineStr">
        <x:is>
          <x:t xml:space="preserve">V03_fitness_setup</x:t>
        </x:is>
      </x:c>
      <x:c r="D357" s="5" t="inlineStr">
        <x:is>
          <x:t xml:space="preserve">bcc</x:t>
        </x:is>
      </x:c>
      <x:c r="E357" s="5" t="inlineStr">
        <x:is>
          <x:t xml:space="preserve">audio_on</x:t>
        </x:is>
      </x:c>
      <x:c r="F357" s="6" t="inlineStr">
        <x:is>
          <x:t xml:space="preserve"/>
        </x:is>
      </x:c>
      <x:c r="G357" s="6" t="inlineStr">
        <x:is>
          <x:t xml:space="preserve">6</x:t>
        </x:is>
      </x:c>
      <x:c r="H357" s="5" t="inlineStr">
        <x:is>
          <x:t xml:space="preserve"/>
        </x:is>
      </x:c>
      <x:c r="I357" s="5" t="inlineStr">
        <x:is>
          <x:t xml:space="preserve"/>
        </x:is>
      </x:c>
      <x:c r="J357" s="5" t="inlineStr">
        <x:is>
          <x:t xml:space="preserve"/>
        </x:is>
      </x:c>
      <x:c r="K357" s="5" t="inlineStr">
        <x:is>
          <x:t xml:space="preserve"/>
        </x:is>
      </x:c>
      <x:c r="L357" s="5" t="inlineStr">
        <x:is>
          <x:t xml:space="preserve"/>
        </x:is>
      </x:c>
      <x:c r="M357" s="5" t="inlineStr">
        <x:is>
          <x:t xml:space="preserve"/>
        </x:is>
      </x:c>
      <x:c r="N357" s="5" t="inlineStr">
        <x:is>
          <x:t xml:space="preserve"/>
        </x:is>
      </x:c>
      <x:c r="O357" s="5" t="inlineStr">
        <x:is>
          <x:t xml:space="preserve"/>
        </x:is>
      </x:c>
      <x:c r="P357" s="5" t="inlineStr">
        <x:is>
          <x:t xml:space="preserve"/>
        </x:is>
      </x:c>
      <x:c r="Q357" s="5" t="inlineStr">
        <x:is>
          <x:t xml:space="preserve"/>
        </x:is>
      </x:c>
      <x:c r="R357" s="5">
        <x:f>IF(OR(F357="",G357=""),"",IF(F357&gt;=0.95*G357,1,0))</x:f>
      </x:c>
      <x:c r="S357" s="7">
        <x:f>IFERROR((I357+J357+K357)/F357,"")</x:f>
      </x:c>
      <x:c r="T357" s="5">
        <x:f>IFERROR(I357+J357+K357,"")</x:f>
        <x:v>0</x:v>
      </x:c>
    </x:row>
    <x:row r="358" ht="22" customHeight="1">
      <x:c r="A358" s="5" t="inlineStr">
        <x:is>
          <x:t xml:space="preserve">P030</x:t>
        </x:is>
      </x:c>
      <x:c r="B358" s="5" t="inlineStr">
        <x:is>
          <x:t xml:space="preserve">6</x:t>
        </x:is>
      </x:c>
      <x:c r="C358" s="5" t="inlineStr">
        <x:is>
          <x:t xml:space="preserve">V02_study_recall</x:t>
        </x:is>
      </x:c>
      <x:c r="D358" s="5" t="inlineStr">
        <x:is>
          <x:t xml:space="preserve">bcc_plus</x:t>
        </x:is>
      </x:c>
      <x:c r="E358" s="5" t="inlineStr">
        <x:is>
          <x:t xml:space="preserve">muted</x:t>
        </x:is>
      </x:c>
      <x:c r="F358" s="6" t="inlineStr">
        <x:is>
          <x:t xml:space="preserve"/>
        </x:is>
      </x:c>
      <x:c r="G358" s="6" t="inlineStr">
        <x:is>
          <x:t xml:space="preserve">6</x:t>
        </x:is>
      </x:c>
      <x:c r="H358" s="5" t="inlineStr">
        <x:is>
          <x:t xml:space="preserve"/>
        </x:is>
      </x:c>
      <x:c r="I358" s="5" t="inlineStr">
        <x:is>
          <x:t xml:space="preserve"/>
        </x:is>
      </x:c>
      <x:c r="J358" s="5" t="inlineStr">
        <x:is>
          <x:t xml:space="preserve"/>
        </x:is>
      </x:c>
      <x:c r="K358" s="5" t="inlineStr">
        <x:is>
          <x:t xml:space="preserve"/>
        </x:is>
      </x:c>
      <x:c r="L358" s="5" t="inlineStr">
        <x:is>
          <x:t xml:space="preserve"/>
        </x:is>
      </x:c>
      <x:c r="M358" s="5" t="inlineStr">
        <x:is>
          <x:t xml:space="preserve"/>
        </x:is>
      </x:c>
      <x:c r="N358" s="5" t="inlineStr">
        <x:is>
          <x:t xml:space="preserve"/>
        </x:is>
      </x:c>
      <x:c r="O358" s="5" t="inlineStr">
        <x:is>
          <x:t xml:space="preserve"/>
        </x:is>
      </x:c>
      <x:c r="P358" s="5" t="inlineStr">
        <x:is>
          <x:t xml:space="preserve"/>
        </x:is>
      </x:c>
      <x:c r="Q358" s="5" t="inlineStr">
        <x:is>
          <x:t xml:space="preserve"/>
        </x:is>
      </x:c>
      <x:c r="R358" s="5">
        <x:f>IF(OR(F358="",G358=""),"",IF(F358&gt;=0.95*G358,1,0))</x:f>
      </x:c>
      <x:c r="S358" s="7">
        <x:f>IFERROR((I358+J358+K358)/F358,"")</x:f>
      </x:c>
      <x:c r="T358" s="5">
        <x:f>IFERROR(I358+J358+K358,"")</x:f>
        <x:v>0</x:v>
      </x:c>
    </x:row>
    <x:row r="359" ht="22" customHeight="1">
      <x:c r="A359" s="5" t="inlineStr">
        <x:is>
          <x:t xml:space="preserve">P030</x:t>
        </x:is>
      </x:c>
      <x:c r="B359" s="5" t="inlineStr">
        <x:is>
          <x:t xml:space="preserve">7</x:t>
        </x:is>
      </x:c>
      <x:c r="C359" s="5" t="inlineStr">
        <x:is>
          <x:t xml:space="preserve">V06_overload_open_loops</x:t>
        </x:is>
      </x:c>
      <x:c r="D359" s="5" t="inlineStr">
        <x:is>
          <x:t xml:space="preserve">heavy_bionic</x:t>
        </x:is>
      </x:c>
      <x:c r="E359" s="5" t="inlineStr">
        <x:is>
          <x:t xml:space="preserve">audio_on</x:t>
        </x:is>
      </x:c>
      <x:c r="F359" s="6" t="inlineStr">
        <x:is>
          <x:t xml:space="preserve"/>
        </x:is>
      </x:c>
      <x:c r="G359" s="6" t="inlineStr">
        <x:is>
          <x:t xml:space="preserve">6</x:t>
        </x:is>
      </x:c>
      <x:c r="H359" s="5" t="inlineStr">
        <x:is>
          <x:t xml:space="preserve"/>
        </x:is>
      </x:c>
      <x:c r="I359" s="5" t="inlineStr">
        <x:is>
          <x:t xml:space="preserve"/>
        </x:is>
      </x:c>
      <x:c r="J359" s="5" t="inlineStr">
        <x:is>
          <x:t xml:space="preserve"/>
        </x:is>
      </x:c>
      <x:c r="K359" s="5" t="inlineStr">
        <x:is>
          <x:t xml:space="preserve"/>
        </x:is>
      </x:c>
      <x:c r="L359" s="5" t="inlineStr">
        <x:is>
          <x:t xml:space="preserve"/>
        </x:is>
      </x:c>
      <x:c r="M359" s="5" t="inlineStr">
        <x:is>
          <x:t xml:space="preserve"/>
        </x:is>
      </x:c>
      <x:c r="N359" s="5" t="inlineStr">
        <x:is>
          <x:t xml:space="preserve"/>
        </x:is>
      </x:c>
      <x:c r="O359" s="5" t="inlineStr">
        <x:is>
          <x:t xml:space="preserve"/>
        </x:is>
      </x:c>
      <x:c r="P359" s="5" t="inlineStr">
        <x:is>
          <x:t xml:space="preserve"/>
        </x:is>
      </x:c>
      <x:c r="Q359" s="5" t="inlineStr">
        <x:is>
          <x:t xml:space="preserve"/>
        </x:is>
      </x:c>
      <x:c r="R359" s="5">
        <x:f>IF(OR(F359="",G359=""),"",IF(F359&gt;=0.95*G359,1,0))</x:f>
      </x:c>
      <x:c r="S359" s="7">
        <x:f>IFERROR((I359+J359+K359)/F359,"")</x:f>
      </x:c>
      <x:c r="T359" s="5">
        <x:f>IFERROR(I359+J359+K359,"")</x:f>
        <x:v>0</x:v>
      </x:c>
    </x:row>
    <x:row r="360" ht="22" customHeight="1">
      <x:c r="A360" s="5" t="inlineStr">
        <x:is>
          <x:t xml:space="preserve">P030</x:t>
        </x:is>
      </x:c>
      <x:c r="B360" s="5" t="inlineStr">
        <x:is>
          <x:t xml:space="preserve">8</x:t>
        </x:is>
      </x:c>
      <x:c r="C360" s="5" t="inlineStr">
        <x:is>
          <x:t xml:space="preserve">V07_business_clarity</x:t>
        </x:is>
      </x:c>
      <x:c r="D360" s="5" t="inlineStr">
        <x:is>
          <x:t xml:space="preserve">full_transcript</x:t>
        </x:is>
      </x:c>
      <x:c r="E360" s="5" t="inlineStr">
        <x:is>
          <x:t xml:space="preserve">muted</x:t>
        </x:is>
      </x:c>
      <x:c r="F360" s="6" t="inlineStr">
        <x:is>
          <x:t xml:space="preserve"/>
        </x:is>
      </x:c>
      <x:c r="G360" s="6" t="inlineStr">
        <x:is>
          <x:t xml:space="preserve">6</x:t>
        </x:is>
      </x:c>
      <x:c r="H360" s="5" t="inlineStr">
        <x:is>
          <x:t xml:space="preserve"/>
        </x:is>
      </x:c>
      <x:c r="I360" s="5" t="inlineStr">
        <x:is>
          <x:t xml:space="preserve"/>
        </x:is>
      </x:c>
      <x:c r="J360" s="5" t="inlineStr">
        <x:is>
          <x:t xml:space="preserve"/>
        </x:is>
      </x:c>
      <x:c r="K360" s="5" t="inlineStr">
        <x:is>
          <x:t xml:space="preserve"/>
        </x:is>
      </x:c>
      <x:c r="L360" s="5" t="inlineStr">
        <x:is>
          <x:t xml:space="preserve"/>
        </x:is>
      </x:c>
      <x:c r="M360" s="5" t="inlineStr">
        <x:is>
          <x:t xml:space="preserve"/>
        </x:is>
      </x:c>
      <x:c r="N360" s="5" t="inlineStr">
        <x:is>
          <x:t xml:space="preserve"/>
        </x:is>
      </x:c>
      <x:c r="O360" s="5" t="inlineStr">
        <x:is>
          <x:t xml:space="preserve"/>
        </x:is>
      </x:c>
      <x:c r="P360" s="5" t="inlineStr">
        <x:is>
          <x:t xml:space="preserve"/>
        </x:is>
      </x:c>
      <x:c r="Q360" s="5" t="inlineStr">
        <x:is>
          <x:t xml:space="preserve"/>
        </x:is>
      </x:c>
      <x:c r="R360" s="5">
        <x:f>IF(OR(F360="",G360=""),"",IF(F360&gt;=0.95*G360,1,0))</x:f>
      </x:c>
      <x:c r="S360" s="7">
        <x:f>IFERROR((I360+J360+K360)/F360,"")</x:f>
      </x:c>
      <x:c r="T360" s="5">
        <x:f>IFERROR(I360+J360+K360,"")</x:f>
        <x:v>0</x:v>
      </x:c>
    </x:row>
    <x:row r="361" ht="22" customHeight="1">
      <x:c r="A361" s="5" t="inlineStr">
        <x:is>
          <x:t xml:space="preserve">P030</x:t>
        </x:is>
      </x:c>
      <x:c r="B361" s="5" t="inlineStr">
        <x:is>
          <x:t xml:space="preserve">9</x:t>
        </x:is>
      </x:c>
      <x:c r="C361" s="5" t="inlineStr">
        <x:is>
          <x:t xml:space="preserve">V01_productivity_friction</x:t>
        </x:is>
      </x:c>
      <x:c r="D361" s="5" t="inlineStr">
        <x:is>
          <x:t xml:space="preserve">keyword_highlight</x:t>
        </x:is>
      </x:c>
      <x:c r="E361" s="5" t="inlineStr">
        <x:is>
          <x:t xml:space="preserve">audio_on</x:t>
        </x:is>
      </x:c>
      <x:c r="F361" s="6" t="inlineStr">
        <x:is>
          <x:t xml:space="preserve"/>
        </x:is>
      </x:c>
      <x:c r="G361" s="6" t="inlineStr">
        <x:is>
          <x:t xml:space="preserve">6</x:t>
        </x:is>
      </x:c>
      <x:c r="H361" s="5" t="inlineStr">
        <x:is>
          <x:t xml:space="preserve"/>
        </x:is>
      </x:c>
      <x:c r="I361" s="5" t="inlineStr">
        <x:is>
          <x:t xml:space="preserve"/>
        </x:is>
      </x:c>
      <x:c r="J361" s="5" t="inlineStr">
        <x:is>
          <x:t xml:space="preserve"/>
        </x:is>
      </x:c>
      <x:c r="K361" s="5" t="inlineStr">
        <x:is>
          <x:t xml:space="preserve"/>
        </x:is>
      </x:c>
      <x:c r="L361" s="5" t="inlineStr">
        <x:is>
          <x:t xml:space="preserve"/>
        </x:is>
      </x:c>
      <x:c r="M361" s="5" t="inlineStr">
        <x:is>
          <x:t xml:space="preserve"/>
        </x:is>
      </x:c>
      <x:c r="N361" s="5" t="inlineStr">
        <x:is>
          <x:t xml:space="preserve"/>
        </x:is>
      </x:c>
      <x:c r="O361" s="5" t="inlineStr">
        <x:is>
          <x:t xml:space="preserve"/>
        </x:is>
      </x:c>
      <x:c r="P361" s="5" t="inlineStr">
        <x:is>
          <x:t xml:space="preserve"/>
        </x:is>
      </x:c>
      <x:c r="Q361" s="5" t="inlineStr">
        <x:is>
          <x:t xml:space="preserve"/>
        </x:is>
      </x:c>
      <x:c r="R361" s="5">
        <x:f>IF(OR(F361="",G361=""),"",IF(F361&gt;=0.95*G361,1,0))</x:f>
      </x:c>
      <x:c r="S361" s="7">
        <x:f>IFERROR((I361+J361+K361)/F361,"")</x:f>
      </x:c>
      <x:c r="T361" s="5">
        <x:f>IFERROR(I361+J361+K361,"")</x:f>
        <x:v>0</x:v>
      </x:c>
    </x:row>
    <x:row r="362" ht="22" customHeight="1">
      <x:c r="A362" s="5" t="inlineStr">
        <x:is>
          <x:t xml:space="preserve">P030</x:t>
        </x:is>
      </x:c>
      <x:c r="B362" s="5" t="inlineStr">
        <x:is>
          <x:t xml:space="preserve">10</x:t>
        </x:is>
      </x:c>
      <x:c r="C362" s="5" t="inlineStr">
        <x:is>
          <x:t xml:space="preserve">V05_coding_assumptions</x:t>
        </x:is>
      </x:c>
      <x:c r="D362" s="5" t="inlineStr">
        <x:is>
          <x:t xml:space="preserve">semantic_compression</x:t>
        </x:is>
      </x:c>
      <x:c r="E362" s="5" t="inlineStr">
        <x:is>
          <x:t xml:space="preserve">muted</x:t>
        </x:is>
      </x:c>
      <x:c r="F362" s="6" t="inlineStr">
        <x:is>
          <x:t xml:space="preserve"/>
        </x:is>
      </x:c>
      <x:c r="G362" s="6" t="inlineStr">
        <x:is>
          <x:t xml:space="preserve">6</x:t>
        </x:is>
      </x:c>
      <x:c r="H362" s="5" t="inlineStr">
        <x:is>
          <x:t xml:space="preserve"/>
        </x:is>
      </x:c>
      <x:c r="I362" s="5" t="inlineStr">
        <x:is>
          <x:t xml:space="preserve"/>
        </x:is>
      </x:c>
      <x:c r="J362" s="5" t="inlineStr">
        <x:is>
          <x:t xml:space="preserve"/>
        </x:is>
      </x:c>
      <x:c r="K362" s="5" t="inlineStr">
        <x:is>
          <x:t xml:space="preserve"/>
        </x:is>
      </x:c>
      <x:c r="L362" s="5" t="inlineStr">
        <x:is>
          <x:t xml:space="preserve"/>
        </x:is>
      </x:c>
      <x:c r="M362" s="5" t="inlineStr">
        <x:is>
          <x:t xml:space="preserve"/>
        </x:is>
      </x:c>
      <x:c r="N362" s="5" t="inlineStr">
        <x:is>
          <x:t xml:space="preserve"/>
        </x:is>
      </x:c>
      <x:c r="O362" s="5" t="inlineStr">
        <x:is>
          <x:t xml:space="preserve"/>
        </x:is>
      </x:c>
      <x:c r="P362" s="5" t="inlineStr">
        <x:is>
          <x:t xml:space="preserve"/>
        </x:is>
      </x:c>
      <x:c r="Q362" s="5" t="inlineStr">
        <x:is>
          <x:t xml:space="preserve"/>
        </x:is>
      </x:c>
      <x:c r="R362" s="5">
        <x:f>IF(OR(F362="",G362=""),"",IF(F362&gt;=0.95*G362,1,0))</x:f>
      </x:c>
      <x:c r="S362" s="7">
        <x:f>IFERROR((I362+J362+K362)/F362,"")</x:f>
      </x:c>
      <x:c r="T362" s="5">
        <x:f>IFERROR(I362+J362+K362,"")</x:f>
        <x:v>0</x:v>
      </x:c>
    </x:row>
    <x:row r="363" ht="22" customHeight="1">
      <x:c r="A363" s="5" t="inlineStr">
        <x:is>
          <x:t xml:space="preserve">P030</x:t>
        </x:is>
      </x:c>
      <x:c r="B363" s="5" t="inlineStr">
        <x:is>
          <x:t xml:space="preserve">11</x:t>
        </x:is>
      </x:c>
      <x:c r="C363" s="5" t="inlineStr">
        <x:is>
          <x:t xml:space="preserve">V09_nutrition_satiety</x:t>
        </x:is>
      </x:c>
      <x:c r="D363" s="5" t="inlineStr">
        <x:is>
          <x:t xml:space="preserve">bcc</x:t>
        </x:is>
      </x:c>
      <x:c r="E363" s="5" t="inlineStr">
        <x:is>
          <x:t xml:space="preserve">audio_on</x:t>
        </x:is>
      </x:c>
      <x:c r="F363" s="6" t="inlineStr">
        <x:is>
          <x:t xml:space="preserve"/>
        </x:is>
      </x:c>
      <x:c r="G363" s="6" t="inlineStr">
        <x:is>
          <x:t xml:space="preserve">6</x:t>
        </x:is>
      </x:c>
      <x:c r="H363" s="5" t="inlineStr">
        <x:is>
          <x:t xml:space="preserve"/>
        </x:is>
      </x:c>
      <x:c r="I363" s="5" t="inlineStr">
        <x:is>
          <x:t xml:space="preserve"/>
        </x:is>
      </x:c>
      <x:c r="J363" s="5" t="inlineStr">
        <x:is>
          <x:t xml:space="preserve"/>
        </x:is>
      </x:c>
      <x:c r="K363" s="5" t="inlineStr">
        <x:is>
          <x:t xml:space="preserve"/>
        </x:is>
      </x:c>
      <x:c r="L363" s="5" t="inlineStr">
        <x:is>
          <x:t xml:space="preserve"/>
        </x:is>
      </x:c>
      <x:c r="M363" s="5" t="inlineStr">
        <x:is>
          <x:t xml:space="preserve"/>
        </x:is>
      </x:c>
      <x:c r="N363" s="5" t="inlineStr">
        <x:is>
          <x:t xml:space="preserve"/>
        </x:is>
      </x:c>
      <x:c r="O363" s="5" t="inlineStr">
        <x:is>
          <x:t xml:space="preserve"/>
        </x:is>
      </x:c>
      <x:c r="P363" s="5" t="inlineStr">
        <x:is>
          <x:t xml:space="preserve"/>
        </x:is>
      </x:c>
      <x:c r="Q363" s="5" t="inlineStr">
        <x:is>
          <x:t xml:space="preserve"/>
        </x:is>
      </x:c>
      <x:c r="R363" s="5">
        <x:f>IF(OR(F363="",G363=""),"",IF(F363&gt;=0.95*G363,1,0))</x:f>
      </x:c>
      <x:c r="S363" s="7">
        <x:f>IFERROR((I363+J363+K363)/F363,"")</x:f>
      </x:c>
      <x:c r="T363" s="5">
        <x:f>IFERROR(I363+J363+K363,"")</x:f>
        <x:v>0</x:v>
      </x:c>
    </x:row>
    <x:row r="364" ht="22" customHeight="1">
      <x:c r="A364" s="5" t="inlineStr">
        <x:is>
          <x:t xml:space="preserve">P030</x:t>
        </x:is>
      </x:c>
      <x:c r="B364" s="5" t="inlineStr">
        <x:is>
          <x:t xml:space="preserve">12</x:t>
        </x:is>
      </x:c>
      <x:c r="C364" s="5" t="inlineStr">
        <x:is>
          <x:t xml:space="preserve">V10_tutorial_ui</x:t>
        </x:is>
      </x:c>
      <x:c r="D364" s="5" t="inlineStr">
        <x:is>
          <x:t xml:space="preserve">bcc_plus</x:t>
        </x:is>
      </x:c>
      <x:c r="E364" s="5" t="inlineStr">
        <x:is>
          <x:t xml:space="preserve">muted</x:t>
        </x:is>
      </x:c>
      <x:c r="F364" s="6" t="inlineStr">
        <x:is>
          <x:t xml:space="preserve"/>
        </x:is>
      </x:c>
      <x:c r="G364" s="6" t="inlineStr">
        <x:is>
          <x:t xml:space="preserve">6</x:t>
        </x:is>
      </x:c>
      <x:c r="H364" s="5" t="inlineStr">
        <x:is>
          <x:t xml:space="preserve"/>
        </x:is>
      </x:c>
      <x:c r="I364" s="5" t="inlineStr">
        <x:is>
          <x:t xml:space="preserve"/>
        </x:is>
      </x:c>
      <x:c r="J364" s="5" t="inlineStr">
        <x:is>
          <x:t xml:space="preserve"/>
        </x:is>
      </x:c>
      <x:c r="K364" s="5" t="inlineStr">
        <x:is>
          <x:t xml:space="preserve"/>
        </x:is>
      </x:c>
      <x:c r="L364" s="5" t="inlineStr">
        <x:is>
          <x:t xml:space="preserve"/>
        </x:is>
      </x:c>
      <x:c r="M364" s="5" t="inlineStr">
        <x:is>
          <x:t xml:space="preserve"/>
        </x:is>
      </x:c>
      <x:c r="N364" s="5" t="inlineStr">
        <x:is>
          <x:t xml:space="preserve"/>
        </x:is>
      </x:c>
      <x:c r="O364" s="5" t="inlineStr">
        <x:is>
          <x:t xml:space="preserve"/>
        </x:is>
      </x:c>
      <x:c r="P364" s="5" t="inlineStr">
        <x:is>
          <x:t xml:space="preserve"/>
        </x:is>
      </x:c>
      <x:c r="Q364" s="5" t="inlineStr">
        <x:is>
          <x:t xml:space="preserve"/>
        </x:is>
      </x:c>
      <x:c r="R364" s="5">
        <x:f>IF(OR(F364="",G364=""),"",IF(F364&gt;=0.95*G364,1,0))</x:f>
      </x:c>
      <x:c r="S364" s="7">
        <x:f>IFERROR((I364+J364+K364)/F364,"")</x:f>
      </x:c>
      <x:c r="T364" s="5">
        <x:f>IFERROR(I364+J364+K364,"")</x:f>
        <x:v>0</x:v>
      </x:c>
    </x:row>
    <x:row r="365" ht="22" customHeight="1">
      <x:c r="A365" s="5" t="inlineStr">
        <x:is>
          <x:t xml:space="preserve">P031</x:t>
        </x:is>
      </x:c>
      <x:c r="B365" s="5" t="inlineStr">
        <x:is>
          <x:t xml:space="preserve">1</x:t>
        </x:is>
      </x:c>
      <x:c r="C365" s="5" t="inlineStr">
        <x:is>
          <x:t xml:space="preserve">V04_money_visibility</x:t>
        </x:is>
      </x:c>
      <x:c r="D365" s="5" t="inlineStr">
        <x:is>
          <x:t xml:space="preserve">full_transcript</x:t>
        </x:is>
      </x:c>
      <x:c r="E365" s="5" t="inlineStr">
        <x:is>
          <x:t xml:space="preserve">muted</x:t>
        </x:is>
      </x:c>
      <x:c r="F365" s="6" t="inlineStr">
        <x:is>
          <x:t xml:space="preserve"/>
        </x:is>
      </x:c>
      <x:c r="G365" s="6" t="inlineStr">
        <x:is>
          <x:t xml:space="preserve">6</x:t>
        </x:is>
      </x:c>
      <x:c r="H365" s="5" t="inlineStr">
        <x:is>
          <x:t xml:space="preserve"/>
        </x:is>
      </x:c>
      <x:c r="I365" s="5" t="inlineStr">
        <x:is>
          <x:t xml:space="preserve"/>
        </x:is>
      </x:c>
      <x:c r="J365" s="5" t="inlineStr">
        <x:is>
          <x:t xml:space="preserve"/>
        </x:is>
      </x:c>
      <x:c r="K365" s="5" t="inlineStr">
        <x:is>
          <x:t xml:space="preserve"/>
        </x:is>
      </x:c>
      <x:c r="L365" s="5" t="inlineStr">
        <x:is>
          <x:t xml:space="preserve"/>
        </x:is>
      </x:c>
      <x:c r="M365" s="5" t="inlineStr">
        <x:is>
          <x:t xml:space="preserve"/>
        </x:is>
      </x:c>
      <x:c r="N365" s="5" t="inlineStr">
        <x:is>
          <x:t xml:space="preserve"/>
        </x:is>
      </x:c>
      <x:c r="O365" s="5" t="inlineStr">
        <x:is>
          <x:t xml:space="preserve"/>
        </x:is>
      </x:c>
      <x:c r="P365" s="5" t="inlineStr">
        <x:is>
          <x:t xml:space="preserve"/>
        </x:is>
      </x:c>
      <x:c r="Q365" s="5" t="inlineStr">
        <x:is>
          <x:t xml:space="preserve"/>
        </x:is>
      </x:c>
      <x:c r="R365" s="5">
        <x:f>IF(OR(F365="",G365=""),"",IF(F365&gt;=0.95*G365,1,0))</x:f>
      </x:c>
      <x:c r="S365" s="7">
        <x:f>IFERROR((I365+J365+K365)/F365,"")</x:f>
      </x:c>
      <x:c r="T365" s="5">
        <x:f>IFERROR(I365+J365+K365,"")</x:f>
        <x:v>0</x:v>
      </x:c>
    </x:row>
    <x:row r="366" ht="22" customHeight="1">
      <x:c r="A366" s="5" t="inlineStr">
        <x:is>
          <x:t xml:space="preserve">P031</x:t>
        </x:is>
      </x:c>
      <x:c r="B366" s="5" t="inlineStr">
        <x:is>
          <x:t xml:space="preserve">2</x:t>
        </x:is>
      </x:c>
      <x:c r="C366" s="5" t="inlineStr">
        <x:is>
          <x:t xml:space="preserve">V10_tutorial_ui</x:t>
        </x:is>
      </x:c>
      <x:c r="D366" s="5" t="inlineStr">
        <x:is>
          <x:t xml:space="preserve">keyword_highlight</x:t>
        </x:is>
      </x:c>
      <x:c r="E366" s="5" t="inlineStr">
        <x:is>
          <x:t xml:space="preserve">audio_on</x:t>
        </x:is>
      </x:c>
      <x:c r="F366" s="6" t="inlineStr">
        <x:is>
          <x:t xml:space="preserve"/>
        </x:is>
      </x:c>
      <x:c r="G366" s="6" t="inlineStr">
        <x:is>
          <x:t xml:space="preserve">6</x:t>
        </x:is>
      </x:c>
      <x:c r="H366" s="5" t="inlineStr">
        <x:is>
          <x:t xml:space="preserve"/>
        </x:is>
      </x:c>
      <x:c r="I366" s="5" t="inlineStr">
        <x:is>
          <x:t xml:space="preserve"/>
        </x:is>
      </x:c>
      <x:c r="J366" s="5" t="inlineStr">
        <x:is>
          <x:t xml:space="preserve"/>
        </x:is>
      </x:c>
      <x:c r="K366" s="5" t="inlineStr">
        <x:is>
          <x:t xml:space="preserve"/>
        </x:is>
      </x:c>
      <x:c r="L366" s="5" t="inlineStr">
        <x:is>
          <x:t xml:space="preserve"/>
        </x:is>
      </x:c>
      <x:c r="M366" s="5" t="inlineStr">
        <x:is>
          <x:t xml:space="preserve"/>
        </x:is>
      </x:c>
      <x:c r="N366" s="5" t="inlineStr">
        <x:is>
          <x:t xml:space="preserve"/>
        </x:is>
      </x:c>
      <x:c r="O366" s="5" t="inlineStr">
        <x:is>
          <x:t xml:space="preserve"/>
        </x:is>
      </x:c>
      <x:c r="P366" s="5" t="inlineStr">
        <x:is>
          <x:t xml:space="preserve"/>
        </x:is>
      </x:c>
      <x:c r="Q366" s="5" t="inlineStr">
        <x:is>
          <x:t xml:space="preserve"/>
        </x:is>
      </x:c>
      <x:c r="R366" s="5">
        <x:f>IF(OR(F366="",G366=""),"",IF(F366&gt;=0.95*G366,1,0))</x:f>
      </x:c>
      <x:c r="S366" s="7">
        <x:f>IFERROR((I366+J366+K366)/F366,"")</x:f>
      </x:c>
      <x:c r="T366" s="5">
        <x:f>IFERROR(I366+J366+K366,"")</x:f>
        <x:v>0</x:v>
      </x:c>
    </x:row>
    <x:row r="367" ht="22" customHeight="1">
      <x:c r="A367" s="5" t="inlineStr">
        <x:is>
          <x:t xml:space="preserve">P031</x:t>
        </x:is>
      </x:c>
      <x:c r="B367" s="5" t="inlineStr">
        <x:is>
          <x:t xml:space="preserve">3</x:t>
        </x:is>
      </x:c>
      <x:c r="C367" s="5" t="inlineStr">
        <x:is>
          <x:t xml:space="preserve">V11_story_burnout</x:t>
        </x:is>
      </x:c>
      <x:c r="D367" s="5" t="inlineStr">
        <x:is>
          <x:t xml:space="preserve">semantic_compression</x:t>
        </x:is>
      </x:c>
      <x:c r="E367" s="5" t="inlineStr">
        <x:is>
          <x:t xml:space="preserve">muted</x:t>
        </x:is>
      </x:c>
      <x:c r="F367" s="6" t="inlineStr">
        <x:is>
          <x:t xml:space="preserve"/>
        </x:is>
      </x:c>
      <x:c r="G367" s="6" t="inlineStr">
        <x:is>
          <x:t xml:space="preserve">6</x:t>
        </x:is>
      </x:c>
      <x:c r="H367" s="5" t="inlineStr">
        <x:is>
          <x:t xml:space="preserve"/>
        </x:is>
      </x:c>
      <x:c r="I367" s="5" t="inlineStr">
        <x:is>
          <x:t xml:space="preserve"/>
        </x:is>
      </x:c>
      <x:c r="J367" s="5" t="inlineStr">
        <x:is>
          <x:t xml:space="preserve"/>
        </x:is>
      </x:c>
      <x:c r="K367" s="5" t="inlineStr">
        <x:is>
          <x:t xml:space="preserve"/>
        </x:is>
      </x:c>
      <x:c r="L367" s="5" t="inlineStr">
        <x:is>
          <x:t xml:space="preserve"/>
        </x:is>
      </x:c>
      <x:c r="M367" s="5" t="inlineStr">
        <x:is>
          <x:t xml:space="preserve"/>
        </x:is>
      </x:c>
      <x:c r="N367" s="5" t="inlineStr">
        <x:is>
          <x:t xml:space="preserve"/>
        </x:is>
      </x:c>
      <x:c r="O367" s="5" t="inlineStr">
        <x:is>
          <x:t xml:space="preserve"/>
        </x:is>
      </x:c>
      <x:c r="P367" s="5" t="inlineStr">
        <x:is>
          <x:t xml:space="preserve"/>
        </x:is>
      </x:c>
      <x:c r="Q367" s="5" t="inlineStr">
        <x:is>
          <x:t xml:space="preserve"/>
        </x:is>
      </x:c>
      <x:c r="R367" s="5">
        <x:f>IF(OR(F367="",G367=""),"",IF(F367&gt;=0.95*G367,1,0))</x:f>
      </x:c>
      <x:c r="S367" s="7">
        <x:f>IFERROR((I367+J367+K367)/F367,"")</x:f>
      </x:c>
      <x:c r="T367" s="5">
        <x:f>IFERROR(I367+J367+K367,"")</x:f>
        <x:v>0</x:v>
      </x:c>
    </x:row>
    <x:row r="368" ht="22" customHeight="1">
      <x:c r="A368" s="5" t="inlineStr">
        <x:is>
          <x:t xml:space="preserve">P031</x:t>
        </x:is>
      </x:c>
      <x:c r="B368" s="5" t="inlineStr">
        <x:is>
          <x:t xml:space="preserve">4</x:t>
        </x:is>
      </x:c>
      <x:c r="C368" s="5" t="inlineStr">
        <x:is>
          <x:t xml:space="preserve">V06_overload_open_loops</x:t>
        </x:is>
      </x:c>
      <x:c r="D368" s="5" t="inlineStr">
        <x:is>
          <x:t xml:space="preserve">bcc</x:t>
        </x:is>
      </x:c>
      <x:c r="E368" s="5" t="inlineStr">
        <x:is>
          <x:t xml:space="preserve">audio_on</x:t>
        </x:is>
      </x:c>
      <x:c r="F368" s="6" t="inlineStr">
        <x:is>
          <x:t xml:space="preserve"/>
        </x:is>
      </x:c>
      <x:c r="G368" s="6" t="inlineStr">
        <x:is>
          <x:t xml:space="preserve">6</x:t>
        </x:is>
      </x:c>
      <x:c r="H368" s="5" t="inlineStr">
        <x:is>
          <x:t xml:space="preserve"/>
        </x:is>
      </x:c>
      <x:c r="I368" s="5" t="inlineStr">
        <x:is>
          <x:t xml:space="preserve"/>
        </x:is>
      </x:c>
      <x:c r="J368" s="5" t="inlineStr">
        <x:is>
          <x:t xml:space="preserve"/>
        </x:is>
      </x:c>
      <x:c r="K368" s="5" t="inlineStr">
        <x:is>
          <x:t xml:space="preserve"/>
        </x:is>
      </x:c>
      <x:c r="L368" s="5" t="inlineStr">
        <x:is>
          <x:t xml:space="preserve"/>
        </x:is>
      </x:c>
      <x:c r="M368" s="5" t="inlineStr">
        <x:is>
          <x:t xml:space="preserve"/>
        </x:is>
      </x:c>
      <x:c r="N368" s="5" t="inlineStr">
        <x:is>
          <x:t xml:space="preserve"/>
        </x:is>
      </x:c>
      <x:c r="O368" s="5" t="inlineStr">
        <x:is>
          <x:t xml:space="preserve"/>
        </x:is>
      </x:c>
      <x:c r="P368" s="5" t="inlineStr">
        <x:is>
          <x:t xml:space="preserve"/>
        </x:is>
      </x:c>
      <x:c r="Q368" s="5" t="inlineStr">
        <x:is>
          <x:t xml:space="preserve"/>
        </x:is>
      </x:c>
      <x:c r="R368" s="5">
        <x:f>IF(OR(F368="",G368=""),"",IF(F368&gt;=0.95*G368,1,0))</x:f>
      </x:c>
      <x:c r="S368" s="7">
        <x:f>IFERROR((I368+J368+K368)/F368,"")</x:f>
      </x:c>
      <x:c r="T368" s="5">
        <x:f>IFERROR(I368+J368+K368,"")</x:f>
        <x:v>0</x:v>
      </x:c>
    </x:row>
    <x:row r="369" ht="22" customHeight="1">
      <x:c r="A369" s="5" t="inlineStr">
        <x:is>
          <x:t xml:space="preserve">P031</x:t>
        </x:is>
      </x:c>
      <x:c r="B369" s="5" t="inlineStr">
        <x:is>
          <x:t xml:space="preserve">5</x:t>
        </x:is>
      </x:c>
      <x:c r="C369" s="5" t="inlineStr">
        <x:is>
          <x:t xml:space="preserve">V02_study_recall</x:t>
        </x:is>
      </x:c>
      <x:c r="D369" s="5" t="inlineStr">
        <x:is>
          <x:t xml:space="preserve">bcc_plus</x:t>
        </x:is>
      </x:c>
      <x:c r="E369" s="5" t="inlineStr">
        <x:is>
          <x:t xml:space="preserve">muted</x:t>
        </x:is>
      </x:c>
      <x:c r="F369" s="6" t="inlineStr">
        <x:is>
          <x:t xml:space="preserve"/>
        </x:is>
      </x:c>
      <x:c r="G369" s="6" t="inlineStr">
        <x:is>
          <x:t xml:space="preserve">6</x:t>
        </x:is>
      </x:c>
      <x:c r="H369" s="5" t="inlineStr">
        <x:is>
          <x:t xml:space="preserve"/>
        </x:is>
      </x:c>
      <x:c r="I369" s="5" t="inlineStr">
        <x:is>
          <x:t xml:space="preserve"/>
        </x:is>
      </x:c>
      <x:c r="J369" s="5" t="inlineStr">
        <x:is>
          <x:t xml:space="preserve"/>
        </x:is>
      </x:c>
      <x:c r="K369" s="5" t="inlineStr">
        <x:is>
          <x:t xml:space="preserve"/>
        </x:is>
      </x:c>
      <x:c r="L369" s="5" t="inlineStr">
        <x:is>
          <x:t xml:space="preserve"/>
        </x:is>
      </x:c>
      <x:c r="M369" s="5" t="inlineStr">
        <x:is>
          <x:t xml:space="preserve"/>
        </x:is>
      </x:c>
      <x:c r="N369" s="5" t="inlineStr">
        <x:is>
          <x:t xml:space="preserve"/>
        </x:is>
      </x:c>
      <x:c r="O369" s="5" t="inlineStr">
        <x:is>
          <x:t xml:space="preserve"/>
        </x:is>
      </x:c>
      <x:c r="P369" s="5" t="inlineStr">
        <x:is>
          <x:t xml:space="preserve"/>
        </x:is>
      </x:c>
      <x:c r="Q369" s="5" t="inlineStr">
        <x:is>
          <x:t xml:space="preserve"/>
        </x:is>
      </x:c>
      <x:c r="R369" s="5">
        <x:f>IF(OR(F369="",G369=""),"",IF(F369&gt;=0.95*G369,1,0))</x:f>
      </x:c>
      <x:c r="S369" s="7">
        <x:f>IFERROR((I369+J369+K369)/F369,"")</x:f>
      </x:c>
      <x:c r="T369" s="5">
        <x:f>IFERROR(I369+J369+K369,"")</x:f>
        <x:v>0</x:v>
      </x:c>
    </x:row>
    <x:row r="370" ht="22" customHeight="1">
      <x:c r="A370" s="5" t="inlineStr">
        <x:is>
          <x:t xml:space="preserve">P031</x:t>
        </x:is>
      </x:c>
      <x:c r="B370" s="5" t="inlineStr">
        <x:is>
          <x:t xml:space="preserve">6</x:t>
        </x:is>
      </x:c>
      <x:c r="C370" s="5" t="inlineStr">
        <x:is>
          <x:t xml:space="preserve">V03_fitness_setup</x:t>
        </x:is>
      </x:c>
      <x:c r="D370" s="5" t="inlineStr">
        <x:is>
          <x:t xml:space="preserve">heavy_bionic</x:t>
        </x:is>
      </x:c>
      <x:c r="E370" s="5" t="inlineStr">
        <x:is>
          <x:t xml:space="preserve">audio_on</x:t>
        </x:is>
      </x:c>
      <x:c r="F370" s="6" t="inlineStr">
        <x:is>
          <x:t xml:space="preserve"/>
        </x:is>
      </x:c>
      <x:c r="G370" s="6" t="inlineStr">
        <x:is>
          <x:t xml:space="preserve">6</x:t>
        </x:is>
      </x:c>
      <x:c r="H370" s="5" t="inlineStr">
        <x:is>
          <x:t xml:space="preserve"/>
        </x:is>
      </x:c>
      <x:c r="I370" s="5" t="inlineStr">
        <x:is>
          <x:t xml:space="preserve"/>
        </x:is>
      </x:c>
      <x:c r="J370" s="5" t="inlineStr">
        <x:is>
          <x:t xml:space="preserve"/>
        </x:is>
      </x:c>
      <x:c r="K370" s="5" t="inlineStr">
        <x:is>
          <x:t xml:space="preserve"/>
        </x:is>
      </x:c>
      <x:c r="L370" s="5" t="inlineStr">
        <x:is>
          <x:t xml:space="preserve"/>
        </x:is>
      </x:c>
      <x:c r="M370" s="5" t="inlineStr">
        <x:is>
          <x:t xml:space="preserve"/>
        </x:is>
      </x:c>
      <x:c r="N370" s="5" t="inlineStr">
        <x:is>
          <x:t xml:space="preserve"/>
        </x:is>
      </x:c>
      <x:c r="O370" s="5" t="inlineStr">
        <x:is>
          <x:t xml:space="preserve"/>
        </x:is>
      </x:c>
      <x:c r="P370" s="5" t="inlineStr">
        <x:is>
          <x:t xml:space="preserve"/>
        </x:is>
      </x:c>
      <x:c r="Q370" s="5" t="inlineStr">
        <x:is>
          <x:t xml:space="preserve"/>
        </x:is>
      </x:c>
      <x:c r="R370" s="5">
        <x:f>IF(OR(F370="",G370=""),"",IF(F370&gt;=0.95*G370,1,0))</x:f>
      </x:c>
      <x:c r="S370" s="7">
        <x:f>IFERROR((I370+J370+K370)/F370,"")</x:f>
      </x:c>
      <x:c r="T370" s="5">
        <x:f>IFERROR(I370+J370+K370,"")</x:f>
        <x:v>0</x:v>
      </x:c>
    </x:row>
    <x:row r="371" ht="22" customHeight="1">
      <x:c r="A371" s="5" t="inlineStr">
        <x:is>
          <x:t xml:space="preserve">P031</x:t>
        </x:is>
      </x:c>
      <x:c r="B371" s="5" t="inlineStr">
        <x:is>
          <x:t xml:space="preserve">7</x:t>
        </x:is>
      </x:c>
      <x:c r="C371" s="5" t="inlineStr">
        <x:is>
          <x:t xml:space="preserve">V01_productivity_friction</x:t>
        </x:is>
      </x:c>
      <x:c r="D371" s="5" t="inlineStr">
        <x:is>
          <x:t xml:space="preserve">full_transcript</x:t>
        </x:is>
      </x:c>
      <x:c r="E371" s="5" t="inlineStr">
        <x:is>
          <x:t xml:space="preserve">muted</x:t>
        </x:is>
      </x:c>
      <x:c r="F371" s="6" t="inlineStr">
        <x:is>
          <x:t xml:space="preserve"/>
        </x:is>
      </x:c>
      <x:c r="G371" s="6" t="inlineStr">
        <x:is>
          <x:t xml:space="preserve">6</x:t>
        </x:is>
      </x:c>
      <x:c r="H371" s="5" t="inlineStr">
        <x:is>
          <x:t xml:space="preserve"/>
        </x:is>
      </x:c>
      <x:c r="I371" s="5" t="inlineStr">
        <x:is>
          <x:t xml:space="preserve"/>
        </x:is>
      </x:c>
      <x:c r="J371" s="5" t="inlineStr">
        <x:is>
          <x:t xml:space="preserve"/>
        </x:is>
      </x:c>
      <x:c r="K371" s="5" t="inlineStr">
        <x:is>
          <x:t xml:space="preserve"/>
        </x:is>
      </x:c>
      <x:c r="L371" s="5" t="inlineStr">
        <x:is>
          <x:t xml:space="preserve"/>
        </x:is>
      </x:c>
      <x:c r="M371" s="5" t="inlineStr">
        <x:is>
          <x:t xml:space="preserve"/>
        </x:is>
      </x:c>
      <x:c r="N371" s="5" t="inlineStr">
        <x:is>
          <x:t xml:space="preserve"/>
        </x:is>
      </x:c>
      <x:c r="O371" s="5" t="inlineStr">
        <x:is>
          <x:t xml:space="preserve"/>
        </x:is>
      </x:c>
      <x:c r="P371" s="5" t="inlineStr">
        <x:is>
          <x:t xml:space="preserve"/>
        </x:is>
      </x:c>
      <x:c r="Q371" s="5" t="inlineStr">
        <x:is>
          <x:t xml:space="preserve"/>
        </x:is>
      </x:c>
      <x:c r="R371" s="5">
        <x:f>IF(OR(F371="",G371=""),"",IF(F371&gt;=0.95*G371,1,0))</x:f>
      </x:c>
      <x:c r="S371" s="7">
        <x:f>IFERROR((I371+J371+K371)/F371,"")</x:f>
      </x:c>
      <x:c r="T371" s="5">
        <x:f>IFERROR(I371+J371+K371,"")</x:f>
        <x:v>0</x:v>
      </x:c>
    </x:row>
    <x:row r="372" ht="22" customHeight="1">
      <x:c r="A372" s="5" t="inlineStr">
        <x:is>
          <x:t xml:space="preserve">P031</x:t>
        </x:is>
      </x:c>
      <x:c r="B372" s="5" t="inlineStr">
        <x:is>
          <x:t xml:space="preserve">8</x:t>
        </x:is>
      </x:c>
      <x:c r="C372" s="5" t="inlineStr">
        <x:is>
          <x:t xml:space="preserve">V12_creativity_constraints</x:t>
        </x:is>
      </x:c>
      <x:c r="D372" s="5" t="inlineStr">
        <x:is>
          <x:t xml:space="preserve">keyword_highlight</x:t>
        </x:is>
      </x:c>
      <x:c r="E372" s="5" t="inlineStr">
        <x:is>
          <x:t xml:space="preserve">audio_on</x:t>
        </x:is>
      </x:c>
      <x:c r="F372" s="6" t="inlineStr">
        <x:is>
          <x:t xml:space="preserve"/>
        </x:is>
      </x:c>
      <x:c r="G372" s="6" t="inlineStr">
        <x:is>
          <x:t xml:space="preserve">6</x:t>
        </x:is>
      </x:c>
      <x:c r="H372" s="5" t="inlineStr">
        <x:is>
          <x:t xml:space="preserve"/>
        </x:is>
      </x:c>
      <x:c r="I372" s="5" t="inlineStr">
        <x:is>
          <x:t xml:space="preserve"/>
        </x:is>
      </x:c>
      <x:c r="J372" s="5" t="inlineStr">
        <x:is>
          <x:t xml:space="preserve"/>
        </x:is>
      </x:c>
      <x:c r="K372" s="5" t="inlineStr">
        <x:is>
          <x:t xml:space="preserve"/>
        </x:is>
      </x:c>
      <x:c r="L372" s="5" t="inlineStr">
        <x:is>
          <x:t xml:space="preserve"/>
        </x:is>
      </x:c>
      <x:c r="M372" s="5" t="inlineStr">
        <x:is>
          <x:t xml:space="preserve"/>
        </x:is>
      </x:c>
      <x:c r="N372" s="5" t="inlineStr">
        <x:is>
          <x:t xml:space="preserve"/>
        </x:is>
      </x:c>
      <x:c r="O372" s="5" t="inlineStr">
        <x:is>
          <x:t xml:space="preserve"/>
        </x:is>
      </x:c>
      <x:c r="P372" s="5" t="inlineStr">
        <x:is>
          <x:t xml:space="preserve"/>
        </x:is>
      </x:c>
      <x:c r="Q372" s="5" t="inlineStr">
        <x:is>
          <x:t xml:space="preserve"/>
        </x:is>
      </x:c>
      <x:c r="R372" s="5">
        <x:f>IF(OR(F372="",G372=""),"",IF(F372&gt;=0.95*G372,1,0))</x:f>
      </x:c>
      <x:c r="S372" s="7">
        <x:f>IFERROR((I372+J372+K372)/F372,"")</x:f>
      </x:c>
      <x:c r="T372" s="5">
        <x:f>IFERROR(I372+J372+K372,"")</x:f>
        <x:v>0</x:v>
      </x:c>
    </x:row>
    <x:row r="373" ht="22" customHeight="1">
      <x:c r="A373" s="5" t="inlineStr">
        <x:is>
          <x:t xml:space="preserve">P031</x:t>
        </x:is>
      </x:c>
      <x:c r="B373" s="5" t="inlineStr">
        <x:is>
          <x:t xml:space="preserve">9</x:t>
        </x:is>
      </x:c>
      <x:c r="C373" s="5" t="inlineStr">
        <x:is>
          <x:t xml:space="preserve">V08_calendar_system</x:t>
        </x:is>
      </x:c>
      <x:c r="D373" s="5" t="inlineStr">
        <x:is>
          <x:t xml:space="preserve">semantic_compression</x:t>
        </x:is>
      </x:c>
      <x:c r="E373" s="5" t="inlineStr">
        <x:is>
          <x:t xml:space="preserve">muted</x:t>
        </x:is>
      </x:c>
      <x:c r="F373" s="6" t="inlineStr">
        <x:is>
          <x:t xml:space="preserve"/>
        </x:is>
      </x:c>
      <x:c r="G373" s="6" t="inlineStr">
        <x:is>
          <x:t xml:space="preserve">6</x:t>
        </x:is>
      </x:c>
      <x:c r="H373" s="5" t="inlineStr">
        <x:is>
          <x:t xml:space="preserve"/>
        </x:is>
      </x:c>
      <x:c r="I373" s="5" t="inlineStr">
        <x:is>
          <x:t xml:space="preserve"/>
        </x:is>
      </x:c>
      <x:c r="J373" s="5" t="inlineStr">
        <x:is>
          <x:t xml:space="preserve"/>
        </x:is>
      </x:c>
      <x:c r="K373" s="5" t="inlineStr">
        <x:is>
          <x:t xml:space="preserve"/>
        </x:is>
      </x:c>
      <x:c r="L373" s="5" t="inlineStr">
        <x:is>
          <x:t xml:space="preserve"/>
        </x:is>
      </x:c>
      <x:c r="M373" s="5" t="inlineStr">
        <x:is>
          <x:t xml:space="preserve"/>
        </x:is>
      </x:c>
      <x:c r="N373" s="5" t="inlineStr">
        <x:is>
          <x:t xml:space="preserve"/>
        </x:is>
      </x:c>
      <x:c r="O373" s="5" t="inlineStr">
        <x:is>
          <x:t xml:space="preserve"/>
        </x:is>
      </x:c>
      <x:c r="P373" s="5" t="inlineStr">
        <x:is>
          <x:t xml:space="preserve"/>
        </x:is>
      </x:c>
      <x:c r="Q373" s="5" t="inlineStr">
        <x:is>
          <x:t xml:space="preserve"/>
        </x:is>
      </x:c>
      <x:c r="R373" s="5">
        <x:f>IF(OR(F373="",G373=""),"",IF(F373&gt;=0.95*G373,1,0))</x:f>
      </x:c>
      <x:c r="S373" s="7">
        <x:f>IFERROR((I373+J373+K373)/F373,"")</x:f>
      </x:c>
      <x:c r="T373" s="5">
        <x:f>IFERROR(I373+J373+K373,"")</x:f>
        <x:v>0</x:v>
      </x:c>
    </x:row>
    <x:row r="374" ht="22" customHeight="1">
      <x:c r="A374" s="5" t="inlineStr">
        <x:is>
          <x:t xml:space="preserve">P031</x:t>
        </x:is>
      </x:c>
      <x:c r="B374" s="5" t="inlineStr">
        <x:is>
          <x:t xml:space="preserve">10</x:t>
        </x:is>
      </x:c>
      <x:c r="C374" s="5" t="inlineStr">
        <x:is>
          <x:t xml:space="preserve">V05_coding_assumptions</x:t>
        </x:is>
      </x:c>
      <x:c r="D374" s="5" t="inlineStr">
        <x:is>
          <x:t xml:space="preserve">bcc</x:t>
        </x:is>
      </x:c>
      <x:c r="E374" s="5" t="inlineStr">
        <x:is>
          <x:t xml:space="preserve">audio_on</x:t>
        </x:is>
      </x:c>
      <x:c r="F374" s="6" t="inlineStr">
        <x:is>
          <x:t xml:space="preserve"/>
        </x:is>
      </x:c>
      <x:c r="G374" s="6" t="inlineStr">
        <x:is>
          <x:t xml:space="preserve">6</x:t>
        </x:is>
      </x:c>
      <x:c r="H374" s="5" t="inlineStr">
        <x:is>
          <x:t xml:space="preserve"/>
        </x:is>
      </x:c>
      <x:c r="I374" s="5" t="inlineStr">
        <x:is>
          <x:t xml:space="preserve"/>
        </x:is>
      </x:c>
      <x:c r="J374" s="5" t="inlineStr">
        <x:is>
          <x:t xml:space="preserve"/>
        </x:is>
      </x:c>
      <x:c r="K374" s="5" t="inlineStr">
        <x:is>
          <x:t xml:space="preserve"/>
        </x:is>
      </x:c>
      <x:c r="L374" s="5" t="inlineStr">
        <x:is>
          <x:t xml:space="preserve"/>
        </x:is>
      </x:c>
      <x:c r="M374" s="5" t="inlineStr">
        <x:is>
          <x:t xml:space="preserve"/>
        </x:is>
      </x:c>
      <x:c r="N374" s="5" t="inlineStr">
        <x:is>
          <x:t xml:space="preserve"/>
        </x:is>
      </x:c>
      <x:c r="O374" s="5" t="inlineStr">
        <x:is>
          <x:t xml:space="preserve"/>
        </x:is>
      </x:c>
      <x:c r="P374" s="5" t="inlineStr">
        <x:is>
          <x:t xml:space="preserve"/>
        </x:is>
      </x:c>
      <x:c r="Q374" s="5" t="inlineStr">
        <x:is>
          <x:t xml:space="preserve"/>
        </x:is>
      </x:c>
      <x:c r="R374" s="5">
        <x:f>IF(OR(F374="",G374=""),"",IF(F374&gt;=0.95*G374,1,0))</x:f>
      </x:c>
      <x:c r="S374" s="7">
        <x:f>IFERROR((I374+J374+K374)/F374,"")</x:f>
      </x:c>
      <x:c r="T374" s="5">
        <x:f>IFERROR(I374+J374+K374,"")</x:f>
        <x:v>0</x:v>
      </x:c>
    </x:row>
    <x:row r="375" ht="22" customHeight="1">
      <x:c r="A375" s="5" t="inlineStr">
        <x:is>
          <x:t xml:space="preserve">P031</x:t>
        </x:is>
      </x:c>
      <x:c r="B375" s="5" t="inlineStr">
        <x:is>
          <x:t xml:space="preserve">11</x:t>
        </x:is>
      </x:c>
      <x:c r="C375" s="5" t="inlineStr">
        <x:is>
          <x:t xml:space="preserve">V07_business_clarity</x:t>
        </x:is>
      </x:c>
      <x:c r="D375" s="5" t="inlineStr">
        <x:is>
          <x:t xml:space="preserve">bcc_plus</x:t>
        </x:is>
      </x:c>
      <x:c r="E375" s="5" t="inlineStr">
        <x:is>
          <x:t xml:space="preserve">muted</x:t>
        </x:is>
      </x:c>
      <x:c r="F375" s="6" t="inlineStr">
        <x:is>
          <x:t xml:space="preserve"/>
        </x:is>
      </x:c>
      <x:c r="G375" s="6" t="inlineStr">
        <x:is>
          <x:t xml:space="preserve">6</x:t>
        </x:is>
      </x:c>
      <x:c r="H375" s="5" t="inlineStr">
        <x:is>
          <x:t xml:space="preserve"/>
        </x:is>
      </x:c>
      <x:c r="I375" s="5" t="inlineStr">
        <x:is>
          <x:t xml:space="preserve"/>
        </x:is>
      </x:c>
      <x:c r="J375" s="5" t="inlineStr">
        <x:is>
          <x:t xml:space="preserve"/>
        </x:is>
      </x:c>
      <x:c r="K375" s="5" t="inlineStr">
        <x:is>
          <x:t xml:space="preserve"/>
        </x:is>
      </x:c>
      <x:c r="L375" s="5" t="inlineStr">
        <x:is>
          <x:t xml:space="preserve"/>
        </x:is>
      </x:c>
      <x:c r="M375" s="5" t="inlineStr">
        <x:is>
          <x:t xml:space="preserve"/>
        </x:is>
      </x:c>
      <x:c r="N375" s="5" t="inlineStr">
        <x:is>
          <x:t xml:space="preserve"/>
        </x:is>
      </x:c>
      <x:c r="O375" s="5" t="inlineStr">
        <x:is>
          <x:t xml:space="preserve"/>
        </x:is>
      </x:c>
      <x:c r="P375" s="5" t="inlineStr">
        <x:is>
          <x:t xml:space="preserve"/>
        </x:is>
      </x:c>
      <x:c r="Q375" s="5" t="inlineStr">
        <x:is>
          <x:t xml:space="preserve"/>
        </x:is>
      </x:c>
      <x:c r="R375" s="5">
        <x:f>IF(OR(F375="",G375=""),"",IF(F375&gt;=0.95*G375,1,0))</x:f>
      </x:c>
      <x:c r="S375" s="7">
        <x:f>IFERROR((I375+J375+K375)/F375,"")</x:f>
      </x:c>
      <x:c r="T375" s="5">
        <x:f>IFERROR(I375+J375+K375,"")</x:f>
        <x:v>0</x:v>
      </x:c>
    </x:row>
    <x:row r="376" ht="22" customHeight="1">
      <x:c r="A376" s="5" t="inlineStr">
        <x:is>
          <x:t xml:space="preserve">P031</x:t>
        </x:is>
      </x:c>
      <x:c r="B376" s="5" t="inlineStr">
        <x:is>
          <x:t xml:space="preserve">12</x:t>
        </x:is>
      </x:c>
      <x:c r="C376" s="5" t="inlineStr">
        <x:is>
          <x:t xml:space="preserve">V09_nutrition_satiety</x:t>
        </x:is>
      </x:c>
      <x:c r="D376" s="5" t="inlineStr">
        <x:is>
          <x:t xml:space="preserve">heavy_bionic</x:t>
        </x:is>
      </x:c>
      <x:c r="E376" s="5" t="inlineStr">
        <x:is>
          <x:t xml:space="preserve">audio_on</x:t>
        </x:is>
      </x:c>
      <x:c r="F376" s="6" t="inlineStr">
        <x:is>
          <x:t xml:space="preserve"/>
        </x:is>
      </x:c>
      <x:c r="G376" s="6" t="inlineStr">
        <x:is>
          <x:t xml:space="preserve">6</x:t>
        </x:is>
      </x:c>
      <x:c r="H376" s="5" t="inlineStr">
        <x:is>
          <x:t xml:space="preserve"/>
        </x:is>
      </x:c>
      <x:c r="I376" s="5" t="inlineStr">
        <x:is>
          <x:t xml:space="preserve"/>
        </x:is>
      </x:c>
      <x:c r="J376" s="5" t="inlineStr">
        <x:is>
          <x:t xml:space="preserve"/>
        </x:is>
      </x:c>
      <x:c r="K376" s="5" t="inlineStr">
        <x:is>
          <x:t xml:space="preserve"/>
        </x:is>
      </x:c>
      <x:c r="L376" s="5" t="inlineStr">
        <x:is>
          <x:t xml:space="preserve"/>
        </x:is>
      </x:c>
      <x:c r="M376" s="5" t="inlineStr">
        <x:is>
          <x:t xml:space="preserve"/>
        </x:is>
      </x:c>
      <x:c r="N376" s="5" t="inlineStr">
        <x:is>
          <x:t xml:space="preserve"/>
        </x:is>
      </x:c>
      <x:c r="O376" s="5" t="inlineStr">
        <x:is>
          <x:t xml:space="preserve"/>
        </x:is>
      </x:c>
      <x:c r="P376" s="5" t="inlineStr">
        <x:is>
          <x:t xml:space="preserve"/>
        </x:is>
      </x:c>
      <x:c r="Q376" s="5" t="inlineStr">
        <x:is>
          <x:t xml:space="preserve"/>
        </x:is>
      </x:c>
      <x:c r="R376" s="5">
        <x:f>IF(OR(F376="",G376=""),"",IF(F376&gt;=0.95*G376,1,0))</x:f>
      </x:c>
      <x:c r="S376" s="7">
        <x:f>IFERROR((I376+J376+K376)/F376,"")</x:f>
      </x:c>
      <x:c r="T376" s="5">
        <x:f>IFERROR(I376+J376+K376,"")</x:f>
        <x:v>0</x:v>
      </x:c>
    </x:row>
    <x:row r="377" ht="22" customHeight="1">
      <x:c r="A377" s="5" t="inlineStr">
        <x:is>
          <x:t xml:space="preserve">P032</x:t>
        </x:is>
      </x:c>
      <x:c r="B377" s="5" t="inlineStr">
        <x:is>
          <x:t xml:space="preserve">1</x:t>
        </x:is>
      </x:c>
      <x:c r="C377" s="5" t="inlineStr">
        <x:is>
          <x:t xml:space="preserve">V08_calendar_system</x:t>
        </x:is>
      </x:c>
      <x:c r="D377" s="5" t="inlineStr">
        <x:is>
          <x:t xml:space="preserve">keyword_highlight</x:t>
        </x:is>
      </x:c>
      <x:c r="E377" s="5" t="inlineStr">
        <x:is>
          <x:t xml:space="preserve">audio_on</x:t>
        </x:is>
      </x:c>
      <x:c r="F377" s="6" t="inlineStr">
        <x:is>
          <x:t xml:space="preserve"/>
        </x:is>
      </x:c>
      <x:c r="G377" s="6" t="inlineStr">
        <x:is>
          <x:t xml:space="preserve">6</x:t>
        </x:is>
      </x:c>
      <x:c r="H377" s="5" t="inlineStr">
        <x:is>
          <x:t xml:space="preserve"/>
        </x:is>
      </x:c>
      <x:c r="I377" s="5" t="inlineStr">
        <x:is>
          <x:t xml:space="preserve"/>
        </x:is>
      </x:c>
      <x:c r="J377" s="5" t="inlineStr">
        <x:is>
          <x:t xml:space="preserve"/>
        </x:is>
      </x:c>
      <x:c r="K377" s="5" t="inlineStr">
        <x:is>
          <x:t xml:space="preserve"/>
        </x:is>
      </x:c>
      <x:c r="L377" s="5" t="inlineStr">
        <x:is>
          <x:t xml:space="preserve"/>
        </x:is>
      </x:c>
      <x:c r="M377" s="5" t="inlineStr">
        <x:is>
          <x:t xml:space="preserve"/>
        </x:is>
      </x:c>
      <x:c r="N377" s="5" t="inlineStr">
        <x:is>
          <x:t xml:space="preserve"/>
        </x:is>
      </x:c>
      <x:c r="O377" s="5" t="inlineStr">
        <x:is>
          <x:t xml:space="preserve"/>
        </x:is>
      </x:c>
      <x:c r="P377" s="5" t="inlineStr">
        <x:is>
          <x:t xml:space="preserve"/>
        </x:is>
      </x:c>
      <x:c r="Q377" s="5" t="inlineStr">
        <x:is>
          <x:t xml:space="preserve"/>
        </x:is>
      </x:c>
      <x:c r="R377" s="5">
        <x:f>IF(OR(F377="",G377=""),"",IF(F377&gt;=0.95*G377,1,0))</x:f>
      </x:c>
      <x:c r="S377" s="7">
        <x:f>IFERROR((I377+J377+K377)/F377,"")</x:f>
      </x:c>
      <x:c r="T377" s="5">
        <x:f>IFERROR(I377+J377+K377,"")</x:f>
        <x:v>0</x:v>
      </x:c>
    </x:row>
    <x:row r="378" ht="22" customHeight="1">
      <x:c r="A378" s="5" t="inlineStr">
        <x:is>
          <x:t xml:space="preserve">P032</x:t>
        </x:is>
      </x:c>
      <x:c r="B378" s="5" t="inlineStr">
        <x:is>
          <x:t xml:space="preserve">2</x:t>
        </x:is>
      </x:c>
      <x:c r="C378" s="5" t="inlineStr">
        <x:is>
          <x:t xml:space="preserve">V05_coding_assumptions</x:t>
        </x:is>
      </x:c>
      <x:c r="D378" s="5" t="inlineStr">
        <x:is>
          <x:t xml:space="preserve">semantic_compression</x:t>
        </x:is>
      </x:c>
      <x:c r="E378" s="5" t="inlineStr">
        <x:is>
          <x:t xml:space="preserve">muted</x:t>
        </x:is>
      </x:c>
      <x:c r="F378" s="6" t="inlineStr">
        <x:is>
          <x:t xml:space="preserve"/>
        </x:is>
      </x:c>
      <x:c r="G378" s="6" t="inlineStr">
        <x:is>
          <x:t xml:space="preserve">6</x:t>
        </x:is>
      </x:c>
      <x:c r="H378" s="5" t="inlineStr">
        <x:is>
          <x:t xml:space="preserve"/>
        </x:is>
      </x:c>
      <x:c r="I378" s="5" t="inlineStr">
        <x:is>
          <x:t xml:space="preserve"/>
        </x:is>
      </x:c>
      <x:c r="J378" s="5" t="inlineStr">
        <x:is>
          <x:t xml:space="preserve"/>
        </x:is>
      </x:c>
      <x:c r="K378" s="5" t="inlineStr">
        <x:is>
          <x:t xml:space="preserve"/>
        </x:is>
      </x:c>
      <x:c r="L378" s="5" t="inlineStr">
        <x:is>
          <x:t xml:space="preserve"/>
        </x:is>
      </x:c>
      <x:c r="M378" s="5" t="inlineStr">
        <x:is>
          <x:t xml:space="preserve"/>
        </x:is>
      </x:c>
      <x:c r="N378" s="5" t="inlineStr">
        <x:is>
          <x:t xml:space="preserve"/>
        </x:is>
      </x:c>
      <x:c r="O378" s="5" t="inlineStr">
        <x:is>
          <x:t xml:space="preserve"/>
        </x:is>
      </x:c>
      <x:c r="P378" s="5" t="inlineStr">
        <x:is>
          <x:t xml:space="preserve"/>
        </x:is>
      </x:c>
      <x:c r="Q378" s="5" t="inlineStr">
        <x:is>
          <x:t xml:space="preserve"/>
        </x:is>
      </x:c>
      <x:c r="R378" s="5">
        <x:f>IF(OR(F378="",G378=""),"",IF(F378&gt;=0.95*G378,1,0))</x:f>
      </x:c>
      <x:c r="S378" s="7">
        <x:f>IFERROR((I378+J378+K378)/F378,"")</x:f>
      </x:c>
      <x:c r="T378" s="5">
        <x:f>IFERROR(I378+J378+K378,"")</x:f>
        <x:v>0</x:v>
      </x:c>
    </x:row>
    <x:row r="379" ht="22" customHeight="1">
      <x:c r="A379" s="5" t="inlineStr">
        <x:is>
          <x:t xml:space="preserve">P032</x:t>
        </x:is>
      </x:c>
      <x:c r="B379" s="5" t="inlineStr">
        <x:is>
          <x:t xml:space="preserve">3</x:t>
        </x:is>
      </x:c>
      <x:c r="C379" s="5" t="inlineStr">
        <x:is>
          <x:t xml:space="preserve">V10_tutorial_ui</x:t>
        </x:is>
      </x:c>
      <x:c r="D379" s="5" t="inlineStr">
        <x:is>
          <x:t xml:space="preserve">bcc</x:t>
        </x:is>
      </x:c>
      <x:c r="E379" s="5" t="inlineStr">
        <x:is>
          <x:t xml:space="preserve">audio_on</x:t>
        </x:is>
      </x:c>
      <x:c r="F379" s="6" t="inlineStr">
        <x:is>
          <x:t xml:space="preserve"/>
        </x:is>
      </x:c>
      <x:c r="G379" s="6" t="inlineStr">
        <x:is>
          <x:t xml:space="preserve">6</x:t>
        </x:is>
      </x:c>
      <x:c r="H379" s="5" t="inlineStr">
        <x:is>
          <x:t xml:space="preserve"/>
        </x:is>
      </x:c>
      <x:c r="I379" s="5" t="inlineStr">
        <x:is>
          <x:t xml:space="preserve"/>
        </x:is>
      </x:c>
      <x:c r="J379" s="5" t="inlineStr">
        <x:is>
          <x:t xml:space="preserve"/>
        </x:is>
      </x:c>
      <x:c r="K379" s="5" t="inlineStr">
        <x:is>
          <x:t xml:space="preserve"/>
        </x:is>
      </x:c>
      <x:c r="L379" s="5" t="inlineStr">
        <x:is>
          <x:t xml:space="preserve"/>
        </x:is>
      </x:c>
      <x:c r="M379" s="5" t="inlineStr">
        <x:is>
          <x:t xml:space="preserve"/>
        </x:is>
      </x:c>
      <x:c r="N379" s="5" t="inlineStr">
        <x:is>
          <x:t xml:space="preserve"/>
        </x:is>
      </x:c>
      <x:c r="O379" s="5" t="inlineStr">
        <x:is>
          <x:t xml:space="preserve"/>
        </x:is>
      </x:c>
      <x:c r="P379" s="5" t="inlineStr">
        <x:is>
          <x:t xml:space="preserve"/>
        </x:is>
      </x:c>
      <x:c r="Q379" s="5" t="inlineStr">
        <x:is>
          <x:t xml:space="preserve"/>
        </x:is>
      </x:c>
      <x:c r="R379" s="5">
        <x:f>IF(OR(F379="",G379=""),"",IF(F379&gt;=0.95*G379,1,0))</x:f>
      </x:c>
      <x:c r="S379" s="7">
        <x:f>IFERROR((I379+J379+K379)/F379,"")</x:f>
      </x:c>
      <x:c r="T379" s="5">
        <x:f>IFERROR(I379+J379+K379,"")</x:f>
        <x:v>0</x:v>
      </x:c>
    </x:row>
    <x:row r="380" ht="22" customHeight="1">
      <x:c r="A380" s="5" t="inlineStr">
        <x:is>
          <x:t xml:space="preserve">P032</x:t>
        </x:is>
      </x:c>
      <x:c r="B380" s="5" t="inlineStr">
        <x:is>
          <x:t xml:space="preserve">4</x:t>
        </x:is>
      </x:c>
      <x:c r="C380" s="5" t="inlineStr">
        <x:is>
          <x:t xml:space="preserve">V11_story_burnout</x:t>
        </x:is>
      </x:c>
      <x:c r="D380" s="5" t="inlineStr">
        <x:is>
          <x:t xml:space="preserve">bcc_plus</x:t>
        </x:is>
      </x:c>
      <x:c r="E380" s="5" t="inlineStr">
        <x:is>
          <x:t xml:space="preserve">muted</x:t>
        </x:is>
      </x:c>
      <x:c r="F380" s="6" t="inlineStr">
        <x:is>
          <x:t xml:space="preserve"/>
        </x:is>
      </x:c>
      <x:c r="G380" s="6" t="inlineStr">
        <x:is>
          <x:t xml:space="preserve">6</x:t>
        </x:is>
      </x:c>
      <x:c r="H380" s="5" t="inlineStr">
        <x:is>
          <x:t xml:space="preserve"/>
        </x:is>
      </x:c>
      <x:c r="I380" s="5" t="inlineStr">
        <x:is>
          <x:t xml:space="preserve"/>
        </x:is>
      </x:c>
      <x:c r="J380" s="5" t="inlineStr">
        <x:is>
          <x:t xml:space="preserve"/>
        </x:is>
      </x:c>
      <x:c r="K380" s="5" t="inlineStr">
        <x:is>
          <x:t xml:space="preserve"/>
        </x:is>
      </x:c>
      <x:c r="L380" s="5" t="inlineStr">
        <x:is>
          <x:t xml:space="preserve"/>
        </x:is>
      </x:c>
      <x:c r="M380" s="5" t="inlineStr">
        <x:is>
          <x:t xml:space="preserve"/>
        </x:is>
      </x:c>
      <x:c r="N380" s="5" t="inlineStr">
        <x:is>
          <x:t xml:space="preserve"/>
        </x:is>
      </x:c>
      <x:c r="O380" s="5" t="inlineStr">
        <x:is>
          <x:t xml:space="preserve"/>
        </x:is>
      </x:c>
      <x:c r="P380" s="5" t="inlineStr">
        <x:is>
          <x:t xml:space="preserve"/>
        </x:is>
      </x:c>
      <x:c r="Q380" s="5" t="inlineStr">
        <x:is>
          <x:t xml:space="preserve"/>
        </x:is>
      </x:c>
      <x:c r="R380" s="5">
        <x:f>IF(OR(F380="",G380=""),"",IF(F380&gt;=0.95*G380,1,0))</x:f>
      </x:c>
      <x:c r="S380" s="7">
        <x:f>IFERROR((I380+J380+K380)/F380,"")</x:f>
      </x:c>
      <x:c r="T380" s="5">
        <x:f>IFERROR(I380+J380+K380,"")</x:f>
        <x:v>0</x:v>
      </x:c>
    </x:row>
    <x:row r="381" ht="22" customHeight="1">
      <x:c r="A381" s="5" t="inlineStr">
        <x:is>
          <x:t xml:space="preserve">P032</x:t>
        </x:is>
      </x:c>
      <x:c r="B381" s="5" t="inlineStr">
        <x:is>
          <x:t xml:space="preserve">5</x:t>
        </x:is>
      </x:c>
      <x:c r="C381" s="5" t="inlineStr">
        <x:is>
          <x:t xml:space="preserve">V04_money_visibility</x:t>
        </x:is>
      </x:c>
      <x:c r="D381" s="5" t="inlineStr">
        <x:is>
          <x:t xml:space="preserve">heavy_bionic</x:t>
        </x:is>
      </x:c>
      <x:c r="E381" s="5" t="inlineStr">
        <x:is>
          <x:t xml:space="preserve">audio_on</x:t>
        </x:is>
      </x:c>
      <x:c r="F381" s="6" t="inlineStr">
        <x:is>
          <x:t xml:space="preserve"/>
        </x:is>
      </x:c>
      <x:c r="G381" s="6" t="inlineStr">
        <x:is>
          <x:t xml:space="preserve">6</x:t>
        </x:is>
      </x:c>
      <x:c r="H381" s="5" t="inlineStr">
        <x:is>
          <x:t xml:space="preserve"/>
        </x:is>
      </x:c>
      <x:c r="I381" s="5" t="inlineStr">
        <x:is>
          <x:t xml:space="preserve"/>
        </x:is>
      </x:c>
      <x:c r="J381" s="5" t="inlineStr">
        <x:is>
          <x:t xml:space="preserve"/>
        </x:is>
      </x:c>
      <x:c r="K381" s="5" t="inlineStr">
        <x:is>
          <x:t xml:space="preserve"/>
        </x:is>
      </x:c>
      <x:c r="L381" s="5" t="inlineStr">
        <x:is>
          <x:t xml:space="preserve"/>
        </x:is>
      </x:c>
      <x:c r="M381" s="5" t="inlineStr">
        <x:is>
          <x:t xml:space="preserve"/>
        </x:is>
      </x:c>
      <x:c r="N381" s="5" t="inlineStr">
        <x:is>
          <x:t xml:space="preserve"/>
        </x:is>
      </x:c>
      <x:c r="O381" s="5" t="inlineStr">
        <x:is>
          <x:t xml:space="preserve"/>
        </x:is>
      </x:c>
      <x:c r="P381" s="5" t="inlineStr">
        <x:is>
          <x:t xml:space="preserve"/>
        </x:is>
      </x:c>
      <x:c r="Q381" s="5" t="inlineStr">
        <x:is>
          <x:t xml:space="preserve"/>
        </x:is>
      </x:c>
      <x:c r="R381" s="5">
        <x:f>IF(OR(F381="",G381=""),"",IF(F381&gt;=0.95*G381,1,0))</x:f>
      </x:c>
      <x:c r="S381" s="7">
        <x:f>IFERROR((I381+J381+K381)/F381,"")</x:f>
      </x:c>
      <x:c r="T381" s="5">
        <x:f>IFERROR(I381+J381+K381,"")</x:f>
        <x:v>0</x:v>
      </x:c>
    </x:row>
    <x:row r="382" ht="22" customHeight="1">
      <x:c r="A382" s="5" t="inlineStr">
        <x:is>
          <x:t xml:space="preserve">P032</x:t>
        </x:is>
      </x:c>
      <x:c r="B382" s="5" t="inlineStr">
        <x:is>
          <x:t xml:space="preserve">6</x:t>
        </x:is>
      </x:c>
      <x:c r="C382" s="5" t="inlineStr">
        <x:is>
          <x:t xml:space="preserve">V01_productivity_friction</x:t>
        </x:is>
      </x:c>
      <x:c r="D382" s="5" t="inlineStr">
        <x:is>
          <x:t xml:space="preserve">full_transcript</x:t>
        </x:is>
      </x:c>
      <x:c r="E382" s="5" t="inlineStr">
        <x:is>
          <x:t xml:space="preserve">muted</x:t>
        </x:is>
      </x:c>
      <x:c r="F382" s="6" t="inlineStr">
        <x:is>
          <x:t xml:space="preserve"/>
        </x:is>
      </x:c>
      <x:c r="G382" s="6" t="inlineStr">
        <x:is>
          <x:t xml:space="preserve">6</x:t>
        </x:is>
      </x:c>
      <x:c r="H382" s="5" t="inlineStr">
        <x:is>
          <x:t xml:space="preserve"/>
        </x:is>
      </x:c>
      <x:c r="I382" s="5" t="inlineStr">
        <x:is>
          <x:t xml:space="preserve"/>
        </x:is>
      </x:c>
      <x:c r="J382" s="5" t="inlineStr">
        <x:is>
          <x:t xml:space="preserve"/>
        </x:is>
      </x:c>
      <x:c r="K382" s="5" t="inlineStr">
        <x:is>
          <x:t xml:space="preserve"/>
        </x:is>
      </x:c>
      <x:c r="L382" s="5" t="inlineStr">
        <x:is>
          <x:t xml:space="preserve"/>
        </x:is>
      </x:c>
      <x:c r="M382" s="5" t="inlineStr">
        <x:is>
          <x:t xml:space="preserve"/>
        </x:is>
      </x:c>
      <x:c r="N382" s="5" t="inlineStr">
        <x:is>
          <x:t xml:space="preserve"/>
        </x:is>
      </x:c>
      <x:c r="O382" s="5" t="inlineStr">
        <x:is>
          <x:t xml:space="preserve"/>
        </x:is>
      </x:c>
      <x:c r="P382" s="5" t="inlineStr">
        <x:is>
          <x:t xml:space="preserve"/>
        </x:is>
      </x:c>
      <x:c r="Q382" s="5" t="inlineStr">
        <x:is>
          <x:t xml:space="preserve"/>
        </x:is>
      </x:c>
      <x:c r="R382" s="5">
        <x:f>IF(OR(F382="",G382=""),"",IF(F382&gt;=0.95*G382,1,0))</x:f>
      </x:c>
      <x:c r="S382" s="7">
        <x:f>IFERROR((I382+J382+K382)/F382,"")</x:f>
      </x:c>
      <x:c r="T382" s="5">
        <x:f>IFERROR(I382+J382+K382,"")</x:f>
        <x:v>0</x:v>
      </x:c>
    </x:row>
    <x:row r="383" ht="22" customHeight="1">
      <x:c r="A383" s="5" t="inlineStr">
        <x:is>
          <x:t xml:space="preserve">P032</x:t>
        </x:is>
      </x:c>
      <x:c r="B383" s="5" t="inlineStr">
        <x:is>
          <x:t xml:space="preserve">7</x:t>
        </x:is>
      </x:c>
      <x:c r="C383" s="5" t="inlineStr">
        <x:is>
          <x:t xml:space="preserve">V03_fitness_setup</x:t>
        </x:is>
      </x:c>
      <x:c r="D383" s="5" t="inlineStr">
        <x:is>
          <x:t xml:space="preserve">keyword_highlight</x:t>
        </x:is>
      </x:c>
      <x:c r="E383" s="5" t="inlineStr">
        <x:is>
          <x:t xml:space="preserve">audio_on</x:t>
        </x:is>
      </x:c>
      <x:c r="F383" s="6" t="inlineStr">
        <x:is>
          <x:t xml:space="preserve"/>
        </x:is>
      </x:c>
      <x:c r="G383" s="6" t="inlineStr">
        <x:is>
          <x:t xml:space="preserve">6</x:t>
        </x:is>
      </x:c>
      <x:c r="H383" s="5" t="inlineStr">
        <x:is>
          <x:t xml:space="preserve"/>
        </x:is>
      </x:c>
      <x:c r="I383" s="5" t="inlineStr">
        <x:is>
          <x:t xml:space="preserve"/>
        </x:is>
      </x:c>
      <x:c r="J383" s="5" t="inlineStr">
        <x:is>
          <x:t xml:space="preserve"/>
        </x:is>
      </x:c>
      <x:c r="K383" s="5" t="inlineStr">
        <x:is>
          <x:t xml:space="preserve"/>
        </x:is>
      </x:c>
      <x:c r="L383" s="5" t="inlineStr">
        <x:is>
          <x:t xml:space="preserve"/>
        </x:is>
      </x:c>
      <x:c r="M383" s="5" t="inlineStr">
        <x:is>
          <x:t xml:space="preserve"/>
        </x:is>
      </x:c>
      <x:c r="N383" s="5" t="inlineStr">
        <x:is>
          <x:t xml:space="preserve"/>
        </x:is>
      </x:c>
      <x:c r="O383" s="5" t="inlineStr">
        <x:is>
          <x:t xml:space="preserve"/>
        </x:is>
      </x:c>
      <x:c r="P383" s="5" t="inlineStr">
        <x:is>
          <x:t xml:space="preserve"/>
        </x:is>
      </x:c>
      <x:c r="Q383" s="5" t="inlineStr">
        <x:is>
          <x:t xml:space="preserve"/>
        </x:is>
      </x:c>
      <x:c r="R383" s="5">
        <x:f>IF(OR(F383="",G383=""),"",IF(F383&gt;=0.95*G383,1,0))</x:f>
      </x:c>
      <x:c r="S383" s="7">
        <x:f>IFERROR((I383+J383+K383)/F383,"")</x:f>
      </x:c>
      <x:c r="T383" s="5">
        <x:f>IFERROR(I383+J383+K383,"")</x:f>
        <x:v>0</x:v>
      </x:c>
    </x:row>
    <x:row r="384" ht="22" customHeight="1">
      <x:c r="A384" s="5" t="inlineStr">
        <x:is>
          <x:t xml:space="preserve">P032</x:t>
        </x:is>
      </x:c>
      <x:c r="B384" s="5" t="inlineStr">
        <x:is>
          <x:t xml:space="preserve">8</x:t>
        </x:is>
      </x:c>
      <x:c r="C384" s="5" t="inlineStr">
        <x:is>
          <x:t xml:space="preserve">V07_business_clarity</x:t>
        </x:is>
      </x:c>
      <x:c r="D384" s="5" t="inlineStr">
        <x:is>
          <x:t xml:space="preserve">semantic_compression</x:t>
        </x:is>
      </x:c>
      <x:c r="E384" s="5" t="inlineStr">
        <x:is>
          <x:t xml:space="preserve">muted</x:t>
        </x:is>
      </x:c>
      <x:c r="F384" s="6" t="inlineStr">
        <x:is>
          <x:t xml:space="preserve"/>
        </x:is>
      </x:c>
      <x:c r="G384" s="6" t="inlineStr">
        <x:is>
          <x:t xml:space="preserve">6</x:t>
        </x:is>
      </x:c>
      <x:c r="H384" s="5" t="inlineStr">
        <x:is>
          <x:t xml:space="preserve"/>
        </x:is>
      </x:c>
      <x:c r="I384" s="5" t="inlineStr">
        <x:is>
          <x:t xml:space="preserve"/>
        </x:is>
      </x:c>
      <x:c r="J384" s="5" t="inlineStr">
        <x:is>
          <x:t xml:space="preserve"/>
        </x:is>
      </x:c>
      <x:c r="K384" s="5" t="inlineStr">
        <x:is>
          <x:t xml:space="preserve"/>
        </x:is>
      </x:c>
      <x:c r="L384" s="5" t="inlineStr">
        <x:is>
          <x:t xml:space="preserve"/>
        </x:is>
      </x:c>
      <x:c r="M384" s="5" t="inlineStr">
        <x:is>
          <x:t xml:space="preserve"/>
        </x:is>
      </x:c>
      <x:c r="N384" s="5" t="inlineStr">
        <x:is>
          <x:t xml:space="preserve"/>
        </x:is>
      </x:c>
      <x:c r="O384" s="5" t="inlineStr">
        <x:is>
          <x:t xml:space="preserve"/>
        </x:is>
      </x:c>
      <x:c r="P384" s="5" t="inlineStr">
        <x:is>
          <x:t xml:space="preserve"/>
        </x:is>
      </x:c>
      <x:c r="Q384" s="5" t="inlineStr">
        <x:is>
          <x:t xml:space="preserve"/>
        </x:is>
      </x:c>
      <x:c r="R384" s="5">
        <x:f>IF(OR(F384="",G384=""),"",IF(F384&gt;=0.95*G384,1,0))</x:f>
      </x:c>
      <x:c r="S384" s="7">
        <x:f>IFERROR((I384+J384+K384)/F384,"")</x:f>
      </x:c>
      <x:c r="T384" s="5">
        <x:f>IFERROR(I384+J384+K384,"")</x:f>
        <x:v>0</x:v>
      </x:c>
    </x:row>
    <x:row r="385" ht="22" customHeight="1">
      <x:c r="A385" s="5" t="inlineStr">
        <x:is>
          <x:t xml:space="preserve">P032</x:t>
        </x:is>
      </x:c>
      <x:c r="B385" s="5" t="inlineStr">
        <x:is>
          <x:t xml:space="preserve">9</x:t>
        </x:is>
      </x:c>
      <x:c r="C385" s="5" t="inlineStr">
        <x:is>
          <x:t xml:space="preserve">V02_study_recall</x:t>
        </x:is>
      </x:c>
      <x:c r="D385" s="5" t="inlineStr">
        <x:is>
          <x:t xml:space="preserve">bcc</x:t>
        </x:is>
      </x:c>
      <x:c r="E385" s="5" t="inlineStr">
        <x:is>
          <x:t xml:space="preserve">audio_on</x:t>
        </x:is>
      </x:c>
      <x:c r="F385" s="6" t="inlineStr">
        <x:is>
          <x:t xml:space="preserve"/>
        </x:is>
      </x:c>
      <x:c r="G385" s="6" t="inlineStr">
        <x:is>
          <x:t xml:space="preserve">6</x:t>
        </x:is>
      </x:c>
      <x:c r="H385" s="5" t="inlineStr">
        <x:is>
          <x:t xml:space="preserve"/>
        </x:is>
      </x:c>
      <x:c r="I385" s="5" t="inlineStr">
        <x:is>
          <x:t xml:space="preserve"/>
        </x:is>
      </x:c>
      <x:c r="J385" s="5" t="inlineStr">
        <x:is>
          <x:t xml:space="preserve"/>
        </x:is>
      </x:c>
      <x:c r="K385" s="5" t="inlineStr">
        <x:is>
          <x:t xml:space="preserve"/>
        </x:is>
      </x:c>
      <x:c r="L385" s="5" t="inlineStr">
        <x:is>
          <x:t xml:space="preserve"/>
        </x:is>
      </x:c>
      <x:c r="M385" s="5" t="inlineStr">
        <x:is>
          <x:t xml:space="preserve"/>
        </x:is>
      </x:c>
      <x:c r="N385" s="5" t="inlineStr">
        <x:is>
          <x:t xml:space="preserve"/>
        </x:is>
      </x:c>
      <x:c r="O385" s="5" t="inlineStr">
        <x:is>
          <x:t xml:space="preserve"/>
        </x:is>
      </x:c>
      <x:c r="P385" s="5" t="inlineStr">
        <x:is>
          <x:t xml:space="preserve"/>
        </x:is>
      </x:c>
      <x:c r="Q385" s="5" t="inlineStr">
        <x:is>
          <x:t xml:space="preserve"/>
        </x:is>
      </x:c>
      <x:c r="R385" s="5">
        <x:f>IF(OR(F385="",G385=""),"",IF(F385&gt;=0.95*G385,1,0))</x:f>
      </x:c>
      <x:c r="S385" s="7">
        <x:f>IFERROR((I385+J385+K385)/F385,"")</x:f>
      </x:c>
      <x:c r="T385" s="5">
        <x:f>IFERROR(I385+J385+K385,"")</x:f>
        <x:v>0</x:v>
      </x:c>
    </x:row>
    <x:row r="386" ht="22" customHeight="1">
      <x:c r="A386" s="5" t="inlineStr">
        <x:is>
          <x:t xml:space="preserve">P032</x:t>
        </x:is>
      </x:c>
      <x:c r="B386" s="5" t="inlineStr">
        <x:is>
          <x:t xml:space="preserve">10</x:t>
        </x:is>
      </x:c>
      <x:c r="C386" s="5" t="inlineStr">
        <x:is>
          <x:t xml:space="preserve">V09_nutrition_satiety</x:t>
        </x:is>
      </x:c>
      <x:c r="D386" s="5" t="inlineStr">
        <x:is>
          <x:t xml:space="preserve">bcc_plus</x:t>
        </x:is>
      </x:c>
      <x:c r="E386" s="5" t="inlineStr">
        <x:is>
          <x:t xml:space="preserve">muted</x:t>
        </x:is>
      </x:c>
      <x:c r="F386" s="6" t="inlineStr">
        <x:is>
          <x:t xml:space="preserve"/>
        </x:is>
      </x:c>
      <x:c r="G386" s="6" t="inlineStr">
        <x:is>
          <x:t xml:space="preserve">6</x:t>
        </x:is>
      </x:c>
      <x:c r="H386" s="5" t="inlineStr">
        <x:is>
          <x:t xml:space="preserve"/>
        </x:is>
      </x:c>
      <x:c r="I386" s="5" t="inlineStr">
        <x:is>
          <x:t xml:space="preserve"/>
        </x:is>
      </x:c>
      <x:c r="J386" s="5" t="inlineStr">
        <x:is>
          <x:t xml:space="preserve"/>
        </x:is>
      </x:c>
      <x:c r="K386" s="5" t="inlineStr">
        <x:is>
          <x:t xml:space="preserve"/>
        </x:is>
      </x:c>
      <x:c r="L386" s="5" t="inlineStr">
        <x:is>
          <x:t xml:space="preserve"/>
        </x:is>
      </x:c>
      <x:c r="M386" s="5" t="inlineStr">
        <x:is>
          <x:t xml:space="preserve"/>
        </x:is>
      </x:c>
      <x:c r="N386" s="5" t="inlineStr">
        <x:is>
          <x:t xml:space="preserve"/>
        </x:is>
      </x:c>
      <x:c r="O386" s="5" t="inlineStr">
        <x:is>
          <x:t xml:space="preserve"/>
        </x:is>
      </x:c>
      <x:c r="P386" s="5" t="inlineStr">
        <x:is>
          <x:t xml:space="preserve"/>
        </x:is>
      </x:c>
      <x:c r="Q386" s="5" t="inlineStr">
        <x:is>
          <x:t xml:space="preserve"/>
        </x:is>
      </x:c>
      <x:c r="R386" s="5">
        <x:f>IF(OR(F386="",G386=""),"",IF(F386&gt;=0.95*G386,1,0))</x:f>
      </x:c>
      <x:c r="S386" s="7">
        <x:f>IFERROR((I386+J386+K386)/F386,"")</x:f>
      </x:c>
      <x:c r="T386" s="5">
        <x:f>IFERROR(I386+J386+K386,"")</x:f>
        <x:v>0</x:v>
      </x:c>
    </x:row>
    <x:row r="387" ht="22" customHeight="1">
      <x:c r="A387" s="5" t="inlineStr">
        <x:is>
          <x:t xml:space="preserve">P032</x:t>
        </x:is>
      </x:c>
      <x:c r="B387" s="5" t="inlineStr">
        <x:is>
          <x:t xml:space="preserve">11</x:t>
        </x:is>
      </x:c>
      <x:c r="C387" s="5" t="inlineStr">
        <x:is>
          <x:t xml:space="preserve">V12_creativity_constraints</x:t>
        </x:is>
      </x:c>
      <x:c r="D387" s="5" t="inlineStr">
        <x:is>
          <x:t xml:space="preserve">heavy_bionic</x:t>
        </x:is>
      </x:c>
      <x:c r="E387" s="5" t="inlineStr">
        <x:is>
          <x:t xml:space="preserve">audio_on</x:t>
        </x:is>
      </x:c>
      <x:c r="F387" s="6" t="inlineStr">
        <x:is>
          <x:t xml:space="preserve"/>
        </x:is>
      </x:c>
      <x:c r="G387" s="6" t="inlineStr">
        <x:is>
          <x:t xml:space="preserve">6</x:t>
        </x:is>
      </x:c>
      <x:c r="H387" s="5" t="inlineStr">
        <x:is>
          <x:t xml:space="preserve"/>
        </x:is>
      </x:c>
      <x:c r="I387" s="5" t="inlineStr">
        <x:is>
          <x:t xml:space="preserve"/>
        </x:is>
      </x:c>
      <x:c r="J387" s="5" t="inlineStr">
        <x:is>
          <x:t xml:space="preserve"/>
        </x:is>
      </x:c>
      <x:c r="K387" s="5" t="inlineStr">
        <x:is>
          <x:t xml:space="preserve"/>
        </x:is>
      </x:c>
      <x:c r="L387" s="5" t="inlineStr">
        <x:is>
          <x:t xml:space="preserve"/>
        </x:is>
      </x:c>
      <x:c r="M387" s="5" t="inlineStr">
        <x:is>
          <x:t xml:space="preserve"/>
        </x:is>
      </x:c>
      <x:c r="N387" s="5" t="inlineStr">
        <x:is>
          <x:t xml:space="preserve"/>
        </x:is>
      </x:c>
      <x:c r="O387" s="5" t="inlineStr">
        <x:is>
          <x:t xml:space="preserve"/>
        </x:is>
      </x:c>
      <x:c r="P387" s="5" t="inlineStr">
        <x:is>
          <x:t xml:space="preserve"/>
        </x:is>
      </x:c>
      <x:c r="Q387" s="5" t="inlineStr">
        <x:is>
          <x:t xml:space="preserve"/>
        </x:is>
      </x:c>
      <x:c r="R387" s="5">
        <x:f>IF(OR(F387="",G387=""),"",IF(F387&gt;=0.95*G387,1,0))</x:f>
      </x:c>
      <x:c r="S387" s="7">
        <x:f>IFERROR((I387+J387+K387)/F387,"")</x:f>
      </x:c>
      <x:c r="T387" s="5">
        <x:f>IFERROR(I387+J387+K387,"")</x:f>
        <x:v>0</x:v>
      </x:c>
    </x:row>
    <x:row r="388" ht="22" customHeight="1">
      <x:c r="A388" s="5" t="inlineStr">
        <x:is>
          <x:t xml:space="preserve">P032</x:t>
        </x:is>
      </x:c>
      <x:c r="B388" s="5" t="inlineStr">
        <x:is>
          <x:t xml:space="preserve">12</x:t>
        </x:is>
      </x:c>
      <x:c r="C388" s="5" t="inlineStr">
        <x:is>
          <x:t xml:space="preserve">V06_overload_open_loops</x:t>
        </x:is>
      </x:c>
      <x:c r="D388" s="5" t="inlineStr">
        <x:is>
          <x:t xml:space="preserve">full_transcript</x:t>
        </x:is>
      </x:c>
      <x:c r="E388" s="5" t="inlineStr">
        <x:is>
          <x:t xml:space="preserve">muted</x:t>
        </x:is>
      </x:c>
      <x:c r="F388" s="6" t="inlineStr">
        <x:is>
          <x:t xml:space="preserve"/>
        </x:is>
      </x:c>
      <x:c r="G388" s="6" t="inlineStr">
        <x:is>
          <x:t xml:space="preserve">6</x:t>
        </x:is>
      </x:c>
      <x:c r="H388" s="5" t="inlineStr">
        <x:is>
          <x:t xml:space="preserve"/>
        </x:is>
      </x:c>
      <x:c r="I388" s="5" t="inlineStr">
        <x:is>
          <x:t xml:space="preserve"/>
        </x:is>
      </x:c>
      <x:c r="J388" s="5" t="inlineStr">
        <x:is>
          <x:t xml:space="preserve"/>
        </x:is>
      </x:c>
      <x:c r="K388" s="5" t="inlineStr">
        <x:is>
          <x:t xml:space="preserve"/>
        </x:is>
      </x:c>
      <x:c r="L388" s="5" t="inlineStr">
        <x:is>
          <x:t xml:space="preserve"/>
        </x:is>
      </x:c>
      <x:c r="M388" s="5" t="inlineStr">
        <x:is>
          <x:t xml:space="preserve"/>
        </x:is>
      </x:c>
      <x:c r="N388" s="5" t="inlineStr">
        <x:is>
          <x:t xml:space="preserve"/>
        </x:is>
      </x:c>
      <x:c r="O388" s="5" t="inlineStr">
        <x:is>
          <x:t xml:space="preserve"/>
        </x:is>
      </x:c>
      <x:c r="P388" s="5" t="inlineStr">
        <x:is>
          <x:t xml:space="preserve"/>
        </x:is>
      </x:c>
      <x:c r="Q388" s="5" t="inlineStr">
        <x:is>
          <x:t xml:space="preserve"/>
        </x:is>
      </x:c>
      <x:c r="R388" s="5">
        <x:f>IF(OR(F388="",G388=""),"",IF(F388&gt;=0.95*G388,1,0))</x:f>
      </x:c>
      <x:c r="S388" s="7">
        <x:f>IFERROR((I388+J388+K388)/F388,"")</x:f>
      </x:c>
      <x:c r="T388" s="5">
        <x:f>IFERROR(I388+J388+K388,"")</x:f>
        <x:v>0</x:v>
      </x:c>
    </x:row>
    <x:row r="389" ht="22" customHeight="1">
      <x:c r="A389" s="5" t="inlineStr">
        <x:is>
          <x:t xml:space="preserve">P033</x:t>
        </x:is>
      </x:c>
      <x:c r="B389" s="5" t="inlineStr">
        <x:is>
          <x:t xml:space="preserve">1</x:t>
        </x:is>
      </x:c>
      <x:c r="C389" s="5" t="inlineStr">
        <x:is>
          <x:t xml:space="preserve">V06_overload_open_loops</x:t>
        </x:is>
      </x:c>
      <x:c r="D389" s="5" t="inlineStr">
        <x:is>
          <x:t xml:space="preserve">semantic_compression</x:t>
        </x:is>
      </x:c>
      <x:c r="E389" s="5" t="inlineStr">
        <x:is>
          <x:t xml:space="preserve">muted</x:t>
        </x:is>
      </x:c>
      <x:c r="F389" s="6" t="inlineStr">
        <x:is>
          <x:t xml:space="preserve"/>
        </x:is>
      </x:c>
      <x:c r="G389" s="6" t="inlineStr">
        <x:is>
          <x:t xml:space="preserve">6</x:t>
        </x:is>
      </x:c>
      <x:c r="H389" s="5" t="inlineStr">
        <x:is>
          <x:t xml:space="preserve"/>
        </x:is>
      </x:c>
      <x:c r="I389" s="5" t="inlineStr">
        <x:is>
          <x:t xml:space="preserve"/>
        </x:is>
      </x:c>
      <x:c r="J389" s="5" t="inlineStr">
        <x:is>
          <x:t xml:space="preserve"/>
        </x:is>
      </x:c>
      <x:c r="K389" s="5" t="inlineStr">
        <x:is>
          <x:t xml:space="preserve"/>
        </x:is>
      </x:c>
      <x:c r="L389" s="5" t="inlineStr">
        <x:is>
          <x:t xml:space="preserve"/>
        </x:is>
      </x:c>
      <x:c r="M389" s="5" t="inlineStr">
        <x:is>
          <x:t xml:space="preserve"/>
        </x:is>
      </x:c>
      <x:c r="N389" s="5" t="inlineStr">
        <x:is>
          <x:t xml:space="preserve"/>
        </x:is>
      </x:c>
      <x:c r="O389" s="5" t="inlineStr">
        <x:is>
          <x:t xml:space="preserve"/>
        </x:is>
      </x:c>
      <x:c r="P389" s="5" t="inlineStr">
        <x:is>
          <x:t xml:space="preserve"/>
        </x:is>
      </x:c>
      <x:c r="Q389" s="5" t="inlineStr">
        <x:is>
          <x:t xml:space="preserve"/>
        </x:is>
      </x:c>
      <x:c r="R389" s="5">
        <x:f>IF(OR(F389="",G389=""),"",IF(F389&gt;=0.95*G389,1,0))</x:f>
      </x:c>
      <x:c r="S389" s="7">
        <x:f>IFERROR((I389+J389+K389)/F389,"")</x:f>
      </x:c>
      <x:c r="T389" s="5">
        <x:f>IFERROR(I389+J389+K389,"")</x:f>
        <x:v>0</x:v>
      </x:c>
    </x:row>
    <x:row r="390" ht="22" customHeight="1">
      <x:c r="A390" s="5" t="inlineStr">
        <x:is>
          <x:t xml:space="preserve">P033</x:t>
        </x:is>
      </x:c>
      <x:c r="B390" s="5" t="inlineStr">
        <x:is>
          <x:t xml:space="preserve">2</x:t>
        </x:is>
      </x:c>
      <x:c r="C390" s="5" t="inlineStr">
        <x:is>
          <x:t xml:space="preserve">V02_study_recall</x:t>
        </x:is>
      </x:c>
      <x:c r="D390" s="5" t="inlineStr">
        <x:is>
          <x:t xml:space="preserve">bcc</x:t>
        </x:is>
      </x:c>
      <x:c r="E390" s="5" t="inlineStr">
        <x:is>
          <x:t xml:space="preserve">audio_on</x:t>
        </x:is>
      </x:c>
      <x:c r="F390" s="6" t="inlineStr">
        <x:is>
          <x:t xml:space="preserve"/>
        </x:is>
      </x:c>
      <x:c r="G390" s="6" t="inlineStr">
        <x:is>
          <x:t xml:space="preserve">6</x:t>
        </x:is>
      </x:c>
      <x:c r="H390" s="5" t="inlineStr">
        <x:is>
          <x:t xml:space="preserve"/>
        </x:is>
      </x:c>
      <x:c r="I390" s="5" t="inlineStr">
        <x:is>
          <x:t xml:space="preserve"/>
        </x:is>
      </x:c>
      <x:c r="J390" s="5" t="inlineStr">
        <x:is>
          <x:t xml:space="preserve"/>
        </x:is>
      </x:c>
      <x:c r="K390" s="5" t="inlineStr">
        <x:is>
          <x:t xml:space="preserve"/>
        </x:is>
      </x:c>
      <x:c r="L390" s="5" t="inlineStr">
        <x:is>
          <x:t xml:space="preserve"/>
        </x:is>
      </x:c>
      <x:c r="M390" s="5" t="inlineStr">
        <x:is>
          <x:t xml:space="preserve"/>
        </x:is>
      </x:c>
      <x:c r="N390" s="5" t="inlineStr">
        <x:is>
          <x:t xml:space="preserve"/>
        </x:is>
      </x:c>
      <x:c r="O390" s="5" t="inlineStr">
        <x:is>
          <x:t xml:space="preserve"/>
        </x:is>
      </x:c>
      <x:c r="P390" s="5" t="inlineStr">
        <x:is>
          <x:t xml:space="preserve"/>
        </x:is>
      </x:c>
      <x:c r="Q390" s="5" t="inlineStr">
        <x:is>
          <x:t xml:space="preserve"/>
        </x:is>
      </x:c>
      <x:c r="R390" s="5">
        <x:f>IF(OR(F390="",G390=""),"",IF(F390&gt;=0.95*G390,1,0))</x:f>
      </x:c>
      <x:c r="S390" s="7">
        <x:f>IFERROR((I390+J390+K390)/F390,"")</x:f>
      </x:c>
      <x:c r="T390" s="5">
        <x:f>IFERROR(I390+J390+K390,"")</x:f>
        <x:v>0</x:v>
      </x:c>
    </x:row>
    <x:row r="391" ht="22" customHeight="1">
      <x:c r="A391" s="5" t="inlineStr">
        <x:is>
          <x:t xml:space="preserve">P033</x:t>
        </x:is>
      </x:c>
      <x:c r="B391" s="5" t="inlineStr">
        <x:is>
          <x:t xml:space="preserve">3</x:t>
        </x:is>
      </x:c>
      <x:c r="C391" s="5" t="inlineStr">
        <x:is>
          <x:t xml:space="preserve">V04_money_visibility</x:t>
        </x:is>
      </x:c>
      <x:c r="D391" s="5" t="inlineStr">
        <x:is>
          <x:t xml:space="preserve">bcc_plus</x:t>
        </x:is>
      </x:c>
      <x:c r="E391" s="5" t="inlineStr">
        <x:is>
          <x:t xml:space="preserve">muted</x:t>
        </x:is>
      </x:c>
      <x:c r="F391" s="6" t="inlineStr">
        <x:is>
          <x:t xml:space="preserve"/>
        </x:is>
      </x:c>
      <x:c r="G391" s="6" t="inlineStr">
        <x:is>
          <x:t xml:space="preserve">6</x:t>
        </x:is>
      </x:c>
      <x:c r="H391" s="5" t="inlineStr">
        <x:is>
          <x:t xml:space="preserve"/>
        </x:is>
      </x:c>
      <x:c r="I391" s="5" t="inlineStr">
        <x:is>
          <x:t xml:space="preserve"/>
        </x:is>
      </x:c>
      <x:c r="J391" s="5" t="inlineStr">
        <x:is>
          <x:t xml:space="preserve"/>
        </x:is>
      </x:c>
      <x:c r="K391" s="5" t="inlineStr">
        <x:is>
          <x:t xml:space="preserve"/>
        </x:is>
      </x:c>
      <x:c r="L391" s="5" t="inlineStr">
        <x:is>
          <x:t xml:space="preserve"/>
        </x:is>
      </x:c>
      <x:c r="M391" s="5" t="inlineStr">
        <x:is>
          <x:t xml:space="preserve"/>
        </x:is>
      </x:c>
      <x:c r="N391" s="5" t="inlineStr">
        <x:is>
          <x:t xml:space="preserve"/>
        </x:is>
      </x:c>
      <x:c r="O391" s="5" t="inlineStr">
        <x:is>
          <x:t xml:space="preserve"/>
        </x:is>
      </x:c>
      <x:c r="P391" s="5" t="inlineStr">
        <x:is>
          <x:t xml:space="preserve"/>
        </x:is>
      </x:c>
      <x:c r="Q391" s="5" t="inlineStr">
        <x:is>
          <x:t xml:space="preserve"/>
        </x:is>
      </x:c>
      <x:c r="R391" s="5">
        <x:f>IF(OR(F391="",G391=""),"",IF(F391&gt;=0.95*G391,1,0))</x:f>
      </x:c>
      <x:c r="S391" s="7">
        <x:f>IFERROR((I391+J391+K391)/F391,"")</x:f>
      </x:c>
      <x:c r="T391" s="5">
        <x:f>IFERROR(I391+J391+K391,"")</x:f>
        <x:v>0</x:v>
      </x:c>
    </x:row>
    <x:row r="392" ht="22" customHeight="1">
      <x:c r="A392" s="5" t="inlineStr">
        <x:is>
          <x:t xml:space="preserve">P033</x:t>
        </x:is>
      </x:c>
      <x:c r="B392" s="5" t="inlineStr">
        <x:is>
          <x:t xml:space="preserve">4</x:t>
        </x:is>
      </x:c>
      <x:c r="C392" s="5" t="inlineStr">
        <x:is>
          <x:t xml:space="preserve">V05_coding_assumptions</x:t>
        </x:is>
      </x:c>
      <x:c r="D392" s="5" t="inlineStr">
        <x:is>
          <x:t xml:space="preserve">heavy_bionic</x:t>
        </x:is>
      </x:c>
      <x:c r="E392" s="5" t="inlineStr">
        <x:is>
          <x:t xml:space="preserve">audio_on</x:t>
        </x:is>
      </x:c>
      <x:c r="F392" s="6" t="inlineStr">
        <x:is>
          <x:t xml:space="preserve"/>
        </x:is>
      </x:c>
      <x:c r="G392" s="6" t="inlineStr">
        <x:is>
          <x:t xml:space="preserve">6</x:t>
        </x:is>
      </x:c>
      <x:c r="H392" s="5" t="inlineStr">
        <x:is>
          <x:t xml:space="preserve"/>
        </x:is>
      </x:c>
      <x:c r="I392" s="5" t="inlineStr">
        <x:is>
          <x:t xml:space="preserve"/>
        </x:is>
      </x:c>
      <x:c r="J392" s="5" t="inlineStr">
        <x:is>
          <x:t xml:space="preserve"/>
        </x:is>
      </x:c>
      <x:c r="K392" s="5" t="inlineStr">
        <x:is>
          <x:t xml:space="preserve"/>
        </x:is>
      </x:c>
      <x:c r="L392" s="5" t="inlineStr">
        <x:is>
          <x:t xml:space="preserve"/>
        </x:is>
      </x:c>
      <x:c r="M392" s="5" t="inlineStr">
        <x:is>
          <x:t xml:space="preserve"/>
        </x:is>
      </x:c>
      <x:c r="N392" s="5" t="inlineStr">
        <x:is>
          <x:t xml:space="preserve"/>
        </x:is>
      </x:c>
      <x:c r="O392" s="5" t="inlineStr">
        <x:is>
          <x:t xml:space="preserve"/>
        </x:is>
      </x:c>
      <x:c r="P392" s="5" t="inlineStr">
        <x:is>
          <x:t xml:space="preserve"/>
        </x:is>
      </x:c>
      <x:c r="Q392" s="5" t="inlineStr">
        <x:is>
          <x:t xml:space="preserve"/>
        </x:is>
      </x:c>
      <x:c r="R392" s="5">
        <x:f>IF(OR(F392="",G392=""),"",IF(F392&gt;=0.95*G392,1,0))</x:f>
      </x:c>
      <x:c r="S392" s="7">
        <x:f>IFERROR((I392+J392+K392)/F392,"")</x:f>
      </x:c>
      <x:c r="T392" s="5">
        <x:f>IFERROR(I392+J392+K392,"")</x:f>
        <x:v>0</x:v>
      </x:c>
    </x:row>
    <x:row r="393" ht="22" customHeight="1">
      <x:c r="A393" s="5" t="inlineStr">
        <x:is>
          <x:t xml:space="preserve">P033</x:t>
        </x:is>
      </x:c>
      <x:c r="B393" s="5" t="inlineStr">
        <x:is>
          <x:t xml:space="preserve">5</x:t>
        </x:is>
      </x:c>
      <x:c r="C393" s="5" t="inlineStr">
        <x:is>
          <x:t xml:space="preserve">V10_tutorial_ui</x:t>
        </x:is>
      </x:c>
      <x:c r="D393" s="5" t="inlineStr">
        <x:is>
          <x:t xml:space="preserve">full_transcript</x:t>
        </x:is>
      </x:c>
      <x:c r="E393" s="5" t="inlineStr">
        <x:is>
          <x:t xml:space="preserve">muted</x:t>
        </x:is>
      </x:c>
      <x:c r="F393" s="6" t="inlineStr">
        <x:is>
          <x:t xml:space="preserve"/>
        </x:is>
      </x:c>
      <x:c r="G393" s="6" t="inlineStr">
        <x:is>
          <x:t xml:space="preserve">6</x:t>
        </x:is>
      </x:c>
      <x:c r="H393" s="5" t="inlineStr">
        <x:is>
          <x:t xml:space="preserve"/>
        </x:is>
      </x:c>
      <x:c r="I393" s="5" t="inlineStr">
        <x:is>
          <x:t xml:space="preserve"/>
        </x:is>
      </x:c>
      <x:c r="J393" s="5" t="inlineStr">
        <x:is>
          <x:t xml:space="preserve"/>
        </x:is>
      </x:c>
      <x:c r="K393" s="5" t="inlineStr">
        <x:is>
          <x:t xml:space="preserve"/>
        </x:is>
      </x:c>
      <x:c r="L393" s="5" t="inlineStr">
        <x:is>
          <x:t xml:space="preserve"/>
        </x:is>
      </x:c>
      <x:c r="M393" s="5" t="inlineStr">
        <x:is>
          <x:t xml:space="preserve"/>
        </x:is>
      </x:c>
      <x:c r="N393" s="5" t="inlineStr">
        <x:is>
          <x:t xml:space="preserve"/>
        </x:is>
      </x:c>
      <x:c r="O393" s="5" t="inlineStr">
        <x:is>
          <x:t xml:space="preserve"/>
        </x:is>
      </x:c>
      <x:c r="P393" s="5" t="inlineStr">
        <x:is>
          <x:t xml:space="preserve"/>
        </x:is>
      </x:c>
      <x:c r="Q393" s="5" t="inlineStr">
        <x:is>
          <x:t xml:space="preserve"/>
        </x:is>
      </x:c>
      <x:c r="R393" s="5">
        <x:f>IF(OR(F393="",G393=""),"",IF(F393&gt;=0.95*G393,1,0))</x:f>
      </x:c>
      <x:c r="S393" s="7">
        <x:f>IFERROR((I393+J393+K393)/F393,"")</x:f>
      </x:c>
      <x:c r="T393" s="5">
        <x:f>IFERROR(I393+J393+K393,"")</x:f>
        <x:v>0</x:v>
      </x:c>
    </x:row>
    <x:row r="394" ht="22" customHeight="1">
      <x:c r="A394" s="5" t="inlineStr">
        <x:is>
          <x:t xml:space="preserve">P033</x:t>
        </x:is>
      </x:c>
      <x:c r="B394" s="5" t="inlineStr">
        <x:is>
          <x:t xml:space="preserve">6</x:t>
        </x:is>
      </x:c>
      <x:c r="C394" s="5" t="inlineStr">
        <x:is>
          <x:t xml:space="preserve">V08_calendar_system</x:t>
        </x:is>
      </x:c>
      <x:c r="D394" s="5" t="inlineStr">
        <x:is>
          <x:t xml:space="preserve">keyword_highlight</x:t>
        </x:is>
      </x:c>
      <x:c r="E394" s="5" t="inlineStr">
        <x:is>
          <x:t xml:space="preserve">audio_on</x:t>
        </x:is>
      </x:c>
      <x:c r="F394" s="6" t="inlineStr">
        <x:is>
          <x:t xml:space="preserve"/>
        </x:is>
      </x:c>
      <x:c r="G394" s="6" t="inlineStr">
        <x:is>
          <x:t xml:space="preserve">6</x:t>
        </x:is>
      </x:c>
      <x:c r="H394" s="5" t="inlineStr">
        <x:is>
          <x:t xml:space="preserve"/>
        </x:is>
      </x:c>
      <x:c r="I394" s="5" t="inlineStr">
        <x:is>
          <x:t xml:space="preserve"/>
        </x:is>
      </x:c>
      <x:c r="J394" s="5" t="inlineStr">
        <x:is>
          <x:t xml:space="preserve"/>
        </x:is>
      </x:c>
      <x:c r="K394" s="5" t="inlineStr">
        <x:is>
          <x:t xml:space="preserve"/>
        </x:is>
      </x:c>
      <x:c r="L394" s="5" t="inlineStr">
        <x:is>
          <x:t xml:space="preserve"/>
        </x:is>
      </x:c>
      <x:c r="M394" s="5" t="inlineStr">
        <x:is>
          <x:t xml:space="preserve"/>
        </x:is>
      </x:c>
      <x:c r="N394" s="5" t="inlineStr">
        <x:is>
          <x:t xml:space="preserve"/>
        </x:is>
      </x:c>
      <x:c r="O394" s="5" t="inlineStr">
        <x:is>
          <x:t xml:space="preserve"/>
        </x:is>
      </x:c>
      <x:c r="P394" s="5" t="inlineStr">
        <x:is>
          <x:t xml:space="preserve"/>
        </x:is>
      </x:c>
      <x:c r="Q394" s="5" t="inlineStr">
        <x:is>
          <x:t xml:space="preserve"/>
        </x:is>
      </x:c>
      <x:c r="R394" s="5">
        <x:f>IF(OR(F394="",G394=""),"",IF(F394&gt;=0.95*G394,1,0))</x:f>
      </x:c>
      <x:c r="S394" s="7">
        <x:f>IFERROR((I394+J394+K394)/F394,"")</x:f>
      </x:c>
      <x:c r="T394" s="5">
        <x:f>IFERROR(I394+J394+K394,"")</x:f>
        <x:v>0</x:v>
      </x:c>
    </x:row>
    <x:row r="395" ht="22" customHeight="1">
      <x:c r="A395" s="5" t="inlineStr">
        <x:is>
          <x:t xml:space="preserve">P033</x:t>
        </x:is>
      </x:c>
      <x:c r="B395" s="5" t="inlineStr">
        <x:is>
          <x:t xml:space="preserve">7</x:t>
        </x:is>
      </x:c>
      <x:c r="C395" s="5" t="inlineStr">
        <x:is>
          <x:t xml:space="preserve">V09_nutrition_satiety</x:t>
        </x:is>
      </x:c>
      <x:c r="D395" s="5" t="inlineStr">
        <x:is>
          <x:t xml:space="preserve">semantic_compression</x:t>
        </x:is>
      </x:c>
      <x:c r="E395" s="5" t="inlineStr">
        <x:is>
          <x:t xml:space="preserve">muted</x:t>
        </x:is>
      </x:c>
      <x:c r="F395" s="6" t="inlineStr">
        <x:is>
          <x:t xml:space="preserve"/>
        </x:is>
      </x:c>
      <x:c r="G395" s="6" t="inlineStr">
        <x:is>
          <x:t xml:space="preserve">6</x:t>
        </x:is>
      </x:c>
      <x:c r="H395" s="5" t="inlineStr">
        <x:is>
          <x:t xml:space="preserve"/>
        </x:is>
      </x:c>
      <x:c r="I395" s="5" t="inlineStr">
        <x:is>
          <x:t xml:space="preserve"/>
        </x:is>
      </x:c>
      <x:c r="J395" s="5" t="inlineStr">
        <x:is>
          <x:t xml:space="preserve"/>
        </x:is>
      </x:c>
      <x:c r="K395" s="5" t="inlineStr">
        <x:is>
          <x:t xml:space="preserve"/>
        </x:is>
      </x:c>
      <x:c r="L395" s="5" t="inlineStr">
        <x:is>
          <x:t xml:space="preserve"/>
        </x:is>
      </x:c>
      <x:c r="M395" s="5" t="inlineStr">
        <x:is>
          <x:t xml:space="preserve"/>
        </x:is>
      </x:c>
      <x:c r="N395" s="5" t="inlineStr">
        <x:is>
          <x:t xml:space="preserve"/>
        </x:is>
      </x:c>
      <x:c r="O395" s="5" t="inlineStr">
        <x:is>
          <x:t xml:space="preserve"/>
        </x:is>
      </x:c>
      <x:c r="P395" s="5" t="inlineStr">
        <x:is>
          <x:t xml:space="preserve"/>
        </x:is>
      </x:c>
      <x:c r="Q395" s="5" t="inlineStr">
        <x:is>
          <x:t xml:space="preserve"/>
        </x:is>
      </x:c>
      <x:c r="R395" s="5">
        <x:f>IF(OR(F395="",G395=""),"",IF(F395&gt;=0.95*G395,1,0))</x:f>
      </x:c>
      <x:c r="S395" s="7">
        <x:f>IFERROR((I395+J395+K395)/F395,"")</x:f>
      </x:c>
      <x:c r="T395" s="5">
        <x:f>IFERROR(I395+J395+K395,"")</x:f>
        <x:v>0</x:v>
      </x:c>
    </x:row>
    <x:row r="396" ht="22" customHeight="1">
      <x:c r="A396" s="5" t="inlineStr">
        <x:is>
          <x:t xml:space="preserve">P033</x:t>
        </x:is>
      </x:c>
      <x:c r="B396" s="5" t="inlineStr">
        <x:is>
          <x:t xml:space="preserve">8</x:t>
        </x:is>
      </x:c>
      <x:c r="C396" s="5" t="inlineStr">
        <x:is>
          <x:t xml:space="preserve">V11_story_burnout</x:t>
        </x:is>
      </x:c>
      <x:c r="D396" s="5" t="inlineStr">
        <x:is>
          <x:t xml:space="preserve">bcc</x:t>
        </x:is>
      </x:c>
      <x:c r="E396" s="5" t="inlineStr">
        <x:is>
          <x:t xml:space="preserve">audio_on</x:t>
        </x:is>
      </x:c>
      <x:c r="F396" s="6" t="inlineStr">
        <x:is>
          <x:t xml:space="preserve"/>
        </x:is>
      </x:c>
      <x:c r="G396" s="6" t="inlineStr">
        <x:is>
          <x:t xml:space="preserve">6</x:t>
        </x:is>
      </x:c>
      <x:c r="H396" s="5" t="inlineStr">
        <x:is>
          <x:t xml:space="preserve"/>
        </x:is>
      </x:c>
      <x:c r="I396" s="5" t="inlineStr">
        <x:is>
          <x:t xml:space="preserve"/>
        </x:is>
      </x:c>
      <x:c r="J396" s="5" t="inlineStr">
        <x:is>
          <x:t xml:space="preserve"/>
        </x:is>
      </x:c>
      <x:c r="K396" s="5" t="inlineStr">
        <x:is>
          <x:t xml:space="preserve"/>
        </x:is>
      </x:c>
      <x:c r="L396" s="5" t="inlineStr">
        <x:is>
          <x:t xml:space="preserve"/>
        </x:is>
      </x:c>
      <x:c r="M396" s="5" t="inlineStr">
        <x:is>
          <x:t xml:space="preserve"/>
        </x:is>
      </x:c>
      <x:c r="N396" s="5" t="inlineStr">
        <x:is>
          <x:t xml:space="preserve"/>
        </x:is>
      </x:c>
      <x:c r="O396" s="5" t="inlineStr">
        <x:is>
          <x:t xml:space="preserve"/>
        </x:is>
      </x:c>
      <x:c r="P396" s="5" t="inlineStr">
        <x:is>
          <x:t xml:space="preserve"/>
        </x:is>
      </x:c>
      <x:c r="Q396" s="5" t="inlineStr">
        <x:is>
          <x:t xml:space="preserve"/>
        </x:is>
      </x:c>
      <x:c r="R396" s="5">
        <x:f>IF(OR(F396="",G396=""),"",IF(F396&gt;=0.95*G396,1,0))</x:f>
      </x:c>
      <x:c r="S396" s="7">
        <x:f>IFERROR((I396+J396+K396)/F396,"")</x:f>
      </x:c>
      <x:c r="T396" s="5">
        <x:f>IFERROR(I396+J396+K396,"")</x:f>
        <x:v>0</x:v>
      </x:c>
    </x:row>
    <x:row r="397" ht="22" customHeight="1">
      <x:c r="A397" s="5" t="inlineStr">
        <x:is>
          <x:t xml:space="preserve">P033</x:t>
        </x:is>
      </x:c>
      <x:c r="B397" s="5" t="inlineStr">
        <x:is>
          <x:t xml:space="preserve">9</x:t>
        </x:is>
      </x:c>
      <x:c r="C397" s="5" t="inlineStr">
        <x:is>
          <x:t xml:space="preserve">V01_productivity_friction</x:t>
        </x:is>
      </x:c>
      <x:c r="D397" s="5" t="inlineStr">
        <x:is>
          <x:t xml:space="preserve">bcc_plus</x:t>
        </x:is>
      </x:c>
      <x:c r="E397" s="5" t="inlineStr">
        <x:is>
          <x:t xml:space="preserve">muted</x:t>
        </x:is>
      </x:c>
      <x:c r="F397" s="6" t="inlineStr">
        <x:is>
          <x:t xml:space="preserve"/>
        </x:is>
      </x:c>
      <x:c r="G397" s="6" t="inlineStr">
        <x:is>
          <x:t xml:space="preserve">6</x:t>
        </x:is>
      </x:c>
      <x:c r="H397" s="5" t="inlineStr">
        <x:is>
          <x:t xml:space="preserve"/>
        </x:is>
      </x:c>
      <x:c r="I397" s="5" t="inlineStr">
        <x:is>
          <x:t xml:space="preserve"/>
        </x:is>
      </x:c>
      <x:c r="J397" s="5" t="inlineStr">
        <x:is>
          <x:t xml:space="preserve"/>
        </x:is>
      </x:c>
      <x:c r="K397" s="5" t="inlineStr">
        <x:is>
          <x:t xml:space="preserve"/>
        </x:is>
      </x:c>
      <x:c r="L397" s="5" t="inlineStr">
        <x:is>
          <x:t xml:space="preserve"/>
        </x:is>
      </x:c>
      <x:c r="M397" s="5" t="inlineStr">
        <x:is>
          <x:t xml:space="preserve"/>
        </x:is>
      </x:c>
      <x:c r="N397" s="5" t="inlineStr">
        <x:is>
          <x:t xml:space="preserve"/>
        </x:is>
      </x:c>
      <x:c r="O397" s="5" t="inlineStr">
        <x:is>
          <x:t xml:space="preserve"/>
        </x:is>
      </x:c>
      <x:c r="P397" s="5" t="inlineStr">
        <x:is>
          <x:t xml:space="preserve"/>
        </x:is>
      </x:c>
      <x:c r="Q397" s="5" t="inlineStr">
        <x:is>
          <x:t xml:space="preserve"/>
        </x:is>
      </x:c>
      <x:c r="R397" s="5">
        <x:f>IF(OR(F397="",G397=""),"",IF(F397&gt;=0.95*G397,1,0))</x:f>
      </x:c>
      <x:c r="S397" s="7">
        <x:f>IFERROR((I397+J397+K397)/F397,"")</x:f>
      </x:c>
      <x:c r="T397" s="5">
        <x:f>IFERROR(I397+J397+K397,"")</x:f>
        <x:v>0</x:v>
      </x:c>
    </x:row>
    <x:row r="398" ht="22" customHeight="1">
      <x:c r="A398" s="5" t="inlineStr">
        <x:is>
          <x:t xml:space="preserve">P033</x:t>
        </x:is>
      </x:c>
      <x:c r="B398" s="5" t="inlineStr">
        <x:is>
          <x:t xml:space="preserve">10</x:t>
        </x:is>
      </x:c>
      <x:c r="C398" s="5" t="inlineStr">
        <x:is>
          <x:t xml:space="preserve">V12_creativity_constraints</x:t>
        </x:is>
      </x:c>
      <x:c r="D398" s="5" t="inlineStr">
        <x:is>
          <x:t xml:space="preserve">heavy_bionic</x:t>
        </x:is>
      </x:c>
      <x:c r="E398" s="5" t="inlineStr">
        <x:is>
          <x:t xml:space="preserve">audio_on</x:t>
        </x:is>
      </x:c>
      <x:c r="F398" s="6" t="inlineStr">
        <x:is>
          <x:t xml:space="preserve"/>
        </x:is>
      </x:c>
      <x:c r="G398" s="6" t="inlineStr">
        <x:is>
          <x:t xml:space="preserve">6</x:t>
        </x:is>
      </x:c>
      <x:c r="H398" s="5" t="inlineStr">
        <x:is>
          <x:t xml:space="preserve"/>
        </x:is>
      </x:c>
      <x:c r="I398" s="5" t="inlineStr">
        <x:is>
          <x:t xml:space="preserve"/>
        </x:is>
      </x:c>
      <x:c r="J398" s="5" t="inlineStr">
        <x:is>
          <x:t xml:space="preserve"/>
        </x:is>
      </x:c>
      <x:c r="K398" s="5" t="inlineStr">
        <x:is>
          <x:t xml:space="preserve"/>
        </x:is>
      </x:c>
      <x:c r="L398" s="5" t="inlineStr">
        <x:is>
          <x:t xml:space="preserve"/>
        </x:is>
      </x:c>
      <x:c r="M398" s="5" t="inlineStr">
        <x:is>
          <x:t xml:space="preserve"/>
        </x:is>
      </x:c>
      <x:c r="N398" s="5" t="inlineStr">
        <x:is>
          <x:t xml:space="preserve"/>
        </x:is>
      </x:c>
      <x:c r="O398" s="5" t="inlineStr">
        <x:is>
          <x:t xml:space="preserve"/>
        </x:is>
      </x:c>
      <x:c r="P398" s="5" t="inlineStr">
        <x:is>
          <x:t xml:space="preserve"/>
        </x:is>
      </x:c>
      <x:c r="Q398" s="5" t="inlineStr">
        <x:is>
          <x:t xml:space="preserve"/>
        </x:is>
      </x:c>
      <x:c r="R398" s="5">
        <x:f>IF(OR(F398="",G398=""),"",IF(F398&gt;=0.95*G398,1,0))</x:f>
      </x:c>
      <x:c r="S398" s="7">
        <x:f>IFERROR((I398+J398+K398)/F398,"")</x:f>
      </x:c>
      <x:c r="T398" s="5">
        <x:f>IFERROR(I398+J398+K398,"")</x:f>
        <x:v>0</x:v>
      </x:c>
    </x:row>
    <x:row r="399" ht="22" customHeight="1">
      <x:c r="A399" s="5" t="inlineStr">
        <x:is>
          <x:t xml:space="preserve">P033</x:t>
        </x:is>
      </x:c>
      <x:c r="B399" s="5" t="inlineStr">
        <x:is>
          <x:t xml:space="preserve">11</x:t>
        </x:is>
      </x:c>
      <x:c r="C399" s="5" t="inlineStr">
        <x:is>
          <x:t xml:space="preserve">V03_fitness_setup</x:t>
        </x:is>
      </x:c>
      <x:c r="D399" s="5" t="inlineStr">
        <x:is>
          <x:t xml:space="preserve">full_transcript</x:t>
        </x:is>
      </x:c>
      <x:c r="E399" s="5" t="inlineStr">
        <x:is>
          <x:t xml:space="preserve">muted</x:t>
        </x:is>
      </x:c>
      <x:c r="F399" s="6" t="inlineStr">
        <x:is>
          <x:t xml:space="preserve"/>
        </x:is>
      </x:c>
      <x:c r="G399" s="6" t="inlineStr">
        <x:is>
          <x:t xml:space="preserve">6</x:t>
        </x:is>
      </x:c>
      <x:c r="H399" s="5" t="inlineStr">
        <x:is>
          <x:t xml:space="preserve"/>
        </x:is>
      </x:c>
      <x:c r="I399" s="5" t="inlineStr">
        <x:is>
          <x:t xml:space="preserve"/>
        </x:is>
      </x:c>
      <x:c r="J399" s="5" t="inlineStr">
        <x:is>
          <x:t xml:space="preserve"/>
        </x:is>
      </x:c>
      <x:c r="K399" s="5" t="inlineStr">
        <x:is>
          <x:t xml:space="preserve"/>
        </x:is>
      </x:c>
      <x:c r="L399" s="5" t="inlineStr">
        <x:is>
          <x:t xml:space="preserve"/>
        </x:is>
      </x:c>
      <x:c r="M399" s="5" t="inlineStr">
        <x:is>
          <x:t xml:space="preserve"/>
        </x:is>
      </x:c>
      <x:c r="N399" s="5" t="inlineStr">
        <x:is>
          <x:t xml:space="preserve"/>
        </x:is>
      </x:c>
      <x:c r="O399" s="5" t="inlineStr">
        <x:is>
          <x:t xml:space="preserve"/>
        </x:is>
      </x:c>
      <x:c r="P399" s="5" t="inlineStr">
        <x:is>
          <x:t xml:space="preserve"/>
        </x:is>
      </x:c>
      <x:c r="Q399" s="5" t="inlineStr">
        <x:is>
          <x:t xml:space="preserve"/>
        </x:is>
      </x:c>
      <x:c r="R399" s="5">
        <x:f>IF(OR(F399="",G399=""),"",IF(F399&gt;=0.95*G399,1,0))</x:f>
      </x:c>
      <x:c r="S399" s="7">
        <x:f>IFERROR((I399+J399+K399)/F399,"")</x:f>
      </x:c>
      <x:c r="T399" s="5">
        <x:f>IFERROR(I399+J399+K399,"")</x:f>
        <x:v>0</x:v>
      </x:c>
    </x:row>
    <x:row r="400" ht="22" customHeight="1">
      <x:c r="A400" s="5" t="inlineStr">
        <x:is>
          <x:t xml:space="preserve">P033</x:t>
        </x:is>
      </x:c>
      <x:c r="B400" s="5" t="inlineStr">
        <x:is>
          <x:t xml:space="preserve">12</x:t>
        </x:is>
      </x:c>
      <x:c r="C400" s="5" t="inlineStr">
        <x:is>
          <x:t xml:space="preserve">V07_business_clarity</x:t>
        </x:is>
      </x:c>
      <x:c r="D400" s="5" t="inlineStr">
        <x:is>
          <x:t xml:space="preserve">keyword_highlight</x:t>
        </x:is>
      </x:c>
      <x:c r="E400" s="5" t="inlineStr">
        <x:is>
          <x:t xml:space="preserve">audio_on</x:t>
        </x:is>
      </x:c>
      <x:c r="F400" s="6" t="inlineStr">
        <x:is>
          <x:t xml:space="preserve"/>
        </x:is>
      </x:c>
      <x:c r="G400" s="6" t="inlineStr">
        <x:is>
          <x:t xml:space="preserve">6</x:t>
        </x:is>
      </x:c>
      <x:c r="H400" s="5" t="inlineStr">
        <x:is>
          <x:t xml:space="preserve"/>
        </x:is>
      </x:c>
      <x:c r="I400" s="5" t="inlineStr">
        <x:is>
          <x:t xml:space="preserve"/>
        </x:is>
      </x:c>
      <x:c r="J400" s="5" t="inlineStr">
        <x:is>
          <x:t xml:space="preserve"/>
        </x:is>
      </x:c>
      <x:c r="K400" s="5" t="inlineStr">
        <x:is>
          <x:t xml:space="preserve"/>
        </x:is>
      </x:c>
      <x:c r="L400" s="5" t="inlineStr">
        <x:is>
          <x:t xml:space="preserve"/>
        </x:is>
      </x:c>
      <x:c r="M400" s="5" t="inlineStr">
        <x:is>
          <x:t xml:space="preserve"/>
        </x:is>
      </x:c>
      <x:c r="N400" s="5" t="inlineStr">
        <x:is>
          <x:t xml:space="preserve"/>
        </x:is>
      </x:c>
      <x:c r="O400" s="5" t="inlineStr">
        <x:is>
          <x:t xml:space="preserve"/>
        </x:is>
      </x:c>
      <x:c r="P400" s="5" t="inlineStr">
        <x:is>
          <x:t xml:space="preserve"/>
        </x:is>
      </x:c>
      <x:c r="Q400" s="5" t="inlineStr">
        <x:is>
          <x:t xml:space="preserve"/>
        </x:is>
      </x:c>
      <x:c r="R400" s="5">
        <x:f>IF(OR(F400="",G400=""),"",IF(F400&gt;=0.95*G400,1,0))</x:f>
      </x:c>
      <x:c r="S400" s="7">
        <x:f>IFERROR((I400+J400+K400)/F400,"")</x:f>
      </x:c>
      <x:c r="T400" s="5">
        <x:f>IFERROR(I400+J400+K400,"")</x:f>
        <x:v>0</x:v>
      </x:c>
    </x:row>
    <x:row r="401" ht="22" customHeight="1">
      <x:c r="A401" s="5" t="inlineStr">
        <x:is>
          <x:t xml:space="preserve">P034</x:t>
        </x:is>
      </x:c>
      <x:c r="B401" s="5" t="inlineStr">
        <x:is>
          <x:t xml:space="preserve">1</x:t>
        </x:is>
      </x:c>
      <x:c r="C401" s="5" t="inlineStr">
        <x:is>
          <x:t xml:space="preserve">V02_study_recall</x:t>
        </x:is>
      </x:c>
      <x:c r="D401" s="5" t="inlineStr">
        <x:is>
          <x:t xml:space="preserve">bcc</x:t>
        </x:is>
      </x:c>
      <x:c r="E401" s="5" t="inlineStr">
        <x:is>
          <x:t xml:space="preserve">audio_on</x:t>
        </x:is>
      </x:c>
      <x:c r="F401" s="6" t="inlineStr">
        <x:is>
          <x:t xml:space="preserve"/>
        </x:is>
      </x:c>
      <x:c r="G401" s="6" t="inlineStr">
        <x:is>
          <x:t xml:space="preserve">6</x:t>
        </x:is>
      </x:c>
      <x:c r="H401" s="5" t="inlineStr">
        <x:is>
          <x:t xml:space="preserve"/>
        </x:is>
      </x:c>
      <x:c r="I401" s="5" t="inlineStr">
        <x:is>
          <x:t xml:space="preserve"/>
        </x:is>
      </x:c>
      <x:c r="J401" s="5" t="inlineStr">
        <x:is>
          <x:t xml:space="preserve"/>
        </x:is>
      </x:c>
      <x:c r="K401" s="5" t="inlineStr">
        <x:is>
          <x:t xml:space="preserve"/>
        </x:is>
      </x:c>
      <x:c r="L401" s="5" t="inlineStr">
        <x:is>
          <x:t xml:space="preserve"/>
        </x:is>
      </x:c>
      <x:c r="M401" s="5" t="inlineStr">
        <x:is>
          <x:t xml:space="preserve"/>
        </x:is>
      </x:c>
      <x:c r="N401" s="5" t="inlineStr">
        <x:is>
          <x:t xml:space="preserve"/>
        </x:is>
      </x:c>
      <x:c r="O401" s="5" t="inlineStr">
        <x:is>
          <x:t xml:space="preserve"/>
        </x:is>
      </x:c>
      <x:c r="P401" s="5" t="inlineStr">
        <x:is>
          <x:t xml:space="preserve"/>
        </x:is>
      </x:c>
      <x:c r="Q401" s="5" t="inlineStr">
        <x:is>
          <x:t xml:space="preserve"/>
        </x:is>
      </x:c>
      <x:c r="R401" s="5">
        <x:f>IF(OR(F401="",G401=""),"",IF(F401&gt;=0.95*G401,1,0))</x:f>
      </x:c>
      <x:c r="S401" s="7">
        <x:f>IFERROR((I401+J401+K401)/F401,"")</x:f>
      </x:c>
      <x:c r="T401" s="5">
        <x:f>IFERROR(I401+J401+K401,"")</x:f>
        <x:v>0</x:v>
      </x:c>
    </x:row>
    <x:row r="402" ht="22" customHeight="1">
      <x:c r="A402" s="5" t="inlineStr">
        <x:is>
          <x:t xml:space="preserve">P034</x:t>
        </x:is>
      </x:c>
      <x:c r="B402" s="5" t="inlineStr">
        <x:is>
          <x:t xml:space="preserve">2</x:t>
        </x:is>
      </x:c>
      <x:c r="C402" s="5" t="inlineStr">
        <x:is>
          <x:t xml:space="preserve">V04_money_visibility</x:t>
        </x:is>
      </x:c>
      <x:c r="D402" s="5" t="inlineStr">
        <x:is>
          <x:t xml:space="preserve">bcc_plus</x:t>
        </x:is>
      </x:c>
      <x:c r="E402" s="5" t="inlineStr">
        <x:is>
          <x:t xml:space="preserve">muted</x:t>
        </x:is>
      </x:c>
      <x:c r="F402" s="6" t="inlineStr">
        <x:is>
          <x:t xml:space="preserve"/>
        </x:is>
      </x:c>
      <x:c r="G402" s="6" t="inlineStr">
        <x:is>
          <x:t xml:space="preserve">6</x:t>
        </x:is>
      </x:c>
      <x:c r="H402" s="5" t="inlineStr">
        <x:is>
          <x:t xml:space="preserve"/>
        </x:is>
      </x:c>
      <x:c r="I402" s="5" t="inlineStr">
        <x:is>
          <x:t xml:space="preserve"/>
        </x:is>
      </x:c>
      <x:c r="J402" s="5" t="inlineStr">
        <x:is>
          <x:t xml:space="preserve"/>
        </x:is>
      </x:c>
      <x:c r="K402" s="5" t="inlineStr">
        <x:is>
          <x:t xml:space="preserve"/>
        </x:is>
      </x:c>
      <x:c r="L402" s="5" t="inlineStr">
        <x:is>
          <x:t xml:space="preserve"/>
        </x:is>
      </x:c>
      <x:c r="M402" s="5" t="inlineStr">
        <x:is>
          <x:t xml:space="preserve"/>
        </x:is>
      </x:c>
      <x:c r="N402" s="5" t="inlineStr">
        <x:is>
          <x:t xml:space="preserve"/>
        </x:is>
      </x:c>
      <x:c r="O402" s="5" t="inlineStr">
        <x:is>
          <x:t xml:space="preserve"/>
        </x:is>
      </x:c>
      <x:c r="P402" s="5" t="inlineStr">
        <x:is>
          <x:t xml:space="preserve"/>
        </x:is>
      </x:c>
      <x:c r="Q402" s="5" t="inlineStr">
        <x:is>
          <x:t xml:space="preserve"/>
        </x:is>
      </x:c>
      <x:c r="R402" s="5">
        <x:f>IF(OR(F402="",G402=""),"",IF(F402&gt;=0.95*G402,1,0))</x:f>
      </x:c>
      <x:c r="S402" s="7">
        <x:f>IFERROR((I402+J402+K402)/F402,"")</x:f>
      </x:c>
      <x:c r="T402" s="5">
        <x:f>IFERROR(I402+J402+K402,"")</x:f>
        <x:v>0</x:v>
      </x:c>
    </x:row>
    <x:row r="403" ht="22" customHeight="1">
      <x:c r="A403" s="5" t="inlineStr">
        <x:is>
          <x:t xml:space="preserve">P034</x:t>
        </x:is>
      </x:c>
      <x:c r="B403" s="5" t="inlineStr">
        <x:is>
          <x:t xml:space="preserve">3</x:t>
        </x:is>
      </x:c>
      <x:c r="C403" s="5" t="inlineStr">
        <x:is>
          <x:t xml:space="preserve">V03_fitness_setup</x:t>
        </x:is>
      </x:c>
      <x:c r="D403" s="5" t="inlineStr">
        <x:is>
          <x:t xml:space="preserve">heavy_bionic</x:t>
        </x:is>
      </x:c>
      <x:c r="E403" s="5" t="inlineStr">
        <x:is>
          <x:t xml:space="preserve">audio_on</x:t>
        </x:is>
      </x:c>
      <x:c r="F403" s="6" t="inlineStr">
        <x:is>
          <x:t xml:space="preserve"/>
        </x:is>
      </x:c>
      <x:c r="G403" s="6" t="inlineStr">
        <x:is>
          <x:t xml:space="preserve">6</x:t>
        </x:is>
      </x:c>
      <x:c r="H403" s="5" t="inlineStr">
        <x:is>
          <x:t xml:space="preserve"/>
        </x:is>
      </x:c>
      <x:c r="I403" s="5" t="inlineStr">
        <x:is>
          <x:t xml:space="preserve"/>
        </x:is>
      </x:c>
      <x:c r="J403" s="5" t="inlineStr">
        <x:is>
          <x:t xml:space="preserve"/>
        </x:is>
      </x:c>
      <x:c r="K403" s="5" t="inlineStr">
        <x:is>
          <x:t xml:space="preserve"/>
        </x:is>
      </x:c>
      <x:c r="L403" s="5" t="inlineStr">
        <x:is>
          <x:t xml:space="preserve"/>
        </x:is>
      </x:c>
      <x:c r="M403" s="5" t="inlineStr">
        <x:is>
          <x:t xml:space="preserve"/>
        </x:is>
      </x:c>
      <x:c r="N403" s="5" t="inlineStr">
        <x:is>
          <x:t xml:space="preserve"/>
        </x:is>
      </x:c>
      <x:c r="O403" s="5" t="inlineStr">
        <x:is>
          <x:t xml:space="preserve"/>
        </x:is>
      </x:c>
      <x:c r="P403" s="5" t="inlineStr">
        <x:is>
          <x:t xml:space="preserve"/>
        </x:is>
      </x:c>
      <x:c r="Q403" s="5" t="inlineStr">
        <x:is>
          <x:t xml:space="preserve"/>
        </x:is>
      </x:c>
      <x:c r="R403" s="5">
        <x:f>IF(OR(F403="",G403=""),"",IF(F403&gt;=0.95*G403,1,0))</x:f>
      </x:c>
      <x:c r="S403" s="7">
        <x:f>IFERROR((I403+J403+K403)/F403,"")</x:f>
      </x:c>
      <x:c r="T403" s="5">
        <x:f>IFERROR(I403+J403+K403,"")</x:f>
        <x:v>0</x:v>
      </x:c>
    </x:row>
    <x:row r="404" ht="22" customHeight="1">
      <x:c r="A404" s="5" t="inlineStr">
        <x:is>
          <x:t xml:space="preserve">P034</x:t>
        </x:is>
      </x:c>
      <x:c r="B404" s="5" t="inlineStr">
        <x:is>
          <x:t xml:space="preserve">4</x:t>
        </x:is>
      </x:c>
      <x:c r="C404" s="5" t="inlineStr">
        <x:is>
          <x:t xml:space="preserve">V01_productivity_friction</x:t>
        </x:is>
      </x:c>
      <x:c r="D404" s="5" t="inlineStr">
        <x:is>
          <x:t xml:space="preserve">full_transcript</x:t>
        </x:is>
      </x:c>
      <x:c r="E404" s="5" t="inlineStr">
        <x:is>
          <x:t xml:space="preserve">muted</x:t>
        </x:is>
      </x:c>
      <x:c r="F404" s="6" t="inlineStr">
        <x:is>
          <x:t xml:space="preserve"/>
        </x:is>
      </x:c>
      <x:c r="G404" s="6" t="inlineStr">
        <x:is>
          <x:t xml:space="preserve">6</x:t>
        </x:is>
      </x:c>
      <x:c r="H404" s="5" t="inlineStr">
        <x:is>
          <x:t xml:space="preserve"/>
        </x:is>
      </x:c>
      <x:c r="I404" s="5" t="inlineStr">
        <x:is>
          <x:t xml:space="preserve"/>
        </x:is>
      </x:c>
      <x:c r="J404" s="5" t="inlineStr">
        <x:is>
          <x:t xml:space="preserve"/>
        </x:is>
      </x:c>
      <x:c r="K404" s="5" t="inlineStr">
        <x:is>
          <x:t xml:space="preserve"/>
        </x:is>
      </x:c>
      <x:c r="L404" s="5" t="inlineStr">
        <x:is>
          <x:t xml:space="preserve"/>
        </x:is>
      </x:c>
      <x:c r="M404" s="5" t="inlineStr">
        <x:is>
          <x:t xml:space="preserve"/>
        </x:is>
      </x:c>
      <x:c r="N404" s="5" t="inlineStr">
        <x:is>
          <x:t xml:space="preserve"/>
        </x:is>
      </x:c>
      <x:c r="O404" s="5" t="inlineStr">
        <x:is>
          <x:t xml:space="preserve"/>
        </x:is>
      </x:c>
      <x:c r="P404" s="5" t="inlineStr">
        <x:is>
          <x:t xml:space="preserve"/>
        </x:is>
      </x:c>
      <x:c r="Q404" s="5" t="inlineStr">
        <x:is>
          <x:t xml:space="preserve"/>
        </x:is>
      </x:c>
      <x:c r="R404" s="5">
        <x:f>IF(OR(F404="",G404=""),"",IF(F404&gt;=0.95*G404,1,0))</x:f>
      </x:c>
      <x:c r="S404" s="7">
        <x:f>IFERROR((I404+J404+K404)/F404,"")</x:f>
      </x:c>
      <x:c r="T404" s="5">
        <x:f>IFERROR(I404+J404+K404,"")</x:f>
        <x:v>0</x:v>
      </x:c>
    </x:row>
    <x:row r="405" ht="22" customHeight="1">
      <x:c r="A405" s="5" t="inlineStr">
        <x:is>
          <x:t xml:space="preserve">P034</x:t>
        </x:is>
      </x:c>
      <x:c r="B405" s="5" t="inlineStr">
        <x:is>
          <x:t xml:space="preserve">5</x:t>
        </x:is>
      </x:c>
      <x:c r="C405" s="5" t="inlineStr">
        <x:is>
          <x:t xml:space="preserve">V07_business_clarity</x:t>
        </x:is>
      </x:c>
      <x:c r="D405" s="5" t="inlineStr">
        <x:is>
          <x:t xml:space="preserve">keyword_highlight</x:t>
        </x:is>
      </x:c>
      <x:c r="E405" s="5" t="inlineStr">
        <x:is>
          <x:t xml:space="preserve">audio_on</x:t>
        </x:is>
      </x:c>
      <x:c r="F405" s="6" t="inlineStr">
        <x:is>
          <x:t xml:space="preserve"/>
        </x:is>
      </x:c>
      <x:c r="G405" s="6" t="inlineStr">
        <x:is>
          <x:t xml:space="preserve">6</x:t>
        </x:is>
      </x:c>
      <x:c r="H405" s="5" t="inlineStr">
        <x:is>
          <x:t xml:space="preserve"/>
        </x:is>
      </x:c>
      <x:c r="I405" s="5" t="inlineStr">
        <x:is>
          <x:t xml:space="preserve"/>
        </x:is>
      </x:c>
      <x:c r="J405" s="5" t="inlineStr">
        <x:is>
          <x:t xml:space="preserve"/>
        </x:is>
      </x:c>
      <x:c r="K405" s="5" t="inlineStr">
        <x:is>
          <x:t xml:space="preserve"/>
        </x:is>
      </x:c>
      <x:c r="L405" s="5" t="inlineStr">
        <x:is>
          <x:t xml:space="preserve"/>
        </x:is>
      </x:c>
      <x:c r="M405" s="5" t="inlineStr">
        <x:is>
          <x:t xml:space="preserve"/>
        </x:is>
      </x:c>
      <x:c r="N405" s="5" t="inlineStr">
        <x:is>
          <x:t xml:space="preserve"/>
        </x:is>
      </x:c>
      <x:c r="O405" s="5" t="inlineStr">
        <x:is>
          <x:t xml:space="preserve"/>
        </x:is>
      </x:c>
      <x:c r="P405" s="5" t="inlineStr">
        <x:is>
          <x:t xml:space="preserve"/>
        </x:is>
      </x:c>
      <x:c r="Q405" s="5" t="inlineStr">
        <x:is>
          <x:t xml:space="preserve"/>
        </x:is>
      </x:c>
      <x:c r="R405" s="5">
        <x:f>IF(OR(F405="",G405=""),"",IF(F405&gt;=0.95*G405,1,0))</x:f>
      </x:c>
      <x:c r="S405" s="7">
        <x:f>IFERROR((I405+J405+K405)/F405,"")</x:f>
      </x:c>
      <x:c r="T405" s="5">
        <x:f>IFERROR(I405+J405+K405,"")</x:f>
        <x:v>0</x:v>
      </x:c>
    </x:row>
    <x:row r="406" ht="22" customHeight="1">
      <x:c r="A406" s="5" t="inlineStr">
        <x:is>
          <x:t xml:space="preserve">P034</x:t>
        </x:is>
      </x:c>
      <x:c r="B406" s="5" t="inlineStr">
        <x:is>
          <x:t xml:space="preserve">6</x:t>
        </x:is>
      </x:c>
      <x:c r="C406" s="5" t="inlineStr">
        <x:is>
          <x:t xml:space="preserve">V10_tutorial_ui</x:t>
        </x:is>
      </x:c>
      <x:c r="D406" s="5" t="inlineStr">
        <x:is>
          <x:t xml:space="preserve">semantic_compression</x:t>
        </x:is>
      </x:c>
      <x:c r="E406" s="5" t="inlineStr">
        <x:is>
          <x:t xml:space="preserve">muted</x:t>
        </x:is>
      </x:c>
      <x:c r="F406" s="6" t="inlineStr">
        <x:is>
          <x:t xml:space="preserve"/>
        </x:is>
      </x:c>
      <x:c r="G406" s="6" t="inlineStr">
        <x:is>
          <x:t xml:space="preserve">6</x:t>
        </x:is>
      </x:c>
      <x:c r="H406" s="5" t="inlineStr">
        <x:is>
          <x:t xml:space="preserve"/>
        </x:is>
      </x:c>
      <x:c r="I406" s="5" t="inlineStr">
        <x:is>
          <x:t xml:space="preserve"/>
        </x:is>
      </x:c>
      <x:c r="J406" s="5" t="inlineStr">
        <x:is>
          <x:t xml:space="preserve"/>
        </x:is>
      </x:c>
      <x:c r="K406" s="5" t="inlineStr">
        <x:is>
          <x:t xml:space="preserve"/>
        </x:is>
      </x:c>
      <x:c r="L406" s="5" t="inlineStr">
        <x:is>
          <x:t xml:space="preserve"/>
        </x:is>
      </x:c>
      <x:c r="M406" s="5" t="inlineStr">
        <x:is>
          <x:t xml:space="preserve"/>
        </x:is>
      </x:c>
      <x:c r="N406" s="5" t="inlineStr">
        <x:is>
          <x:t xml:space="preserve"/>
        </x:is>
      </x:c>
      <x:c r="O406" s="5" t="inlineStr">
        <x:is>
          <x:t xml:space="preserve"/>
        </x:is>
      </x:c>
      <x:c r="P406" s="5" t="inlineStr">
        <x:is>
          <x:t xml:space="preserve"/>
        </x:is>
      </x:c>
      <x:c r="Q406" s="5" t="inlineStr">
        <x:is>
          <x:t xml:space="preserve"/>
        </x:is>
      </x:c>
      <x:c r="R406" s="5">
        <x:f>IF(OR(F406="",G406=""),"",IF(F406&gt;=0.95*G406,1,0))</x:f>
      </x:c>
      <x:c r="S406" s="7">
        <x:f>IFERROR((I406+J406+K406)/F406,"")</x:f>
      </x:c>
      <x:c r="T406" s="5">
        <x:f>IFERROR(I406+J406+K406,"")</x:f>
        <x:v>0</x:v>
      </x:c>
    </x:row>
    <x:row r="407" ht="22" customHeight="1">
      <x:c r="A407" s="5" t="inlineStr">
        <x:is>
          <x:t xml:space="preserve">P034</x:t>
        </x:is>
      </x:c>
      <x:c r="B407" s="5" t="inlineStr">
        <x:is>
          <x:t xml:space="preserve">7</x:t>
        </x:is>
      </x:c>
      <x:c r="C407" s="5" t="inlineStr">
        <x:is>
          <x:t xml:space="preserve">V05_coding_assumptions</x:t>
        </x:is>
      </x:c>
      <x:c r="D407" s="5" t="inlineStr">
        <x:is>
          <x:t xml:space="preserve">bcc</x:t>
        </x:is>
      </x:c>
      <x:c r="E407" s="5" t="inlineStr">
        <x:is>
          <x:t xml:space="preserve">audio_on</x:t>
        </x:is>
      </x:c>
      <x:c r="F407" s="6" t="inlineStr">
        <x:is>
          <x:t xml:space="preserve"/>
        </x:is>
      </x:c>
      <x:c r="G407" s="6" t="inlineStr">
        <x:is>
          <x:t xml:space="preserve">6</x:t>
        </x:is>
      </x:c>
      <x:c r="H407" s="5" t="inlineStr">
        <x:is>
          <x:t xml:space="preserve"/>
        </x:is>
      </x:c>
      <x:c r="I407" s="5" t="inlineStr">
        <x:is>
          <x:t xml:space="preserve"/>
        </x:is>
      </x:c>
      <x:c r="J407" s="5" t="inlineStr">
        <x:is>
          <x:t xml:space="preserve"/>
        </x:is>
      </x:c>
      <x:c r="K407" s="5" t="inlineStr">
        <x:is>
          <x:t xml:space="preserve"/>
        </x:is>
      </x:c>
      <x:c r="L407" s="5" t="inlineStr">
        <x:is>
          <x:t xml:space="preserve"/>
        </x:is>
      </x:c>
      <x:c r="M407" s="5" t="inlineStr">
        <x:is>
          <x:t xml:space="preserve"/>
        </x:is>
      </x:c>
      <x:c r="N407" s="5" t="inlineStr">
        <x:is>
          <x:t xml:space="preserve"/>
        </x:is>
      </x:c>
      <x:c r="O407" s="5" t="inlineStr">
        <x:is>
          <x:t xml:space="preserve"/>
        </x:is>
      </x:c>
      <x:c r="P407" s="5" t="inlineStr">
        <x:is>
          <x:t xml:space="preserve"/>
        </x:is>
      </x:c>
      <x:c r="Q407" s="5" t="inlineStr">
        <x:is>
          <x:t xml:space="preserve"/>
        </x:is>
      </x:c>
      <x:c r="R407" s="5">
        <x:f>IF(OR(F407="",G407=""),"",IF(F407&gt;=0.95*G407,1,0))</x:f>
      </x:c>
      <x:c r="S407" s="7">
        <x:f>IFERROR((I407+J407+K407)/F407,"")</x:f>
      </x:c>
      <x:c r="T407" s="5">
        <x:f>IFERROR(I407+J407+K407,"")</x:f>
        <x:v>0</x:v>
      </x:c>
    </x:row>
    <x:row r="408" ht="22" customHeight="1">
      <x:c r="A408" s="5" t="inlineStr">
        <x:is>
          <x:t xml:space="preserve">P034</x:t>
        </x:is>
      </x:c>
      <x:c r="B408" s="5" t="inlineStr">
        <x:is>
          <x:t xml:space="preserve">8</x:t>
        </x:is>
      </x:c>
      <x:c r="C408" s="5" t="inlineStr">
        <x:is>
          <x:t xml:space="preserve">V09_nutrition_satiety</x:t>
        </x:is>
      </x:c>
      <x:c r="D408" s="5" t="inlineStr">
        <x:is>
          <x:t xml:space="preserve">bcc_plus</x:t>
        </x:is>
      </x:c>
      <x:c r="E408" s="5" t="inlineStr">
        <x:is>
          <x:t xml:space="preserve">muted</x:t>
        </x:is>
      </x:c>
      <x:c r="F408" s="6" t="inlineStr">
        <x:is>
          <x:t xml:space="preserve"/>
        </x:is>
      </x:c>
      <x:c r="G408" s="6" t="inlineStr">
        <x:is>
          <x:t xml:space="preserve">6</x:t>
        </x:is>
      </x:c>
      <x:c r="H408" s="5" t="inlineStr">
        <x:is>
          <x:t xml:space="preserve"/>
        </x:is>
      </x:c>
      <x:c r="I408" s="5" t="inlineStr">
        <x:is>
          <x:t xml:space="preserve"/>
        </x:is>
      </x:c>
      <x:c r="J408" s="5" t="inlineStr">
        <x:is>
          <x:t xml:space="preserve"/>
        </x:is>
      </x:c>
      <x:c r="K408" s="5" t="inlineStr">
        <x:is>
          <x:t xml:space="preserve"/>
        </x:is>
      </x:c>
      <x:c r="L408" s="5" t="inlineStr">
        <x:is>
          <x:t xml:space="preserve"/>
        </x:is>
      </x:c>
      <x:c r="M408" s="5" t="inlineStr">
        <x:is>
          <x:t xml:space="preserve"/>
        </x:is>
      </x:c>
      <x:c r="N408" s="5" t="inlineStr">
        <x:is>
          <x:t xml:space="preserve"/>
        </x:is>
      </x:c>
      <x:c r="O408" s="5" t="inlineStr">
        <x:is>
          <x:t xml:space="preserve"/>
        </x:is>
      </x:c>
      <x:c r="P408" s="5" t="inlineStr">
        <x:is>
          <x:t xml:space="preserve"/>
        </x:is>
      </x:c>
      <x:c r="Q408" s="5" t="inlineStr">
        <x:is>
          <x:t xml:space="preserve"/>
        </x:is>
      </x:c>
      <x:c r="R408" s="5">
        <x:f>IF(OR(F408="",G408=""),"",IF(F408&gt;=0.95*G408,1,0))</x:f>
      </x:c>
      <x:c r="S408" s="7">
        <x:f>IFERROR((I408+J408+K408)/F408,"")</x:f>
      </x:c>
      <x:c r="T408" s="5">
        <x:f>IFERROR(I408+J408+K408,"")</x:f>
        <x:v>0</x:v>
      </x:c>
    </x:row>
    <x:row r="409" ht="22" customHeight="1">
      <x:c r="A409" s="5" t="inlineStr">
        <x:is>
          <x:t xml:space="preserve">P034</x:t>
        </x:is>
      </x:c>
      <x:c r="B409" s="5" t="inlineStr">
        <x:is>
          <x:t xml:space="preserve">9</x:t>
        </x:is>
      </x:c>
      <x:c r="C409" s="5" t="inlineStr">
        <x:is>
          <x:t xml:space="preserve">V11_story_burnout</x:t>
        </x:is>
      </x:c>
      <x:c r="D409" s="5" t="inlineStr">
        <x:is>
          <x:t xml:space="preserve">heavy_bionic</x:t>
        </x:is>
      </x:c>
      <x:c r="E409" s="5" t="inlineStr">
        <x:is>
          <x:t xml:space="preserve">audio_on</x:t>
        </x:is>
      </x:c>
      <x:c r="F409" s="6" t="inlineStr">
        <x:is>
          <x:t xml:space="preserve"/>
        </x:is>
      </x:c>
      <x:c r="G409" s="6" t="inlineStr">
        <x:is>
          <x:t xml:space="preserve">6</x:t>
        </x:is>
      </x:c>
      <x:c r="H409" s="5" t="inlineStr">
        <x:is>
          <x:t xml:space="preserve"/>
        </x:is>
      </x:c>
      <x:c r="I409" s="5" t="inlineStr">
        <x:is>
          <x:t xml:space="preserve"/>
        </x:is>
      </x:c>
      <x:c r="J409" s="5" t="inlineStr">
        <x:is>
          <x:t xml:space="preserve"/>
        </x:is>
      </x:c>
      <x:c r="K409" s="5" t="inlineStr">
        <x:is>
          <x:t xml:space="preserve"/>
        </x:is>
      </x:c>
      <x:c r="L409" s="5" t="inlineStr">
        <x:is>
          <x:t xml:space="preserve"/>
        </x:is>
      </x:c>
      <x:c r="M409" s="5" t="inlineStr">
        <x:is>
          <x:t xml:space="preserve"/>
        </x:is>
      </x:c>
      <x:c r="N409" s="5" t="inlineStr">
        <x:is>
          <x:t xml:space="preserve"/>
        </x:is>
      </x:c>
      <x:c r="O409" s="5" t="inlineStr">
        <x:is>
          <x:t xml:space="preserve"/>
        </x:is>
      </x:c>
      <x:c r="P409" s="5" t="inlineStr">
        <x:is>
          <x:t xml:space="preserve"/>
        </x:is>
      </x:c>
      <x:c r="Q409" s="5" t="inlineStr">
        <x:is>
          <x:t xml:space="preserve"/>
        </x:is>
      </x:c>
      <x:c r="R409" s="5">
        <x:f>IF(OR(F409="",G409=""),"",IF(F409&gt;=0.95*G409,1,0))</x:f>
      </x:c>
      <x:c r="S409" s="7">
        <x:f>IFERROR((I409+J409+K409)/F409,"")</x:f>
      </x:c>
      <x:c r="T409" s="5">
        <x:f>IFERROR(I409+J409+K409,"")</x:f>
        <x:v>0</x:v>
      </x:c>
    </x:row>
    <x:row r="410" ht="22" customHeight="1">
      <x:c r="A410" s="5" t="inlineStr">
        <x:is>
          <x:t xml:space="preserve">P034</x:t>
        </x:is>
      </x:c>
      <x:c r="B410" s="5" t="inlineStr">
        <x:is>
          <x:t xml:space="preserve">10</x:t>
        </x:is>
      </x:c>
      <x:c r="C410" s="5" t="inlineStr">
        <x:is>
          <x:t xml:space="preserve">V12_creativity_constraints</x:t>
        </x:is>
      </x:c>
      <x:c r="D410" s="5" t="inlineStr">
        <x:is>
          <x:t xml:space="preserve">full_transcript</x:t>
        </x:is>
      </x:c>
      <x:c r="E410" s="5" t="inlineStr">
        <x:is>
          <x:t xml:space="preserve">muted</x:t>
        </x:is>
      </x:c>
      <x:c r="F410" s="6" t="inlineStr">
        <x:is>
          <x:t xml:space="preserve"/>
        </x:is>
      </x:c>
      <x:c r="G410" s="6" t="inlineStr">
        <x:is>
          <x:t xml:space="preserve">6</x:t>
        </x:is>
      </x:c>
      <x:c r="H410" s="5" t="inlineStr">
        <x:is>
          <x:t xml:space="preserve"/>
        </x:is>
      </x:c>
      <x:c r="I410" s="5" t="inlineStr">
        <x:is>
          <x:t xml:space="preserve"/>
        </x:is>
      </x:c>
      <x:c r="J410" s="5" t="inlineStr">
        <x:is>
          <x:t xml:space="preserve"/>
        </x:is>
      </x:c>
      <x:c r="K410" s="5" t="inlineStr">
        <x:is>
          <x:t xml:space="preserve"/>
        </x:is>
      </x:c>
      <x:c r="L410" s="5" t="inlineStr">
        <x:is>
          <x:t xml:space="preserve"/>
        </x:is>
      </x:c>
      <x:c r="M410" s="5" t="inlineStr">
        <x:is>
          <x:t xml:space="preserve"/>
        </x:is>
      </x:c>
      <x:c r="N410" s="5" t="inlineStr">
        <x:is>
          <x:t xml:space="preserve"/>
        </x:is>
      </x:c>
      <x:c r="O410" s="5" t="inlineStr">
        <x:is>
          <x:t xml:space="preserve"/>
        </x:is>
      </x:c>
      <x:c r="P410" s="5" t="inlineStr">
        <x:is>
          <x:t xml:space="preserve"/>
        </x:is>
      </x:c>
      <x:c r="Q410" s="5" t="inlineStr">
        <x:is>
          <x:t xml:space="preserve"/>
        </x:is>
      </x:c>
      <x:c r="R410" s="5">
        <x:f>IF(OR(F410="",G410=""),"",IF(F410&gt;=0.95*G410,1,0))</x:f>
      </x:c>
      <x:c r="S410" s="7">
        <x:f>IFERROR((I410+J410+K410)/F410,"")</x:f>
      </x:c>
      <x:c r="T410" s="5">
        <x:f>IFERROR(I410+J410+K410,"")</x:f>
        <x:v>0</x:v>
      </x:c>
    </x:row>
    <x:row r="411" ht="22" customHeight="1">
      <x:c r="A411" s="5" t="inlineStr">
        <x:is>
          <x:t xml:space="preserve">P034</x:t>
        </x:is>
      </x:c>
      <x:c r="B411" s="5" t="inlineStr">
        <x:is>
          <x:t xml:space="preserve">11</x:t>
        </x:is>
      </x:c>
      <x:c r="C411" s="5" t="inlineStr">
        <x:is>
          <x:t xml:space="preserve">V06_overload_open_loops</x:t>
        </x:is>
      </x:c>
      <x:c r="D411" s="5" t="inlineStr">
        <x:is>
          <x:t xml:space="preserve">keyword_highlight</x:t>
        </x:is>
      </x:c>
      <x:c r="E411" s="5" t="inlineStr">
        <x:is>
          <x:t xml:space="preserve">audio_on</x:t>
        </x:is>
      </x:c>
      <x:c r="F411" s="6" t="inlineStr">
        <x:is>
          <x:t xml:space="preserve"/>
        </x:is>
      </x:c>
      <x:c r="G411" s="6" t="inlineStr">
        <x:is>
          <x:t xml:space="preserve">6</x:t>
        </x:is>
      </x:c>
      <x:c r="H411" s="5" t="inlineStr">
        <x:is>
          <x:t xml:space="preserve"/>
        </x:is>
      </x:c>
      <x:c r="I411" s="5" t="inlineStr">
        <x:is>
          <x:t xml:space="preserve"/>
        </x:is>
      </x:c>
      <x:c r="J411" s="5" t="inlineStr">
        <x:is>
          <x:t xml:space="preserve"/>
        </x:is>
      </x:c>
      <x:c r="K411" s="5" t="inlineStr">
        <x:is>
          <x:t xml:space="preserve"/>
        </x:is>
      </x:c>
      <x:c r="L411" s="5" t="inlineStr">
        <x:is>
          <x:t xml:space="preserve"/>
        </x:is>
      </x:c>
      <x:c r="M411" s="5" t="inlineStr">
        <x:is>
          <x:t xml:space="preserve"/>
        </x:is>
      </x:c>
      <x:c r="N411" s="5" t="inlineStr">
        <x:is>
          <x:t xml:space="preserve"/>
        </x:is>
      </x:c>
      <x:c r="O411" s="5" t="inlineStr">
        <x:is>
          <x:t xml:space="preserve"/>
        </x:is>
      </x:c>
      <x:c r="P411" s="5" t="inlineStr">
        <x:is>
          <x:t xml:space="preserve"/>
        </x:is>
      </x:c>
      <x:c r="Q411" s="5" t="inlineStr">
        <x:is>
          <x:t xml:space="preserve"/>
        </x:is>
      </x:c>
      <x:c r="R411" s="5">
        <x:f>IF(OR(F411="",G411=""),"",IF(F411&gt;=0.95*G411,1,0))</x:f>
      </x:c>
      <x:c r="S411" s="7">
        <x:f>IFERROR((I411+J411+K411)/F411,"")</x:f>
      </x:c>
      <x:c r="T411" s="5">
        <x:f>IFERROR(I411+J411+K411,"")</x:f>
        <x:v>0</x:v>
      </x:c>
    </x:row>
    <x:row r="412" ht="22" customHeight="1">
      <x:c r="A412" s="5" t="inlineStr">
        <x:is>
          <x:t xml:space="preserve">P034</x:t>
        </x:is>
      </x:c>
      <x:c r="B412" s="5" t="inlineStr">
        <x:is>
          <x:t xml:space="preserve">12</x:t>
        </x:is>
      </x:c>
      <x:c r="C412" s="5" t="inlineStr">
        <x:is>
          <x:t xml:space="preserve">V08_calendar_system</x:t>
        </x:is>
      </x:c>
      <x:c r="D412" s="5" t="inlineStr">
        <x:is>
          <x:t xml:space="preserve">semantic_compression</x:t>
        </x:is>
      </x:c>
      <x:c r="E412" s="5" t="inlineStr">
        <x:is>
          <x:t xml:space="preserve">muted</x:t>
        </x:is>
      </x:c>
      <x:c r="F412" s="6" t="inlineStr">
        <x:is>
          <x:t xml:space="preserve"/>
        </x:is>
      </x:c>
      <x:c r="G412" s="6" t="inlineStr">
        <x:is>
          <x:t xml:space="preserve">6</x:t>
        </x:is>
      </x:c>
      <x:c r="H412" s="5" t="inlineStr">
        <x:is>
          <x:t xml:space="preserve"/>
        </x:is>
      </x:c>
      <x:c r="I412" s="5" t="inlineStr">
        <x:is>
          <x:t xml:space="preserve"/>
        </x:is>
      </x:c>
      <x:c r="J412" s="5" t="inlineStr">
        <x:is>
          <x:t xml:space="preserve"/>
        </x:is>
      </x:c>
      <x:c r="K412" s="5" t="inlineStr">
        <x:is>
          <x:t xml:space="preserve"/>
        </x:is>
      </x:c>
      <x:c r="L412" s="5" t="inlineStr">
        <x:is>
          <x:t xml:space="preserve"/>
        </x:is>
      </x:c>
      <x:c r="M412" s="5" t="inlineStr">
        <x:is>
          <x:t xml:space="preserve"/>
        </x:is>
      </x:c>
      <x:c r="N412" s="5" t="inlineStr">
        <x:is>
          <x:t xml:space="preserve"/>
        </x:is>
      </x:c>
      <x:c r="O412" s="5" t="inlineStr">
        <x:is>
          <x:t xml:space="preserve"/>
        </x:is>
      </x:c>
      <x:c r="P412" s="5" t="inlineStr">
        <x:is>
          <x:t xml:space="preserve"/>
        </x:is>
      </x:c>
      <x:c r="Q412" s="5" t="inlineStr">
        <x:is>
          <x:t xml:space="preserve"/>
        </x:is>
      </x:c>
      <x:c r="R412" s="5">
        <x:f>IF(OR(F412="",G412=""),"",IF(F412&gt;=0.95*G412,1,0))</x:f>
      </x:c>
      <x:c r="S412" s="7">
        <x:f>IFERROR((I412+J412+K412)/F412,"")</x:f>
      </x:c>
      <x:c r="T412" s="5">
        <x:f>IFERROR(I412+J412+K412,"")</x:f>
        <x:v>0</x:v>
      </x:c>
    </x:row>
    <x:row r="413" ht="22" customHeight="1">
      <x:c r="A413" s="5" t="inlineStr">
        <x:is>
          <x:t xml:space="preserve">P035</x:t>
        </x:is>
      </x:c>
      <x:c r="B413" s="5" t="inlineStr">
        <x:is>
          <x:t xml:space="preserve">1</x:t>
        </x:is>
      </x:c>
      <x:c r="C413" s="5" t="inlineStr">
        <x:is>
          <x:t xml:space="preserve">V12_creativity_constraints</x:t>
        </x:is>
      </x:c>
      <x:c r="D413" s="5" t="inlineStr">
        <x:is>
          <x:t xml:space="preserve">bcc_plus</x:t>
        </x:is>
      </x:c>
      <x:c r="E413" s="5" t="inlineStr">
        <x:is>
          <x:t xml:space="preserve">muted</x:t>
        </x:is>
      </x:c>
      <x:c r="F413" s="6" t="inlineStr">
        <x:is>
          <x:t xml:space="preserve"/>
        </x:is>
      </x:c>
      <x:c r="G413" s="6" t="inlineStr">
        <x:is>
          <x:t xml:space="preserve">6</x:t>
        </x:is>
      </x:c>
      <x:c r="H413" s="5" t="inlineStr">
        <x:is>
          <x:t xml:space="preserve"/>
        </x:is>
      </x:c>
      <x:c r="I413" s="5" t="inlineStr">
        <x:is>
          <x:t xml:space="preserve"/>
        </x:is>
      </x:c>
      <x:c r="J413" s="5" t="inlineStr">
        <x:is>
          <x:t xml:space="preserve"/>
        </x:is>
      </x:c>
      <x:c r="K413" s="5" t="inlineStr">
        <x:is>
          <x:t xml:space="preserve"/>
        </x:is>
      </x:c>
      <x:c r="L413" s="5" t="inlineStr">
        <x:is>
          <x:t xml:space="preserve"/>
        </x:is>
      </x:c>
      <x:c r="M413" s="5" t="inlineStr">
        <x:is>
          <x:t xml:space="preserve"/>
        </x:is>
      </x:c>
      <x:c r="N413" s="5" t="inlineStr">
        <x:is>
          <x:t xml:space="preserve"/>
        </x:is>
      </x:c>
      <x:c r="O413" s="5" t="inlineStr">
        <x:is>
          <x:t xml:space="preserve"/>
        </x:is>
      </x:c>
      <x:c r="P413" s="5" t="inlineStr">
        <x:is>
          <x:t xml:space="preserve"/>
        </x:is>
      </x:c>
      <x:c r="Q413" s="5" t="inlineStr">
        <x:is>
          <x:t xml:space="preserve"/>
        </x:is>
      </x:c>
      <x:c r="R413" s="5">
        <x:f>IF(OR(F413="",G413=""),"",IF(F413&gt;=0.95*G413,1,0))</x:f>
      </x:c>
      <x:c r="S413" s="7">
        <x:f>IFERROR((I413+J413+K413)/F413,"")</x:f>
      </x:c>
      <x:c r="T413" s="5">
        <x:f>IFERROR(I413+J413+K413,"")</x:f>
        <x:v>0</x:v>
      </x:c>
    </x:row>
    <x:row r="414" ht="22" customHeight="1">
      <x:c r="A414" s="5" t="inlineStr">
        <x:is>
          <x:t xml:space="preserve">P035</x:t>
        </x:is>
      </x:c>
      <x:c r="B414" s="5" t="inlineStr">
        <x:is>
          <x:t xml:space="preserve">2</x:t>
        </x:is>
      </x:c>
      <x:c r="C414" s="5" t="inlineStr">
        <x:is>
          <x:t xml:space="preserve">V05_coding_assumptions</x:t>
        </x:is>
      </x:c>
      <x:c r="D414" s="5" t="inlineStr">
        <x:is>
          <x:t xml:space="preserve">heavy_bionic</x:t>
        </x:is>
      </x:c>
      <x:c r="E414" s="5" t="inlineStr">
        <x:is>
          <x:t xml:space="preserve">audio_on</x:t>
        </x:is>
      </x:c>
      <x:c r="F414" s="6" t="inlineStr">
        <x:is>
          <x:t xml:space="preserve"/>
        </x:is>
      </x:c>
      <x:c r="G414" s="6" t="inlineStr">
        <x:is>
          <x:t xml:space="preserve">6</x:t>
        </x:is>
      </x:c>
      <x:c r="H414" s="5" t="inlineStr">
        <x:is>
          <x:t xml:space="preserve"/>
        </x:is>
      </x:c>
      <x:c r="I414" s="5" t="inlineStr">
        <x:is>
          <x:t xml:space="preserve"/>
        </x:is>
      </x:c>
      <x:c r="J414" s="5" t="inlineStr">
        <x:is>
          <x:t xml:space="preserve"/>
        </x:is>
      </x:c>
      <x:c r="K414" s="5" t="inlineStr">
        <x:is>
          <x:t xml:space="preserve"/>
        </x:is>
      </x:c>
      <x:c r="L414" s="5" t="inlineStr">
        <x:is>
          <x:t xml:space="preserve"/>
        </x:is>
      </x:c>
      <x:c r="M414" s="5" t="inlineStr">
        <x:is>
          <x:t xml:space="preserve"/>
        </x:is>
      </x:c>
      <x:c r="N414" s="5" t="inlineStr">
        <x:is>
          <x:t xml:space="preserve"/>
        </x:is>
      </x:c>
      <x:c r="O414" s="5" t="inlineStr">
        <x:is>
          <x:t xml:space="preserve"/>
        </x:is>
      </x:c>
      <x:c r="P414" s="5" t="inlineStr">
        <x:is>
          <x:t xml:space="preserve"/>
        </x:is>
      </x:c>
      <x:c r="Q414" s="5" t="inlineStr">
        <x:is>
          <x:t xml:space="preserve"/>
        </x:is>
      </x:c>
      <x:c r="R414" s="5">
        <x:f>IF(OR(F414="",G414=""),"",IF(F414&gt;=0.95*G414,1,0))</x:f>
      </x:c>
      <x:c r="S414" s="7">
        <x:f>IFERROR((I414+J414+K414)/F414,"")</x:f>
      </x:c>
      <x:c r="T414" s="5">
        <x:f>IFERROR(I414+J414+K414,"")</x:f>
        <x:v>0</x:v>
      </x:c>
    </x:row>
    <x:row r="415" ht="22" customHeight="1">
      <x:c r="A415" s="5" t="inlineStr">
        <x:is>
          <x:t xml:space="preserve">P035</x:t>
        </x:is>
      </x:c>
      <x:c r="B415" s="5" t="inlineStr">
        <x:is>
          <x:t xml:space="preserve">3</x:t>
        </x:is>
      </x:c>
      <x:c r="C415" s="5" t="inlineStr">
        <x:is>
          <x:t xml:space="preserve">V02_study_recall</x:t>
        </x:is>
      </x:c>
      <x:c r="D415" s="5" t="inlineStr">
        <x:is>
          <x:t xml:space="preserve">full_transcript</x:t>
        </x:is>
      </x:c>
      <x:c r="E415" s="5" t="inlineStr">
        <x:is>
          <x:t xml:space="preserve">muted</x:t>
        </x:is>
      </x:c>
      <x:c r="F415" s="6" t="inlineStr">
        <x:is>
          <x:t xml:space="preserve"/>
        </x:is>
      </x:c>
      <x:c r="G415" s="6" t="inlineStr">
        <x:is>
          <x:t xml:space="preserve">6</x:t>
        </x:is>
      </x:c>
      <x:c r="H415" s="5" t="inlineStr">
        <x:is>
          <x:t xml:space="preserve"/>
        </x:is>
      </x:c>
      <x:c r="I415" s="5" t="inlineStr">
        <x:is>
          <x:t xml:space="preserve"/>
        </x:is>
      </x:c>
      <x:c r="J415" s="5" t="inlineStr">
        <x:is>
          <x:t xml:space="preserve"/>
        </x:is>
      </x:c>
      <x:c r="K415" s="5" t="inlineStr">
        <x:is>
          <x:t xml:space="preserve"/>
        </x:is>
      </x:c>
      <x:c r="L415" s="5" t="inlineStr">
        <x:is>
          <x:t xml:space="preserve"/>
        </x:is>
      </x:c>
      <x:c r="M415" s="5" t="inlineStr">
        <x:is>
          <x:t xml:space="preserve"/>
        </x:is>
      </x:c>
      <x:c r="N415" s="5" t="inlineStr">
        <x:is>
          <x:t xml:space="preserve"/>
        </x:is>
      </x:c>
      <x:c r="O415" s="5" t="inlineStr">
        <x:is>
          <x:t xml:space="preserve"/>
        </x:is>
      </x:c>
      <x:c r="P415" s="5" t="inlineStr">
        <x:is>
          <x:t xml:space="preserve"/>
        </x:is>
      </x:c>
      <x:c r="Q415" s="5" t="inlineStr">
        <x:is>
          <x:t xml:space="preserve"/>
        </x:is>
      </x:c>
      <x:c r="R415" s="5">
        <x:f>IF(OR(F415="",G415=""),"",IF(F415&gt;=0.95*G415,1,0))</x:f>
      </x:c>
      <x:c r="S415" s="7">
        <x:f>IFERROR((I415+J415+K415)/F415,"")</x:f>
      </x:c>
      <x:c r="T415" s="5">
        <x:f>IFERROR(I415+J415+K415,"")</x:f>
        <x:v>0</x:v>
      </x:c>
    </x:row>
    <x:row r="416" ht="22" customHeight="1">
      <x:c r="A416" s="5" t="inlineStr">
        <x:is>
          <x:t xml:space="preserve">P035</x:t>
        </x:is>
      </x:c>
      <x:c r="B416" s="5" t="inlineStr">
        <x:is>
          <x:t xml:space="preserve">4</x:t>
        </x:is>
      </x:c>
      <x:c r="C416" s="5" t="inlineStr">
        <x:is>
          <x:t xml:space="preserve">V07_business_clarity</x:t>
        </x:is>
      </x:c>
      <x:c r="D416" s="5" t="inlineStr">
        <x:is>
          <x:t xml:space="preserve">keyword_highlight</x:t>
        </x:is>
      </x:c>
      <x:c r="E416" s="5" t="inlineStr">
        <x:is>
          <x:t xml:space="preserve">audio_on</x:t>
        </x:is>
      </x:c>
      <x:c r="F416" s="6" t="inlineStr">
        <x:is>
          <x:t xml:space="preserve"/>
        </x:is>
      </x:c>
      <x:c r="G416" s="6" t="inlineStr">
        <x:is>
          <x:t xml:space="preserve">6</x:t>
        </x:is>
      </x:c>
      <x:c r="H416" s="5" t="inlineStr">
        <x:is>
          <x:t xml:space="preserve"/>
        </x:is>
      </x:c>
      <x:c r="I416" s="5" t="inlineStr">
        <x:is>
          <x:t xml:space="preserve"/>
        </x:is>
      </x:c>
      <x:c r="J416" s="5" t="inlineStr">
        <x:is>
          <x:t xml:space="preserve"/>
        </x:is>
      </x:c>
      <x:c r="K416" s="5" t="inlineStr">
        <x:is>
          <x:t xml:space="preserve"/>
        </x:is>
      </x:c>
      <x:c r="L416" s="5" t="inlineStr">
        <x:is>
          <x:t xml:space="preserve"/>
        </x:is>
      </x:c>
      <x:c r="M416" s="5" t="inlineStr">
        <x:is>
          <x:t xml:space="preserve"/>
        </x:is>
      </x:c>
      <x:c r="N416" s="5" t="inlineStr">
        <x:is>
          <x:t xml:space="preserve"/>
        </x:is>
      </x:c>
      <x:c r="O416" s="5" t="inlineStr">
        <x:is>
          <x:t xml:space="preserve"/>
        </x:is>
      </x:c>
      <x:c r="P416" s="5" t="inlineStr">
        <x:is>
          <x:t xml:space="preserve"/>
        </x:is>
      </x:c>
      <x:c r="Q416" s="5" t="inlineStr">
        <x:is>
          <x:t xml:space="preserve"/>
        </x:is>
      </x:c>
      <x:c r="R416" s="5">
        <x:f>IF(OR(F416="",G416=""),"",IF(F416&gt;=0.95*G416,1,0))</x:f>
      </x:c>
      <x:c r="S416" s="7">
        <x:f>IFERROR((I416+J416+K416)/F416,"")</x:f>
      </x:c>
      <x:c r="T416" s="5">
        <x:f>IFERROR(I416+J416+K416,"")</x:f>
        <x:v>0</x:v>
      </x:c>
    </x:row>
    <x:row r="417" ht="22" customHeight="1">
      <x:c r="A417" s="5" t="inlineStr">
        <x:is>
          <x:t xml:space="preserve">P035</x:t>
        </x:is>
      </x:c>
      <x:c r="B417" s="5" t="inlineStr">
        <x:is>
          <x:t xml:space="preserve">5</x:t>
        </x:is>
      </x:c>
      <x:c r="C417" s="5" t="inlineStr">
        <x:is>
          <x:t xml:space="preserve">V10_tutorial_ui</x:t>
        </x:is>
      </x:c>
      <x:c r="D417" s="5" t="inlineStr">
        <x:is>
          <x:t xml:space="preserve">semantic_compression</x:t>
        </x:is>
      </x:c>
      <x:c r="E417" s="5" t="inlineStr">
        <x:is>
          <x:t xml:space="preserve">muted</x:t>
        </x:is>
      </x:c>
      <x:c r="F417" s="6" t="inlineStr">
        <x:is>
          <x:t xml:space="preserve"/>
        </x:is>
      </x:c>
      <x:c r="G417" s="6" t="inlineStr">
        <x:is>
          <x:t xml:space="preserve">6</x:t>
        </x:is>
      </x:c>
      <x:c r="H417" s="5" t="inlineStr">
        <x:is>
          <x:t xml:space="preserve"/>
        </x:is>
      </x:c>
      <x:c r="I417" s="5" t="inlineStr">
        <x:is>
          <x:t xml:space="preserve"/>
        </x:is>
      </x:c>
      <x:c r="J417" s="5" t="inlineStr">
        <x:is>
          <x:t xml:space="preserve"/>
        </x:is>
      </x:c>
      <x:c r="K417" s="5" t="inlineStr">
        <x:is>
          <x:t xml:space="preserve"/>
        </x:is>
      </x:c>
      <x:c r="L417" s="5" t="inlineStr">
        <x:is>
          <x:t xml:space="preserve"/>
        </x:is>
      </x:c>
      <x:c r="M417" s="5" t="inlineStr">
        <x:is>
          <x:t xml:space="preserve"/>
        </x:is>
      </x:c>
      <x:c r="N417" s="5" t="inlineStr">
        <x:is>
          <x:t xml:space="preserve"/>
        </x:is>
      </x:c>
      <x:c r="O417" s="5" t="inlineStr">
        <x:is>
          <x:t xml:space="preserve"/>
        </x:is>
      </x:c>
      <x:c r="P417" s="5" t="inlineStr">
        <x:is>
          <x:t xml:space="preserve"/>
        </x:is>
      </x:c>
      <x:c r="Q417" s="5" t="inlineStr">
        <x:is>
          <x:t xml:space="preserve"/>
        </x:is>
      </x:c>
      <x:c r="R417" s="5">
        <x:f>IF(OR(F417="",G417=""),"",IF(F417&gt;=0.95*G417,1,0))</x:f>
      </x:c>
      <x:c r="S417" s="7">
        <x:f>IFERROR((I417+J417+K417)/F417,"")</x:f>
      </x:c>
      <x:c r="T417" s="5">
        <x:f>IFERROR(I417+J417+K417,"")</x:f>
        <x:v>0</x:v>
      </x:c>
    </x:row>
    <x:row r="418" ht="22" customHeight="1">
      <x:c r="A418" s="5" t="inlineStr">
        <x:is>
          <x:t xml:space="preserve">P035</x:t>
        </x:is>
      </x:c>
      <x:c r="B418" s="5" t="inlineStr">
        <x:is>
          <x:t xml:space="preserve">6</x:t>
        </x:is>
      </x:c>
      <x:c r="C418" s="5" t="inlineStr">
        <x:is>
          <x:t xml:space="preserve">V06_overload_open_loops</x:t>
        </x:is>
      </x:c>
      <x:c r="D418" s="5" t="inlineStr">
        <x:is>
          <x:t xml:space="preserve">bcc</x:t>
        </x:is>
      </x:c>
      <x:c r="E418" s="5" t="inlineStr">
        <x:is>
          <x:t xml:space="preserve">audio_on</x:t>
        </x:is>
      </x:c>
      <x:c r="F418" s="6" t="inlineStr">
        <x:is>
          <x:t xml:space="preserve"/>
        </x:is>
      </x:c>
      <x:c r="G418" s="6" t="inlineStr">
        <x:is>
          <x:t xml:space="preserve">6</x:t>
        </x:is>
      </x:c>
      <x:c r="H418" s="5" t="inlineStr">
        <x:is>
          <x:t xml:space="preserve"/>
        </x:is>
      </x:c>
      <x:c r="I418" s="5" t="inlineStr">
        <x:is>
          <x:t xml:space="preserve"/>
        </x:is>
      </x:c>
      <x:c r="J418" s="5" t="inlineStr">
        <x:is>
          <x:t xml:space="preserve"/>
        </x:is>
      </x:c>
      <x:c r="K418" s="5" t="inlineStr">
        <x:is>
          <x:t xml:space="preserve"/>
        </x:is>
      </x:c>
      <x:c r="L418" s="5" t="inlineStr">
        <x:is>
          <x:t xml:space="preserve"/>
        </x:is>
      </x:c>
      <x:c r="M418" s="5" t="inlineStr">
        <x:is>
          <x:t xml:space="preserve"/>
        </x:is>
      </x:c>
      <x:c r="N418" s="5" t="inlineStr">
        <x:is>
          <x:t xml:space="preserve"/>
        </x:is>
      </x:c>
      <x:c r="O418" s="5" t="inlineStr">
        <x:is>
          <x:t xml:space="preserve"/>
        </x:is>
      </x:c>
      <x:c r="P418" s="5" t="inlineStr">
        <x:is>
          <x:t xml:space="preserve"/>
        </x:is>
      </x:c>
      <x:c r="Q418" s="5" t="inlineStr">
        <x:is>
          <x:t xml:space="preserve"/>
        </x:is>
      </x:c>
      <x:c r="R418" s="5">
        <x:f>IF(OR(F418="",G418=""),"",IF(F418&gt;=0.95*G418,1,0))</x:f>
      </x:c>
      <x:c r="S418" s="7">
        <x:f>IFERROR((I418+J418+K418)/F418,"")</x:f>
      </x:c>
      <x:c r="T418" s="5">
        <x:f>IFERROR(I418+J418+K418,"")</x:f>
        <x:v>0</x:v>
      </x:c>
    </x:row>
    <x:row r="419" ht="22" customHeight="1">
      <x:c r="A419" s="5" t="inlineStr">
        <x:is>
          <x:t xml:space="preserve">P035</x:t>
        </x:is>
      </x:c>
      <x:c r="B419" s="5" t="inlineStr">
        <x:is>
          <x:t xml:space="preserve">7</x:t>
        </x:is>
      </x:c>
      <x:c r="C419" s="5" t="inlineStr">
        <x:is>
          <x:t xml:space="preserve">V01_productivity_friction</x:t>
        </x:is>
      </x:c>
      <x:c r="D419" s="5" t="inlineStr">
        <x:is>
          <x:t xml:space="preserve">bcc_plus</x:t>
        </x:is>
      </x:c>
      <x:c r="E419" s="5" t="inlineStr">
        <x:is>
          <x:t xml:space="preserve">muted</x:t>
        </x:is>
      </x:c>
      <x:c r="F419" s="6" t="inlineStr">
        <x:is>
          <x:t xml:space="preserve"/>
        </x:is>
      </x:c>
      <x:c r="G419" s="6" t="inlineStr">
        <x:is>
          <x:t xml:space="preserve">6</x:t>
        </x:is>
      </x:c>
      <x:c r="H419" s="5" t="inlineStr">
        <x:is>
          <x:t xml:space="preserve"/>
        </x:is>
      </x:c>
      <x:c r="I419" s="5" t="inlineStr">
        <x:is>
          <x:t xml:space="preserve"/>
        </x:is>
      </x:c>
      <x:c r="J419" s="5" t="inlineStr">
        <x:is>
          <x:t xml:space="preserve"/>
        </x:is>
      </x:c>
      <x:c r="K419" s="5" t="inlineStr">
        <x:is>
          <x:t xml:space="preserve"/>
        </x:is>
      </x:c>
      <x:c r="L419" s="5" t="inlineStr">
        <x:is>
          <x:t xml:space="preserve"/>
        </x:is>
      </x:c>
      <x:c r="M419" s="5" t="inlineStr">
        <x:is>
          <x:t xml:space="preserve"/>
        </x:is>
      </x:c>
      <x:c r="N419" s="5" t="inlineStr">
        <x:is>
          <x:t xml:space="preserve"/>
        </x:is>
      </x:c>
      <x:c r="O419" s="5" t="inlineStr">
        <x:is>
          <x:t xml:space="preserve"/>
        </x:is>
      </x:c>
      <x:c r="P419" s="5" t="inlineStr">
        <x:is>
          <x:t xml:space="preserve"/>
        </x:is>
      </x:c>
      <x:c r="Q419" s="5" t="inlineStr">
        <x:is>
          <x:t xml:space="preserve"/>
        </x:is>
      </x:c>
      <x:c r="R419" s="5">
        <x:f>IF(OR(F419="",G419=""),"",IF(F419&gt;=0.95*G419,1,0))</x:f>
      </x:c>
      <x:c r="S419" s="7">
        <x:f>IFERROR((I419+J419+K419)/F419,"")</x:f>
      </x:c>
      <x:c r="T419" s="5">
        <x:f>IFERROR(I419+J419+K419,"")</x:f>
        <x:v>0</x:v>
      </x:c>
    </x:row>
    <x:row r="420" ht="22" customHeight="1">
      <x:c r="A420" s="5" t="inlineStr">
        <x:is>
          <x:t xml:space="preserve">P035</x:t>
        </x:is>
      </x:c>
      <x:c r="B420" s="5" t="inlineStr">
        <x:is>
          <x:t xml:space="preserve">8</x:t>
        </x:is>
      </x:c>
      <x:c r="C420" s="5" t="inlineStr">
        <x:is>
          <x:t xml:space="preserve">V03_fitness_setup</x:t>
        </x:is>
      </x:c>
      <x:c r="D420" s="5" t="inlineStr">
        <x:is>
          <x:t xml:space="preserve">heavy_bionic</x:t>
        </x:is>
      </x:c>
      <x:c r="E420" s="5" t="inlineStr">
        <x:is>
          <x:t xml:space="preserve">audio_on</x:t>
        </x:is>
      </x:c>
      <x:c r="F420" s="6" t="inlineStr">
        <x:is>
          <x:t xml:space="preserve"/>
        </x:is>
      </x:c>
      <x:c r="G420" s="6" t="inlineStr">
        <x:is>
          <x:t xml:space="preserve">6</x:t>
        </x:is>
      </x:c>
      <x:c r="H420" s="5" t="inlineStr">
        <x:is>
          <x:t xml:space="preserve"/>
        </x:is>
      </x:c>
      <x:c r="I420" s="5" t="inlineStr">
        <x:is>
          <x:t xml:space="preserve"/>
        </x:is>
      </x:c>
      <x:c r="J420" s="5" t="inlineStr">
        <x:is>
          <x:t xml:space="preserve"/>
        </x:is>
      </x:c>
      <x:c r="K420" s="5" t="inlineStr">
        <x:is>
          <x:t xml:space="preserve"/>
        </x:is>
      </x:c>
      <x:c r="L420" s="5" t="inlineStr">
        <x:is>
          <x:t xml:space="preserve"/>
        </x:is>
      </x:c>
      <x:c r="M420" s="5" t="inlineStr">
        <x:is>
          <x:t xml:space="preserve"/>
        </x:is>
      </x:c>
      <x:c r="N420" s="5" t="inlineStr">
        <x:is>
          <x:t xml:space="preserve"/>
        </x:is>
      </x:c>
      <x:c r="O420" s="5" t="inlineStr">
        <x:is>
          <x:t xml:space="preserve"/>
        </x:is>
      </x:c>
      <x:c r="P420" s="5" t="inlineStr">
        <x:is>
          <x:t xml:space="preserve"/>
        </x:is>
      </x:c>
      <x:c r="Q420" s="5" t="inlineStr">
        <x:is>
          <x:t xml:space="preserve"/>
        </x:is>
      </x:c>
      <x:c r="R420" s="5">
        <x:f>IF(OR(F420="",G420=""),"",IF(F420&gt;=0.95*G420,1,0))</x:f>
      </x:c>
      <x:c r="S420" s="7">
        <x:f>IFERROR((I420+J420+K420)/F420,"")</x:f>
      </x:c>
      <x:c r="T420" s="5">
        <x:f>IFERROR(I420+J420+K420,"")</x:f>
        <x:v>0</x:v>
      </x:c>
    </x:row>
    <x:row r="421" ht="22" customHeight="1">
      <x:c r="A421" s="5" t="inlineStr">
        <x:is>
          <x:t xml:space="preserve">P035</x:t>
        </x:is>
      </x:c>
      <x:c r="B421" s="5" t="inlineStr">
        <x:is>
          <x:t xml:space="preserve">9</x:t>
        </x:is>
      </x:c>
      <x:c r="C421" s="5" t="inlineStr">
        <x:is>
          <x:t xml:space="preserve">V11_story_burnout</x:t>
        </x:is>
      </x:c>
      <x:c r="D421" s="5" t="inlineStr">
        <x:is>
          <x:t xml:space="preserve">full_transcript</x:t>
        </x:is>
      </x:c>
      <x:c r="E421" s="5" t="inlineStr">
        <x:is>
          <x:t xml:space="preserve">muted</x:t>
        </x:is>
      </x:c>
      <x:c r="F421" s="6" t="inlineStr">
        <x:is>
          <x:t xml:space="preserve"/>
        </x:is>
      </x:c>
      <x:c r="G421" s="6" t="inlineStr">
        <x:is>
          <x:t xml:space="preserve">6</x:t>
        </x:is>
      </x:c>
      <x:c r="H421" s="5" t="inlineStr">
        <x:is>
          <x:t xml:space="preserve"/>
        </x:is>
      </x:c>
      <x:c r="I421" s="5" t="inlineStr">
        <x:is>
          <x:t xml:space="preserve"/>
        </x:is>
      </x:c>
      <x:c r="J421" s="5" t="inlineStr">
        <x:is>
          <x:t xml:space="preserve"/>
        </x:is>
      </x:c>
      <x:c r="K421" s="5" t="inlineStr">
        <x:is>
          <x:t xml:space="preserve"/>
        </x:is>
      </x:c>
      <x:c r="L421" s="5" t="inlineStr">
        <x:is>
          <x:t xml:space="preserve"/>
        </x:is>
      </x:c>
      <x:c r="M421" s="5" t="inlineStr">
        <x:is>
          <x:t xml:space="preserve"/>
        </x:is>
      </x:c>
      <x:c r="N421" s="5" t="inlineStr">
        <x:is>
          <x:t xml:space="preserve"/>
        </x:is>
      </x:c>
      <x:c r="O421" s="5" t="inlineStr">
        <x:is>
          <x:t xml:space="preserve"/>
        </x:is>
      </x:c>
      <x:c r="P421" s="5" t="inlineStr">
        <x:is>
          <x:t xml:space="preserve"/>
        </x:is>
      </x:c>
      <x:c r="Q421" s="5" t="inlineStr">
        <x:is>
          <x:t xml:space="preserve"/>
        </x:is>
      </x:c>
      <x:c r="R421" s="5">
        <x:f>IF(OR(F421="",G421=""),"",IF(F421&gt;=0.95*G421,1,0))</x:f>
      </x:c>
      <x:c r="S421" s="7">
        <x:f>IFERROR((I421+J421+K421)/F421,"")</x:f>
      </x:c>
      <x:c r="T421" s="5">
        <x:f>IFERROR(I421+J421+K421,"")</x:f>
        <x:v>0</x:v>
      </x:c>
    </x:row>
    <x:row r="422" ht="22" customHeight="1">
      <x:c r="A422" s="5" t="inlineStr">
        <x:is>
          <x:t xml:space="preserve">P035</x:t>
        </x:is>
      </x:c>
      <x:c r="B422" s="5" t="inlineStr">
        <x:is>
          <x:t xml:space="preserve">10</x:t>
        </x:is>
      </x:c>
      <x:c r="C422" s="5" t="inlineStr">
        <x:is>
          <x:t xml:space="preserve">V04_money_visibility</x:t>
        </x:is>
      </x:c>
      <x:c r="D422" s="5" t="inlineStr">
        <x:is>
          <x:t xml:space="preserve">keyword_highlight</x:t>
        </x:is>
      </x:c>
      <x:c r="E422" s="5" t="inlineStr">
        <x:is>
          <x:t xml:space="preserve">audio_on</x:t>
        </x:is>
      </x:c>
      <x:c r="F422" s="6" t="inlineStr">
        <x:is>
          <x:t xml:space="preserve"/>
        </x:is>
      </x:c>
      <x:c r="G422" s="6" t="inlineStr">
        <x:is>
          <x:t xml:space="preserve">6</x:t>
        </x:is>
      </x:c>
      <x:c r="H422" s="5" t="inlineStr">
        <x:is>
          <x:t xml:space="preserve"/>
        </x:is>
      </x:c>
      <x:c r="I422" s="5" t="inlineStr">
        <x:is>
          <x:t xml:space="preserve"/>
        </x:is>
      </x:c>
      <x:c r="J422" s="5" t="inlineStr">
        <x:is>
          <x:t xml:space="preserve"/>
        </x:is>
      </x:c>
      <x:c r="K422" s="5" t="inlineStr">
        <x:is>
          <x:t xml:space="preserve"/>
        </x:is>
      </x:c>
      <x:c r="L422" s="5" t="inlineStr">
        <x:is>
          <x:t xml:space="preserve"/>
        </x:is>
      </x:c>
      <x:c r="M422" s="5" t="inlineStr">
        <x:is>
          <x:t xml:space="preserve"/>
        </x:is>
      </x:c>
      <x:c r="N422" s="5" t="inlineStr">
        <x:is>
          <x:t xml:space="preserve"/>
        </x:is>
      </x:c>
      <x:c r="O422" s="5" t="inlineStr">
        <x:is>
          <x:t xml:space="preserve"/>
        </x:is>
      </x:c>
      <x:c r="P422" s="5" t="inlineStr">
        <x:is>
          <x:t xml:space="preserve"/>
        </x:is>
      </x:c>
      <x:c r="Q422" s="5" t="inlineStr">
        <x:is>
          <x:t xml:space="preserve"/>
        </x:is>
      </x:c>
      <x:c r="R422" s="5">
        <x:f>IF(OR(F422="",G422=""),"",IF(F422&gt;=0.95*G422,1,0))</x:f>
      </x:c>
      <x:c r="S422" s="7">
        <x:f>IFERROR((I422+J422+K422)/F422,"")</x:f>
      </x:c>
      <x:c r="T422" s="5">
        <x:f>IFERROR(I422+J422+K422,"")</x:f>
        <x:v>0</x:v>
      </x:c>
    </x:row>
    <x:row r="423" ht="22" customHeight="1">
      <x:c r="A423" s="5" t="inlineStr">
        <x:is>
          <x:t xml:space="preserve">P035</x:t>
        </x:is>
      </x:c>
      <x:c r="B423" s="5" t="inlineStr">
        <x:is>
          <x:t xml:space="preserve">11</x:t>
        </x:is>
      </x:c>
      <x:c r="C423" s="5" t="inlineStr">
        <x:is>
          <x:t xml:space="preserve">V09_nutrition_satiety</x:t>
        </x:is>
      </x:c>
      <x:c r="D423" s="5" t="inlineStr">
        <x:is>
          <x:t xml:space="preserve">semantic_compression</x:t>
        </x:is>
      </x:c>
      <x:c r="E423" s="5" t="inlineStr">
        <x:is>
          <x:t xml:space="preserve">muted</x:t>
        </x:is>
      </x:c>
      <x:c r="F423" s="6" t="inlineStr">
        <x:is>
          <x:t xml:space="preserve"/>
        </x:is>
      </x:c>
      <x:c r="G423" s="6" t="inlineStr">
        <x:is>
          <x:t xml:space="preserve">6</x:t>
        </x:is>
      </x:c>
      <x:c r="H423" s="5" t="inlineStr">
        <x:is>
          <x:t xml:space="preserve"/>
        </x:is>
      </x:c>
      <x:c r="I423" s="5" t="inlineStr">
        <x:is>
          <x:t xml:space="preserve"/>
        </x:is>
      </x:c>
      <x:c r="J423" s="5" t="inlineStr">
        <x:is>
          <x:t xml:space="preserve"/>
        </x:is>
      </x:c>
      <x:c r="K423" s="5" t="inlineStr">
        <x:is>
          <x:t xml:space="preserve"/>
        </x:is>
      </x:c>
      <x:c r="L423" s="5" t="inlineStr">
        <x:is>
          <x:t xml:space="preserve"/>
        </x:is>
      </x:c>
      <x:c r="M423" s="5" t="inlineStr">
        <x:is>
          <x:t xml:space="preserve"/>
        </x:is>
      </x:c>
      <x:c r="N423" s="5" t="inlineStr">
        <x:is>
          <x:t xml:space="preserve"/>
        </x:is>
      </x:c>
      <x:c r="O423" s="5" t="inlineStr">
        <x:is>
          <x:t xml:space="preserve"/>
        </x:is>
      </x:c>
      <x:c r="P423" s="5" t="inlineStr">
        <x:is>
          <x:t xml:space="preserve"/>
        </x:is>
      </x:c>
      <x:c r="Q423" s="5" t="inlineStr">
        <x:is>
          <x:t xml:space="preserve"/>
        </x:is>
      </x:c>
      <x:c r="R423" s="5">
        <x:f>IF(OR(F423="",G423=""),"",IF(F423&gt;=0.95*G423,1,0))</x:f>
      </x:c>
      <x:c r="S423" s="7">
        <x:f>IFERROR((I423+J423+K423)/F423,"")</x:f>
      </x:c>
      <x:c r="T423" s="5">
        <x:f>IFERROR(I423+J423+K423,"")</x:f>
        <x:v>0</x:v>
      </x:c>
    </x:row>
    <x:row r="424" ht="22" customHeight="1">
      <x:c r="A424" s="5" t="inlineStr">
        <x:is>
          <x:t xml:space="preserve">P035</x:t>
        </x:is>
      </x:c>
      <x:c r="B424" s="5" t="inlineStr">
        <x:is>
          <x:t xml:space="preserve">12</x:t>
        </x:is>
      </x:c>
      <x:c r="C424" s="5" t="inlineStr">
        <x:is>
          <x:t xml:space="preserve">V08_calendar_system</x:t>
        </x:is>
      </x:c>
      <x:c r="D424" s="5" t="inlineStr">
        <x:is>
          <x:t xml:space="preserve">bcc</x:t>
        </x:is>
      </x:c>
      <x:c r="E424" s="5" t="inlineStr">
        <x:is>
          <x:t xml:space="preserve">audio_on</x:t>
        </x:is>
      </x:c>
      <x:c r="F424" s="6" t="inlineStr">
        <x:is>
          <x:t xml:space="preserve"/>
        </x:is>
      </x:c>
      <x:c r="G424" s="6" t="inlineStr">
        <x:is>
          <x:t xml:space="preserve">6</x:t>
        </x:is>
      </x:c>
      <x:c r="H424" s="5" t="inlineStr">
        <x:is>
          <x:t xml:space="preserve"/>
        </x:is>
      </x:c>
      <x:c r="I424" s="5" t="inlineStr">
        <x:is>
          <x:t xml:space="preserve"/>
        </x:is>
      </x:c>
      <x:c r="J424" s="5" t="inlineStr">
        <x:is>
          <x:t xml:space="preserve"/>
        </x:is>
      </x:c>
      <x:c r="K424" s="5" t="inlineStr">
        <x:is>
          <x:t xml:space="preserve"/>
        </x:is>
      </x:c>
      <x:c r="L424" s="5" t="inlineStr">
        <x:is>
          <x:t xml:space="preserve"/>
        </x:is>
      </x:c>
      <x:c r="M424" s="5" t="inlineStr">
        <x:is>
          <x:t xml:space="preserve"/>
        </x:is>
      </x:c>
      <x:c r="N424" s="5" t="inlineStr">
        <x:is>
          <x:t xml:space="preserve"/>
        </x:is>
      </x:c>
      <x:c r="O424" s="5" t="inlineStr">
        <x:is>
          <x:t xml:space="preserve"/>
        </x:is>
      </x:c>
      <x:c r="P424" s="5" t="inlineStr">
        <x:is>
          <x:t xml:space="preserve"/>
        </x:is>
      </x:c>
      <x:c r="Q424" s="5" t="inlineStr">
        <x:is>
          <x:t xml:space="preserve"/>
        </x:is>
      </x:c>
      <x:c r="R424" s="5">
        <x:f>IF(OR(F424="",G424=""),"",IF(F424&gt;=0.95*G424,1,0))</x:f>
      </x:c>
      <x:c r="S424" s="7">
        <x:f>IFERROR((I424+J424+K424)/F424,"")</x:f>
      </x:c>
      <x:c r="T424" s="5">
        <x:f>IFERROR(I424+J424+K424,"")</x:f>
        <x:v>0</x:v>
      </x:c>
    </x:row>
    <x:row r="425" ht="22" customHeight="1">
      <x:c r="A425" s="5" t="inlineStr">
        <x:is>
          <x:t xml:space="preserve">P036</x:t>
        </x:is>
      </x:c>
      <x:c r="B425" s="5" t="inlineStr">
        <x:is>
          <x:t xml:space="preserve">1</x:t>
        </x:is>
      </x:c>
      <x:c r="C425" s="5" t="inlineStr">
        <x:is>
          <x:t xml:space="preserve">V07_business_clarity</x:t>
        </x:is>
      </x:c>
      <x:c r="D425" s="5" t="inlineStr">
        <x:is>
          <x:t xml:space="preserve">heavy_bionic</x:t>
        </x:is>
      </x:c>
      <x:c r="E425" s="5" t="inlineStr">
        <x:is>
          <x:t xml:space="preserve">audio_on</x:t>
        </x:is>
      </x:c>
      <x:c r="F425" s="6" t="inlineStr">
        <x:is>
          <x:t xml:space="preserve"/>
        </x:is>
      </x:c>
      <x:c r="G425" s="6" t="inlineStr">
        <x:is>
          <x:t xml:space="preserve">6</x:t>
        </x:is>
      </x:c>
      <x:c r="H425" s="5" t="inlineStr">
        <x:is>
          <x:t xml:space="preserve"/>
        </x:is>
      </x:c>
      <x:c r="I425" s="5" t="inlineStr">
        <x:is>
          <x:t xml:space="preserve"/>
        </x:is>
      </x:c>
      <x:c r="J425" s="5" t="inlineStr">
        <x:is>
          <x:t xml:space="preserve"/>
        </x:is>
      </x:c>
      <x:c r="K425" s="5" t="inlineStr">
        <x:is>
          <x:t xml:space="preserve"/>
        </x:is>
      </x:c>
      <x:c r="L425" s="5" t="inlineStr">
        <x:is>
          <x:t xml:space="preserve"/>
        </x:is>
      </x:c>
      <x:c r="M425" s="5" t="inlineStr">
        <x:is>
          <x:t xml:space="preserve"/>
        </x:is>
      </x:c>
      <x:c r="N425" s="5" t="inlineStr">
        <x:is>
          <x:t xml:space="preserve"/>
        </x:is>
      </x:c>
      <x:c r="O425" s="5" t="inlineStr">
        <x:is>
          <x:t xml:space="preserve"/>
        </x:is>
      </x:c>
      <x:c r="P425" s="5" t="inlineStr">
        <x:is>
          <x:t xml:space="preserve"/>
        </x:is>
      </x:c>
      <x:c r="Q425" s="5" t="inlineStr">
        <x:is>
          <x:t xml:space="preserve"/>
        </x:is>
      </x:c>
      <x:c r="R425" s="5">
        <x:f>IF(OR(F425="",G425=""),"",IF(F425&gt;=0.95*G425,1,0))</x:f>
      </x:c>
      <x:c r="S425" s="7">
        <x:f>IFERROR((I425+J425+K425)/F425,"")</x:f>
      </x:c>
      <x:c r="T425" s="5">
        <x:f>IFERROR(I425+J425+K425,"")</x:f>
        <x:v>0</x:v>
      </x:c>
    </x:row>
    <x:row r="426" ht="22" customHeight="1">
      <x:c r="A426" s="5" t="inlineStr">
        <x:is>
          <x:t xml:space="preserve">P036</x:t>
        </x:is>
      </x:c>
      <x:c r="B426" s="5" t="inlineStr">
        <x:is>
          <x:t xml:space="preserve">2</x:t>
        </x:is>
      </x:c>
      <x:c r="C426" s="5" t="inlineStr">
        <x:is>
          <x:t xml:space="preserve">V09_nutrition_satiety</x:t>
        </x:is>
      </x:c>
      <x:c r="D426" s="5" t="inlineStr">
        <x:is>
          <x:t xml:space="preserve">full_transcript</x:t>
        </x:is>
      </x:c>
      <x:c r="E426" s="5" t="inlineStr">
        <x:is>
          <x:t xml:space="preserve">muted</x:t>
        </x:is>
      </x:c>
      <x:c r="F426" s="6" t="inlineStr">
        <x:is>
          <x:t xml:space="preserve"/>
        </x:is>
      </x:c>
      <x:c r="G426" s="6" t="inlineStr">
        <x:is>
          <x:t xml:space="preserve">6</x:t>
        </x:is>
      </x:c>
      <x:c r="H426" s="5" t="inlineStr">
        <x:is>
          <x:t xml:space="preserve"/>
        </x:is>
      </x:c>
      <x:c r="I426" s="5" t="inlineStr">
        <x:is>
          <x:t xml:space="preserve"/>
        </x:is>
      </x:c>
      <x:c r="J426" s="5" t="inlineStr">
        <x:is>
          <x:t xml:space="preserve"/>
        </x:is>
      </x:c>
      <x:c r="K426" s="5" t="inlineStr">
        <x:is>
          <x:t xml:space="preserve"/>
        </x:is>
      </x:c>
      <x:c r="L426" s="5" t="inlineStr">
        <x:is>
          <x:t xml:space="preserve"/>
        </x:is>
      </x:c>
      <x:c r="M426" s="5" t="inlineStr">
        <x:is>
          <x:t xml:space="preserve"/>
        </x:is>
      </x:c>
      <x:c r="N426" s="5" t="inlineStr">
        <x:is>
          <x:t xml:space="preserve"/>
        </x:is>
      </x:c>
      <x:c r="O426" s="5" t="inlineStr">
        <x:is>
          <x:t xml:space="preserve"/>
        </x:is>
      </x:c>
      <x:c r="P426" s="5" t="inlineStr">
        <x:is>
          <x:t xml:space="preserve"/>
        </x:is>
      </x:c>
      <x:c r="Q426" s="5" t="inlineStr">
        <x:is>
          <x:t xml:space="preserve"/>
        </x:is>
      </x:c>
      <x:c r="R426" s="5">
        <x:f>IF(OR(F426="",G426=""),"",IF(F426&gt;=0.95*G426,1,0))</x:f>
      </x:c>
      <x:c r="S426" s="7">
        <x:f>IFERROR((I426+J426+K426)/F426,"")</x:f>
      </x:c>
      <x:c r="T426" s="5">
        <x:f>IFERROR(I426+J426+K426,"")</x:f>
        <x:v>0</x:v>
      </x:c>
    </x:row>
    <x:row r="427" ht="22" customHeight="1">
      <x:c r="A427" s="5" t="inlineStr">
        <x:is>
          <x:t xml:space="preserve">P036</x:t>
        </x:is>
      </x:c>
      <x:c r="B427" s="5" t="inlineStr">
        <x:is>
          <x:t xml:space="preserve">3</x:t>
        </x:is>
      </x:c>
      <x:c r="C427" s="5" t="inlineStr">
        <x:is>
          <x:t xml:space="preserve">V02_study_recall</x:t>
        </x:is>
      </x:c>
      <x:c r="D427" s="5" t="inlineStr">
        <x:is>
          <x:t xml:space="preserve">keyword_highlight</x:t>
        </x:is>
      </x:c>
      <x:c r="E427" s="5" t="inlineStr">
        <x:is>
          <x:t xml:space="preserve">audio_on</x:t>
        </x:is>
      </x:c>
      <x:c r="F427" s="6" t="inlineStr">
        <x:is>
          <x:t xml:space="preserve"/>
        </x:is>
      </x:c>
      <x:c r="G427" s="6" t="inlineStr">
        <x:is>
          <x:t xml:space="preserve">6</x:t>
        </x:is>
      </x:c>
      <x:c r="H427" s="5" t="inlineStr">
        <x:is>
          <x:t xml:space="preserve"/>
        </x:is>
      </x:c>
      <x:c r="I427" s="5" t="inlineStr">
        <x:is>
          <x:t xml:space="preserve"/>
        </x:is>
      </x:c>
      <x:c r="J427" s="5" t="inlineStr">
        <x:is>
          <x:t xml:space="preserve"/>
        </x:is>
      </x:c>
      <x:c r="K427" s="5" t="inlineStr">
        <x:is>
          <x:t xml:space="preserve"/>
        </x:is>
      </x:c>
      <x:c r="L427" s="5" t="inlineStr">
        <x:is>
          <x:t xml:space="preserve"/>
        </x:is>
      </x:c>
      <x:c r="M427" s="5" t="inlineStr">
        <x:is>
          <x:t xml:space="preserve"/>
        </x:is>
      </x:c>
      <x:c r="N427" s="5" t="inlineStr">
        <x:is>
          <x:t xml:space="preserve"/>
        </x:is>
      </x:c>
      <x:c r="O427" s="5" t="inlineStr">
        <x:is>
          <x:t xml:space="preserve"/>
        </x:is>
      </x:c>
      <x:c r="P427" s="5" t="inlineStr">
        <x:is>
          <x:t xml:space="preserve"/>
        </x:is>
      </x:c>
      <x:c r="Q427" s="5" t="inlineStr">
        <x:is>
          <x:t xml:space="preserve"/>
        </x:is>
      </x:c>
      <x:c r="R427" s="5">
        <x:f>IF(OR(F427="",G427=""),"",IF(F427&gt;=0.95*G427,1,0))</x:f>
      </x:c>
      <x:c r="S427" s="7">
        <x:f>IFERROR((I427+J427+K427)/F427,"")</x:f>
      </x:c>
      <x:c r="T427" s="5">
        <x:f>IFERROR(I427+J427+K427,"")</x:f>
        <x:v>0</x:v>
      </x:c>
    </x:row>
    <x:row r="428" ht="22" customHeight="1">
      <x:c r="A428" s="5" t="inlineStr">
        <x:is>
          <x:t xml:space="preserve">P036</x:t>
        </x:is>
      </x:c>
      <x:c r="B428" s="5" t="inlineStr">
        <x:is>
          <x:t xml:space="preserve">4</x:t>
        </x:is>
      </x:c>
      <x:c r="C428" s="5" t="inlineStr">
        <x:is>
          <x:t xml:space="preserve">V04_money_visibility</x:t>
        </x:is>
      </x:c>
      <x:c r="D428" s="5" t="inlineStr">
        <x:is>
          <x:t xml:space="preserve">semantic_compression</x:t>
        </x:is>
      </x:c>
      <x:c r="E428" s="5" t="inlineStr">
        <x:is>
          <x:t xml:space="preserve">muted</x:t>
        </x:is>
      </x:c>
      <x:c r="F428" s="6" t="inlineStr">
        <x:is>
          <x:t xml:space="preserve"/>
        </x:is>
      </x:c>
      <x:c r="G428" s="6" t="inlineStr">
        <x:is>
          <x:t xml:space="preserve">6</x:t>
        </x:is>
      </x:c>
      <x:c r="H428" s="5" t="inlineStr">
        <x:is>
          <x:t xml:space="preserve"/>
        </x:is>
      </x:c>
      <x:c r="I428" s="5" t="inlineStr">
        <x:is>
          <x:t xml:space="preserve"/>
        </x:is>
      </x:c>
      <x:c r="J428" s="5" t="inlineStr">
        <x:is>
          <x:t xml:space="preserve"/>
        </x:is>
      </x:c>
      <x:c r="K428" s="5" t="inlineStr">
        <x:is>
          <x:t xml:space="preserve"/>
        </x:is>
      </x:c>
      <x:c r="L428" s="5" t="inlineStr">
        <x:is>
          <x:t xml:space="preserve"/>
        </x:is>
      </x:c>
      <x:c r="M428" s="5" t="inlineStr">
        <x:is>
          <x:t xml:space="preserve"/>
        </x:is>
      </x:c>
      <x:c r="N428" s="5" t="inlineStr">
        <x:is>
          <x:t xml:space="preserve"/>
        </x:is>
      </x:c>
      <x:c r="O428" s="5" t="inlineStr">
        <x:is>
          <x:t xml:space="preserve"/>
        </x:is>
      </x:c>
      <x:c r="P428" s="5" t="inlineStr">
        <x:is>
          <x:t xml:space="preserve"/>
        </x:is>
      </x:c>
      <x:c r="Q428" s="5" t="inlineStr">
        <x:is>
          <x:t xml:space="preserve"/>
        </x:is>
      </x:c>
      <x:c r="R428" s="5">
        <x:f>IF(OR(F428="",G428=""),"",IF(F428&gt;=0.95*G428,1,0))</x:f>
      </x:c>
      <x:c r="S428" s="7">
        <x:f>IFERROR((I428+J428+K428)/F428,"")</x:f>
      </x:c>
      <x:c r="T428" s="5">
        <x:f>IFERROR(I428+J428+K428,"")</x:f>
        <x:v>0</x:v>
      </x:c>
    </x:row>
    <x:row r="429" ht="22" customHeight="1">
      <x:c r="A429" s="5" t="inlineStr">
        <x:is>
          <x:t xml:space="preserve">P036</x:t>
        </x:is>
      </x:c>
      <x:c r="B429" s="5" t="inlineStr">
        <x:is>
          <x:t xml:space="preserve">5</x:t>
        </x:is>
      </x:c>
      <x:c r="C429" s="5" t="inlineStr">
        <x:is>
          <x:t xml:space="preserve">V01_productivity_friction</x:t>
        </x:is>
      </x:c>
      <x:c r="D429" s="5" t="inlineStr">
        <x:is>
          <x:t xml:space="preserve">bcc</x:t>
        </x:is>
      </x:c>
      <x:c r="E429" s="5" t="inlineStr">
        <x:is>
          <x:t xml:space="preserve">audio_on</x:t>
        </x:is>
      </x:c>
      <x:c r="F429" s="6" t="inlineStr">
        <x:is>
          <x:t xml:space="preserve"/>
        </x:is>
      </x:c>
      <x:c r="G429" s="6" t="inlineStr">
        <x:is>
          <x:t xml:space="preserve">6</x:t>
        </x:is>
      </x:c>
      <x:c r="H429" s="5" t="inlineStr">
        <x:is>
          <x:t xml:space="preserve"/>
        </x:is>
      </x:c>
      <x:c r="I429" s="5" t="inlineStr">
        <x:is>
          <x:t xml:space="preserve"/>
        </x:is>
      </x:c>
      <x:c r="J429" s="5" t="inlineStr">
        <x:is>
          <x:t xml:space="preserve"/>
        </x:is>
      </x:c>
      <x:c r="K429" s="5" t="inlineStr">
        <x:is>
          <x:t xml:space="preserve"/>
        </x:is>
      </x:c>
      <x:c r="L429" s="5" t="inlineStr">
        <x:is>
          <x:t xml:space="preserve"/>
        </x:is>
      </x:c>
      <x:c r="M429" s="5" t="inlineStr">
        <x:is>
          <x:t xml:space="preserve"/>
        </x:is>
      </x:c>
      <x:c r="N429" s="5" t="inlineStr">
        <x:is>
          <x:t xml:space="preserve"/>
        </x:is>
      </x:c>
      <x:c r="O429" s="5" t="inlineStr">
        <x:is>
          <x:t xml:space="preserve"/>
        </x:is>
      </x:c>
      <x:c r="P429" s="5" t="inlineStr">
        <x:is>
          <x:t xml:space="preserve"/>
        </x:is>
      </x:c>
      <x:c r="Q429" s="5" t="inlineStr">
        <x:is>
          <x:t xml:space="preserve"/>
        </x:is>
      </x:c>
      <x:c r="R429" s="5">
        <x:f>IF(OR(F429="",G429=""),"",IF(F429&gt;=0.95*G429,1,0))</x:f>
      </x:c>
      <x:c r="S429" s="7">
        <x:f>IFERROR((I429+J429+K429)/F429,"")</x:f>
      </x:c>
      <x:c r="T429" s="5">
        <x:f>IFERROR(I429+J429+K429,"")</x:f>
        <x:v>0</x:v>
      </x:c>
    </x:row>
    <x:row r="430" ht="22" customHeight="1">
      <x:c r="A430" s="5" t="inlineStr">
        <x:is>
          <x:t xml:space="preserve">P036</x:t>
        </x:is>
      </x:c>
      <x:c r="B430" s="5" t="inlineStr">
        <x:is>
          <x:t xml:space="preserve">6</x:t>
        </x:is>
      </x:c>
      <x:c r="C430" s="5" t="inlineStr">
        <x:is>
          <x:t xml:space="preserve">V12_creativity_constraints</x:t>
        </x:is>
      </x:c>
      <x:c r="D430" s="5" t="inlineStr">
        <x:is>
          <x:t xml:space="preserve">bcc_plus</x:t>
        </x:is>
      </x:c>
      <x:c r="E430" s="5" t="inlineStr">
        <x:is>
          <x:t xml:space="preserve">muted</x:t>
        </x:is>
      </x:c>
      <x:c r="F430" s="6" t="inlineStr">
        <x:is>
          <x:t xml:space="preserve"/>
        </x:is>
      </x:c>
      <x:c r="G430" s="6" t="inlineStr">
        <x:is>
          <x:t xml:space="preserve">6</x:t>
        </x:is>
      </x:c>
      <x:c r="H430" s="5" t="inlineStr">
        <x:is>
          <x:t xml:space="preserve"/>
        </x:is>
      </x:c>
      <x:c r="I430" s="5" t="inlineStr">
        <x:is>
          <x:t xml:space="preserve"/>
        </x:is>
      </x:c>
      <x:c r="J430" s="5" t="inlineStr">
        <x:is>
          <x:t xml:space="preserve"/>
        </x:is>
      </x:c>
      <x:c r="K430" s="5" t="inlineStr">
        <x:is>
          <x:t xml:space="preserve"/>
        </x:is>
      </x:c>
      <x:c r="L430" s="5" t="inlineStr">
        <x:is>
          <x:t xml:space="preserve"/>
        </x:is>
      </x:c>
      <x:c r="M430" s="5" t="inlineStr">
        <x:is>
          <x:t xml:space="preserve"/>
        </x:is>
      </x:c>
      <x:c r="N430" s="5" t="inlineStr">
        <x:is>
          <x:t xml:space="preserve"/>
        </x:is>
      </x:c>
      <x:c r="O430" s="5" t="inlineStr">
        <x:is>
          <x:t xml:space="preserve"/>
        </x:is>
      </x:c>
      <x:c r="P430" s="5" t="inlineStr">
        <x:is>
          <x:t xml:space="preserve"/>
        </x:is>
      </x:c>
      <x:c r="Q430" s="5" t="inlineStr">
        <x:is>
          <x:t xml:space="preserve"/>
        </x:is>
      </x:c>
      <x:c r="R430" s="5">
        <x:f>IF(OR(F430="",G430=""),"",IF(F430&gt;=0.95*G430,1,0))</x:f>
      </x:c>
      <x:c r="S430" s="7">
        <x:f>IFERROR((I430+J430+K430)/F430,"")</x:f>
      </x:c>
      <x:c r="T430" s="5">
        <x:f>IFERROR(I430+J430+K430,"")</x:f>
        <x:v>0</x:v>
      </x:c>
    </x:row>
    <x:row r="431" ht="22" customHeight="1">
      <x:c r="A431" s="5" t="inlineStr">
        <x:is>
          <x:t xml:space="preserve">P036</x:t>
        </x:is>
      </x:c>
      <x:c r="B431" s="5" t="inlineStr">
        <x:is>
          <x:t xml:space="preserve">7</x:t>
        </x:is>
      </x:c>
      <x:c r="C431" s="5" t="inlineStr">
        <x:is>
          <x:t xml:space="preserve">V03_fitness_setup</x:t>
        </x:is>
      </x:c>
      <x:c r="D431" s="5" t="inlineStr">
        <x:is>
          <x:t xml:space="preserve">heavy_bionic</x:t>
        </x:is>
      </x:c>
      <x:c r="E431" s="5" t="inlineStr">
        <x:is>
          <x:t xml:space="preserve">audio_on</x:t>
        </x:is>
      </x:c>
      <x:c r="F431" s="6" t="inlineStr">
        <x:is>
          <x:t xml:space="preserve"/>
        </x:is>
      </x:c>
      <x:c r="G431" s="6" t="inlineStr">
        <x:is>
          <x:t xml:space="preserve">6</x:t>
        </x:is>
      </x:c>
      <x:c r="H431" s="5" t="inlineStr">
        <x:is>
          <x:t xml:space="preserve"/>
        </x:is>
      </x:c>
      <x:c r="I431" s="5" t="inlineStr">
        <x:is>
          <x:t xml:space="preserve"/>
        </x:is>
      </x:c>
      <x:c r="J431" s="5" t="inlineStr">
        <x:is>
          <x:t xml:space="preserve"/>
        </x:is>
      </x:c>
      <x:c r="K431" s="5" t="inlineStr">
        <x:is>
          <x:t xml:space="preserve"/>
        </x:is>
      </x:c>
      <x:c r="L431" s="5" t="inlineStr">
        <x:is>
          <x:t xml:space="preserve"/>
        </x:is>
      </x:c>
      <x:c r="M431" s="5" t="inlineStr">
        <x:is>
          <x:t xml:space="preserve"/>
        </x:is>
      </x:c>
      <x:c r="N431" s="5" t="inlineStr">
        <x:is>
          <x:t xml:space="preserve"/>
        </x:is>
      </x:c>
      <x:c r="O431" s="5" t="inlineStr">
        <x:is>
          <x:t xml:space="preserve"/>
        </x:is>
      </x:c>
      <x:c r="P431" s="5" t="inlineStr">
        <x:is>
          <x:t xml:space="preserve"/>
        </x:is>
      </x:c>
      <x:c r="Q431" s="5" t="inlineStr">
        <x:is>
          <x:t xml:space="preserve"/>
        </x:is>
      </x:c>
      <x:c r="R431" s="5">
        <x:f>IF(OR(F431="",G431=""),"",IF(F431&gt;=0.95*G431,1,0))</x:f>
      </x:c>
      <x:c r="S431" s="7">
        <x:f>IFERROR((I431+J431+K431)/F431,"")</x:f>
      </x:c>
      <x:c r="T431" s="5">
        <x:f>IFERROR(I431+J431+K431,"")</x:f>
        <x:v>0</x:v>
      </x:c>
    </x:row>
    <x:row r="432" ht="22" customHeight="1">
      <x:c r="A432" s="5" t="inlineStr">
        <x:is>
          <x:t xml:space="preserve">P036</x:t>
        </x:is>
      </x:c>
      <x:c r="B432" s="5" t="inlineStr">
        <x:is>
          <x:t xml:space="preserve">8</x:t>
        </x:is>
      </x:c>
      <x:c r="C432" s="5" t="inlineStr">
        <x:is>
          <x:t xml:space="preserve">V08_calendar_system</x:t>
        </x:is>
      </x:c>
      <x:c r="D432" s="5" t="inlineStr">
        <x:is>
          <x:t xml:space="preserve">full_transcript</x:t>
        </x:is>
      </x:c>
      <x:c r="E432" s="5" t="inlineStr">
        <x:is>
          <x:t xml:space="preserve">muted</x:t>
        </x:is>
      </x:c>
      <x:c r="F432" s="6" t="inlineStr">
        <x:is>
          <x:t xml:space="preserve"/>
        </x:is>
      </x:c>
      <x:c r="G432" s="6" t="inlineStr">
        <x:is>
          <x:t xml:space="preserve">6</x:t>
        </x:is>
      </x:c>
      <x:c r="H432" s="5" t="inlineStr">
        <x:is>
          <x:t xml:space="preserve"/>
        </x:is>
      </x:c>
      <x:c r="I432" s="5" t="inlineStr">
        <x:is>
          <x:t xml:space="preserve"/>
        </x:is>
      </x:c>
      <x:c r="J432" s="5" t="inlineStr">
        <x:is>
          <x:t xml:space="preserve"/>
        </x:is>
      </x:c>
      <x:c r="K432" s="5" t="inlineStr">
        <x:is>
          <x:t xml:space="preserve"/>
        </x:is>
      </x:c>
      <x:c r="L432" s="5" t="inlineStr">
        <x:is>
          <x:t xml:space="preserve"/>
        </x:is>
      </x:c>
      <x:c r="M432" s="5" t="inlineStr">
        <x:is>
          <x:t xml:space="preserve"/>
        </x:is>
      </x:c>
      <x:c r="N432" s="5" t="inlineStr">
        <x:is>
          <x:t xml:space="preserve"/>
        </x:is>
      </x:c>
      <x:c r="O432" s="5" t="inlineStr">
        <x:is>
          <x:t xml:space="preserve"/>
        </x:is>
      </x:c>
      <x:c r="P432" s="5" t="inlineStr">
        <x:is>
          <x:t xml:space="preserve"/>
        </x:is>
      </x:c>
      <x:c r="Q432" s="5" t="inlineStr">
        <x:is>
          <x:t xml:space="preserve"/>
        </x:is>
      </x:c>
      <x:c r="R432" s="5">
        <x:f>IF(OR(F432="",G432=""),"",IF(F432&gt;=0.95*G432,1,0))</x:f>
      </x:c>
      <x:c r="S432" s="7">
        <x:f>IFERROR((I432+J432+K432)/F432,"")</x:f>
      </x:c>
      <x:c r="T432" s="5">
        <x:f>IFERROR(I432+J432+K432,"")</x:f>
        <x:v>0</x:v>
      </x:c>
    </x:row>
    <x:row r="433" ht="22" customHeight="1">
      <x:c r="A433" s="5" t="inlineStr">
        <x:is>
          <x:t xml:space="preserve">P036</x:t>
        </x:is>
      </x:c>
      <x:c r="B433" s="5" t="inlineStr">
        <x:is>
          <x:t xml:space="preserve">9</x:t>
        </x:is>
      </x:c>
      <x:c r="C433" s="5" t="inlineStr">
        <x:is>
          <x:t xml:space="preserve">V05_coding_assumptions</x:t>
        </x:is>
      </x:c>
      <x:c r="D433" s="5" t="inlineStr">
        <x:is>
          <x:t xml:space="preserve">keyword_highlight</x:t>
        </x:is>
      </x:c>
      <x:c r="E433" s="5" t="inlineStr">
        <x:is>
          <x:t xml:space="preserve">audio_on</x:t>
        </x:is>
      </x:c>
      <x:c r="F433" s="6" t="inlineStr">
        <x:is>
          <x:t xml:space="preserve"/>
        </x:is>
      </x:c>
      <x:c r="G433" s="6" t="inlineStr">
        <x:is>
          <x:t xml:space="preserve">6</x:t>
        </x:is>
      </x:c>
      <x:c r="H433" s="5" t="inlineStr">
        <x:is>
          <x:t xml:space="preserve"/>
        </x:is>
      </x:c>
      <x:c r="I433" s="5" t="inlineStr">
        <x:is>
          <x:t xml:space="preserve"/>
        </x:is>
      </x:c>
      <x:c r="J433" s="5" t="inlineStr">
        <x:is>
          <x:t xml:space="preserve"/>
        </x:is>
      </x:c>
      <x:c r="K433" s="5" t="inlineStr">
        <x:is>
          <x:t xml:space="preserve"/>
        </x:is>
      </x:c>
      <x:c r="L433" s="5" t="inlineStr">
        <x:is>
          <x:t xml:space="preserve"/>
        </x:is>
      </x:c>
      <x:c r="M433" s="5" t="inlineStr">
        <x:is>
          <x:t xml:space="preserve"/>
        </x:is>
      </x:c>
      <x:c r="N433" s="5" t="inlineStr">
        <x:is>
          <x:t xml:space="preserve"/>
        </x:is>
      </x:c>
      <x:c r="O433" s="5" t="inlineStr">
        <x:is>
          <x:t xml:space="preserve"/>
        </x:is>
      </x:c>
      <x:c r="P433" s="5" t="inlineStr">
        <x:is>
          <x:t xml:space="preserve"/>
        </x:is>
      </x:c>
      <x:c r="Q433" s="5" t="inlineStr">
        <x:is>
          <x:t xml:space="preserve"/>
        </x:is>
      </x:c>
      <x:c r="R433" s="5">
        <x:f>IF(OR(F433="",G433=""),"",IF(F433&gt;=0.95*G433,1,0))</x:f>
      </x:c>
      <x:c r="S433" s="7">
        <x:f>IFERROR((I433+J433+K433)/F433,"")</x:f>
      </x:c>
      <x:c r="T433" s="5">
        <x:f>IFERROR(I433+J433+K433,"")</x:f>
        <x:v>0</x:v>
      </x:c>
    </x:row>
    <x:row r="434" ht="22" customHeight="1">
      <x:c r="A434" s="5" t="inlineStr">
        <x:is>
          <x:t xml:space="preserve">P036</x:t>
        </x:is>
      </x:c>
      <x:c r="B434" s="5" t="inlineStr">
        <x:is>
          <x:t xml:space="preserve">10</x:t>
        </x:is>
      </x:c>
      <x:c r="C434" s="5" t="inlineStr">
        <x:is>
          <x:t xml:space="preserve">V10_tutorial_ui</x:t>
        </x:is>
      </x:c>
      <x:c r="D434" s="5" t="inlineStr">
        <x:is>
          <x:t xml:space="preserve">semantic_compression</x:t>
        </x:is>
      </x:c>
      <x:c r="E434" s="5" t="inlineStr">
        <x:is>
          <x:t xml:space="preserve">muted</x:t>
        </x:is>
      </x:c>
      <x:c r="F434" s="6" t="inlineStr">
        <x:is>
          <x:t xml:space="preserve"/>
        </x:is>
      </x:c>
      <x:c r="G434" s="6" t="inlineStr">
        <x:is>
          <x:t xml:space="preserve">6</x:t>
        </x:is>
      </x:c>
      <x:c r="H434" s="5" t="inlineStr">
        <x:is>
          <x:t xml:space="preserve"/>
        </x:is>
      </x:c>
      <x:c r="I434" s="5" t="inlineStr">
        <x:is>
          <x:t xml:space="preserve"/>
        </x:is>
      </x:c>
      <x:c r="J434" s="5" t="inlineStr">
        <x:is>
          <x:t xml:space="preserve"/>
        </x:is>
      </x:c>
      <x:c r="K434" s="5" t="inlineStr">
        <x:is>
          <x:t xml:space="preserve"/>
        </x:is>
      </x:c>
      <x:c r="L434" s="5" t="inlineStr">
        <x:is>
          <x:t xml:space="preserve"/>
        </x:is>
      </x:c>
      <x:c r="M434" s="5" t="inlineStr">
        <x:is>
          <x:t xml:space="preserve"/>
        </x:is>
      </x:c>
      <x:c r="N434" s="5" t="inlineStr">
        <x:is>
          <x:t xml:space="preserve"/>
        </x:is>
      </x:c>
      <x:c r="O434" s="5" t="inlineStr">
        <x:is>
          <x:t xml:space="preserve"/>
        </x:is>
      </x:c>
      <x:c r="P434" s="5" t="inlineStr">
        <x:is>
          <x:t xml:space="preserve"/>
        </x:is>
      </x:c>
      <x:c r="Q434" s="5" t="inlineStr">
        <x:is>
          <x:t xml:space="preserve"/>
        </x:is>
      </x:c>
      <x:c r="R434" s="5">
        <x:f>IF(OR(F434="",G434=""),"",IF(F434&gt;=0.95*G434,1,0))</x:f>
      </x:c>
      <x:c r="S434" s="7">
        <x:f>IFERROR((I434+J434+K434)/F434,"")</x:f>
      </x:c>
      <x:c r="T434" s="5">
        <x:f>IFERROR(I434+J434+K434,"")</x:f>
        <x:v>0</x:v>
      </x:c>
    </x:row>
    <x:row r="435" ht="22" customHeight="1">
      <x:c r="A435" s="5" t="inlineStr">
        <x:is>
          <x:t xml:space="preserve">P036</x:t>
        </x:is>
      </x:c>
      <x:c r="B435" s="5" t="inlineStr">
        <x:is>
          <x:t xml:space="preserve">11</x:t>
        </x:is>
      </x:c>
      <x:c r="C435" s="5" t="inlineStr">
        <x:is>
          <x:t xml:space="preserve">V06_overload_open_loops</x:t>
        </x:is>
      </x:c>
      <x:c r="D435" s="5" t="inlineStr">
        <x:is>
          <x:t xml:space="preserve">bcc</x:t>
        </x:is>
      </x:c>
      <x:c r="E435" s="5" t="inlineStr">
        <x:is>
          <x:t xml:space="preserve">audio_on</x:t>
        </x:is>
      </x:c>
      <x:c r="F435" s="6" t="inlineStr">
        <x:is>
          <x:t xml:space="preserve"/>
        </x:is>
      </x:c>
      <x:c r="G435" s="6" t="inlineStr">
        <x:is>
          <x:t xml:space="preserve">6</x:t>
        </x:is>
      </x:c>
      <x:c r="H435" s="5" t="inlineStr">
        <x:is>
          <x:t xml:space="preserve"/>
        </x:is>
      </x:c>
      <x:c r="I435" s="5" t="inlineStr">
        <x:is>
          <x:t xml:space="preserve"/>
        </x:is>
      </x:c>
      <x:c r="J435" s="5" t="inlineStr">
        <x:is>
          <x:t xml:space="preserve"/>
        </x:is>
      </x:c>
      <x:c r="K435" s="5" t="inlineStr">
        <x:is>
          <x:t xml:space="preserve"/>
        </x:is>
      </x:c>
      <x:c r="L435" s="5" t="inlineStr">
        <x:is>
          <x:t xml:space="preserve"/>
        </x:is>
      </x:c>
      <x:c r="M435" s="5" t="inlineStr">
        <x:is>
          <x:t xml:space="preserve"/>
        </x:is>
      </x:c>
      <x:c r="N435" s="5" t="inlineStr">
        <x:is>
          <x:t xml:space="preserve"/>
        </x:is>
      </x:c>
      <x:c r="O435" s="5" t="inlineStr">
        <x:is>
          <x:t xml:space="preserve"/>
        </x:is>
      </x:c>
      <x:c r="P435" s="5" t="inlineStr">
        <x:is>
          <x:t xml:space="preserve"/>
        </x:is>
      </x:c>
      <x:c r="Q435" s="5" t="inlineStr">
        <x:is>
          <x:t xml:space="preserve"/>
        </x:is>
      </x:c>
      <x:c r="R435" s="5">
        <x:f>IF(OR(F435="",G435=""),"",IF(F435&gt;=0.95*G435,1,0))</x:f>
      </x:c>
      <x:c r="S435" s="7">
        <x:f>IFERROR((I435+J435+K435)/F435,"")</x:f>
      </x:c>
      <x:c r="T435" s="5">
        <x:f>IFERROR(I435+J435+K435,"")</x:f>
        <x:v>0</x:v>
      </x:c>
    </x:row>
    <x:row r="436" ht="22" customHeight="1">
      <x:c r="A436" s="5" t="inlineStr">
        <x:is>
          <x:t xml:space="preserve">P036</x:t>
        </x:is>
      </x:c>
      <x:c r="B436" s="5" t="inlineStr">
        <x:is>
          <x:t xml:space="preserve">12</x:t>
        </x:is>
      </x:c>
      <x:c r="C436" s="5" t="inlineStr">
        <x:is>
          <x:t xml:space="preserve">V11_story_burnout</x:t>
        </x:is>
      </x:c>
      <x:c r="D436" s="5" t="inlineStr">
        <x:is>
          <x:t xml:space="preserve">bcc_plus</x:t>
        </x:is>
      </x:c>
      <x:c r="E436" s="5" t="inlineStr">
        <x:is>
          <x:t xml:space="preserve">muted</x:t>
        </x:is>
      </x:c>
      <x:c r="F436" s="6" t="inlineStr">
        <x:is>
          <x:t xml:space="preserve"/>
        </x:is>
      </x:c>
      <x:c r="G436" s="6" t="inlineStr">
        <x:is>
          <x:t xml:space="preserve">6</x:t>
        </x:is>
      </x:c>
      <x:c r="H436" s="5" t="inlineStr">
        <x:is>
          <x:t xml:space="preserve"/>
        </x:is>
      </x:c>
      <x:c r="I436" s="5" t="inlineStr">
        <x:is>
          <x:t xml:space="preserve"/>
        </x:is>
      </x:c>
      <x:c r="J436" s="5" t="inlineStr">
        <x:is>
          <x:t xml:space="preserve"/>
        </x:is>
      </x:c>
      <x:c r="K436" s="5" t="inlineStr">
        <x:is>
          <x:t xml:space="preserve"/>
        </x:is>
      </x:c>
      <x:c r="L436" s="5" t="inlineStr">
        <x:is>
          <x:t xml:space="preserve"/>
        </x:is>
      </x:c>
      <x:c r="M436" s="5" t="inlineStr">
        <x:is>
          <x:t xml:space="preserve"/>
        </x:is>
      </x:c>
      <x:c r="N436" s="5" t="inlineStr">
        <x:is>
          <x:t xml:space="preserve"/>
        </x:is>
      </x:c>
      <x:c r="O436" s="5" t="inlineStr">
        <x:is>
          <x:t xml:space="preserve"/>
        </x:is>
      </x:c>
      <x:c r="P436" s="5" t="inlineStr">
        <x:is>
          <x:t xml:space="preserve"/>
        </x:is>
      </x:c>
      <x:c r="Q436" s="5" t="inlineStr">
        <x:is>
          <x:t xml:space="preserve"/>
        </x:is>
      </x:c>
      <x:c r="R436" s="5">
        <x:f>IF(OR(F436="",G436=""),"",IF(F436&gt;=0.95*G436,1,0))</x:f>
      </x:c>
      <x:c r="S436" s="7">
        <x:f>IFERROR((I436+J436+K436)/F436,"")</x:f>
      </x:c>
      <x:c r="T436" s="5">
        <x:f>IFERROR(I436+J436+K436,"")</x:f>
        <x:v>0</x:v>
      </x:c>
    </x:row>
    <x:row r="437" ht="22" customHeight="1">
      <x:c r="A437" s="5" t="inlineStr">
        <x:is>
          <x:t xml:space="preserve">P037</x:t>
        </x:is>
      </x:c>
      <x:c r="B437" s="5" t="inlineStr">
        <x:is>
          <x:t xml:space="preserve">1</x:t>
        </x:is>
      </x:c>
      <x:c r="C437" s="5" t="inlineStr">
        <x:is>
          <x:t xml:space="preserve">V03_fitness_setup</x:t>
        </x:is>
      </x:c>
      <x:c r="D437" s="5" t="inlineStr">
        <x:is>
          <x:t xml:space="preserve">full_transcript</x:t>
        </x:is>
      </x:c>
      <x:c r="E437" s="5" t="inlineStr">
        <x:is>
          <x:t xml:space="preserve">muted</x:t>
        </x:is>
      </x:c>
      <x:c r="F437" s="6" t="inlineStr">
        <x:is>
          <x:t xml:space="preserve"/>
        </x:is>
      </x:c>
      <x:c r="G437" s="6" t="inlineStr">
        <x:is>
          <x:t xml:space="preserve">6</x:t>
        </x:is>
      </x:c>
      <x:c r="H437" s="5" t="inlineStr">
        <x:is>
          <x:t xml:space="preserve"/>
        </x:is>
      </x:c>
      <x:c r="I437" s="5" t="inlineStr">
        <x:is>
          <x:t xml:space="preserve"/>
        </x:is>
      </x:c>
      <x:c r="J437" s="5" t="inlineStr">
        <x:is>
          <x:t xml:space="preserve"/>
        </x:is>
      </x:c>
      <x:c r="K437" s="5" t="inlineStr">
        <x:is>
          <x:t xml:space="preserve"/>
        </x:is>
      </x:c>
      <x:c r="L437" s="5" t="inlineStr">
        <x:is>
          <x:t xml:space="preserve"/>
        </x:is>
      </x:c>
      <x:c r="M437" s="5" t="inlineStr">
        <x:is>
          <x:t xml:space="preserve"/>
        </x:is>
      </x:c>
      <x:c r="N437" s="5" t="inlineStr">
        <x:is>
          <x:t xml:space="preserve"/>
        </x:is>
      </x:c>
      <x:c r="O437" s="5" t="inlineStr">
        <x:is>
          <x:t xml:space="preserve"/>
        </x:is>
      </x:c>
      <x:c r="P437" s="5" t="inlineStr">
        <x:is>
          <x:t xml:space="preserve"/>
        </x:is>
      </x:c>
      <x:c r="Q437" s="5" t="inlineStr">
        <x:is>
          <x:t xml:space="preserve"/>
        </x:is>
      </x:c>
      <x:c r="R437" s="5">
        <x:f>IF(OR(F437="",G437=""),"",IF(F437&gt;=0.95*G437,1,0))</x:f>
      </x:c>
      <x:c r="S437" s="7">
        <x:f>IFERROR((I437+J437+K437)/F437,"")</x:f>
      </x:c>
      <x:c r="T437" s="5">
        <x:f>IFERROR(I437+J437+K437,"")</x:f>
        <x:v>0</x:v>
      </x:c>
    </x:row>
    <x:row r="438" ht="22" customHeight="1">
      <x:c r="A438" s="5" t="inlineStr">
        <x:is>
          <x:t xml:space="preserve">P037</x:t>
        </x:is>
      </x:c>
      <x:c r="B438" s="5" t="inlineStr">
        <x:is>
          <x:t xml:space="preserve">2</x:t>
        </x:is>
      </x:c>
      <x:c r="C438" s="5" t="inlineStr">
        <x:is>
          <x:t xml:space="preserve">V05_coding_assumptions</x:t>
        </x:is>
      </x:c>
      <x:c r="D438" s="5" t="inlineStr">
        <x:is>
          <x:t xml:space="preserve">keyword_highlight</x:t>
        </x:is>
      </x:c>
      <x:c r="E438" s="5" t="inlineStr">
        <x:is>
          <x:t xml:space="preserve">audio_on</x:t>
        </x:is>
      </x:c>
      <x:c r="F438" s="6" t="inlineStr">
        <x:is>
          <x:t xml:space="preserve"/>
        </x:is>
      </x:c>
      <x:c r="G438" s="6" t="inlineStr">
        <x:is>
          <x:t xml:space="preserve">6</x:t>
        </x:is>
      </x:c>
      <x:c r="H438" s="5" t="inlineStr">
        <x:is>
          <x:t xml:space="preserve"/>
        </x:is>
      </x:c>
      <x:c r="I438" s="5" t="inlineStr">
        <x:is>
          <x:t xml:space="preserve"/>
        </x:is>
      </x:c>
      <x:c r="J438" s="5" t="inlineStr">
        <x:is>
          <x:t xml:space="preserve"/>
        </x:is>
      </x:c>
      <x:c r="K438" s="5" t="inlineStr">
        <x:is>
          <x:t xml:space="preserve"/>
        </x:is>
      </x:c>
      <x:c r="L438" s="5" t="inlineStr">
        <x:is>
          <x:t xml:space="preserve"/>
        </x:is>
      </x:c>
      <x:c r="M438" s="5" t="inlineStr">
        <x:is>
          <x:t xml:space="preserve"/>
        </x:is>
      </x:c>
      <x:c r="N438" s="5" t="inlineStr">
        <x:is>
          <x:t xml:space="preserve"/>
        </x:is>
      </x:c>
      <x:c r="O438" s="5" t="inlineStr">
        <x:is>
          <x:t xml:space="preserve"/>
        </x:is>
      </x:c>
      <x:c r="P438" s="5" t="inlineStr">
        <x:is>
          <x:t xml:space="preserve"/>
        </x:is>
      </x:c>
      <x:c r="Q438" s="5" t="inlineStr">
        <x:is>
          <x:t xml:space="preserve"/>
        </x:is>
      </x:c>
      <x:c r="R438" s="5">
        <x:f>IF(OR(F438="",G438=""),"",IF(F438&gt;=0.95*G438,1,0))</x:f>
      </x:c>
      <x:c r="S438" s="7">
        <x:f>IFERROR((I438+J438+K438)/F438,"")</x:f>
      </x:c>
      <x:c r="T438" s="5">
        <x:f>IFERROR(I438+J438+K438,"")</x:f>
        <x:v>0</x:v>
      </x:c>
    </x:row>
    <x:row r="439" ht="22" customHeight="1">
      <x:c r="A439" s="5" t="inlineStr">
        <x:is>
          <x:t xml:space="preserve">P037</x:t>
        </x:is>
      </x:c>
      <x:c r="B439" s="5" t="inlineStr">
        <x:is>
          <x:t xml:space="preserve">3</x:t>
        </x:is>
      </x:c>
      <x:c r="C439" s="5" t="inlineStr">
        <x:is>
          <x:t xml:space="preserve">V12_creativity_constraints</x:t>
        </x:is>
      </x:c>
      <x:c r="D439" s="5" t="inlineStr">
        <x:is>
          <x:t xml:space="preserve">semantic_compression</x:t>
        </x:is>
      </x:c>
      <x:c r="E439" s="5" t="inlineStr">
        <x:is>
          <x:t xml:space="preserve">muted</x:t>
        </x:is>
      </x:c>
      <x:c r="F439" s="6" t="inlineStr">
        <x:is>
          <x:t xml:space="preserve"/>
        </x:is>
      </x:c>
      <x:c r="G439" s="6" t="inlineStr">
        <x:is>
          <x:t xml:space="preserve">6</x:t>
        </x:is>
      </x:c>
      <x:c r="H439" s="5" t="inlineStr">
        <x:is>
          <x:t xml:space="preserve"/>
        </x:is>
      </x:c>
      <x:c r="I439" s="5" t="inlineStr">
        <x:is>
          <x:t xml:space="preserve"/>
        </x:is>
      </x:c>
      <x:c r="J439" s="5" t="inlineStr">
        <x:is>
          <x:t xml:space="preserve"/>
        </x:is>
      </x:c>
      <x:c r="K439" s="5" t="inlineStr">
        <x:is>
          <x:t xml:space="preserve"/>
        </x:is>
      </x:c>
      <x:c r="L439" s="5" t="inlineStr">
        <x:is>
          <x:t xml:space="preserve"/>
        </x:is>
      </x:c>
      <x:c r="M439" s="5" t="inlineStr">
        <x:is>
          <x:t xml:space="preserve"/>
        </x:is>
      </x:c>
      <x:c r="N439" s="5" t="inlineStr">
        <x:is>
          <x:t xml:space="preserve"/>
        </x:is>
      </x:c>
      <x:c r="O439" s="5" t="inlineStr">
        <x:is>
          <x:t xml:space="preserve"/>
        </x:is>
      </x:c>
      <x:c r="P439" s="5" t="inlineStr">
        <x:is>
          <x:t xml:space="preserve"/>
        </x:is>
      </x:c>
      <x:c r="Q439" s="5" t="inlineStr">
        <x:is>
          <x:t xml:space="preserve"/>
        </x:is>
      </x:c>
      <x:c r="R439" s="5">
        <x:f>IF(OR(F439="",G439=""),"",IF(F439&gt;=0.95*G439,1,0))</x:f>
      </x:c>
      <x:c r="S439" s="7">
        <x:f>IFERROR((I439+J439+K439)/F439,"")</x:f>
      </x:c>
      <x:c r="T439" s="5">
        <x:f>IFERROR(I439+J439+K439,"")</x:f>
        <x:v>0</x:v>
      </x:c>
    </x:row>
    <x:row r="440" ht="22" customHeight="1">
      <x:c r="A440" s="5" t="inlineStr">
        <x:is>
          <x:t xml:space="preserve">P037</x:t>
        </x:is>
      </x:c>
      <x:c r="B440" s="5" t="inlineStr">
        <x:is>
          <x:t xml:space="preserve">4</x:t>
        </x:is>
      </x:c>
      <x:c r="C440" s="5" t="inlineStr">
        <x:is>
          <x:t xml:space="preserve">V06_overload_open_loops</x:t>
        </x:is>
      </x:c>
      <x:c r="D440" s="5" t="inlineStr">
        <x:is>
          <x:t xml:space="preserve">bcc</x:t>
        </x:is>
      </x:c>
      <x:c r="E440" s="5" t="inlineStr">
        <x:is>
          <x:t xml:space="preserve">audio_on</x:t>
        </x:is>
      </x:c>
      <x:c r="F440" s="6" t="inlineStr">
        <x:is>
          <x:t xml:space="preserve"/>
        </x:is>
      </x:c>
      <x:c r="G440" s="6" t="inlineStr">
        <x:is>
          <x:t xml:space="preserve">6</x:t>
        </x:is>
      </x:c>
      <x:c r="H440" s="5" t="inlineStr">
        <x:is>
          <x:t xml:space="preserve"/>
        </x:is>
      </x:c>
      <x:c r="I440" s="5" t="inlineStr">
        <x:is>
          <x:t xml:space="preserve"/>
        </x:is>
      </x:c>
      <x:c r="J440" s="5" t="inlineStr">
        <x:is>
          <x:t xml:space="preserve"/>
        </x:is>
      </x:c>
      <x:c r="K440" s="5" t="inlineStr">
        <x:is>
          <x:t xml:space="preserve"/>
        </x:is>
      </x:c>
      <x:c r="L440" s="5" t="inlineStr">
        <x:is>
          <x:t xml:space="preserve"/>
        </x:is>
      </x:c>
      <x:c r="M440" s="5" t="inlineStr">
        <x:is>
          <x:t xml:space="preserve"/>
        </x:is>
      </x:c>
      <x:c r="N440" s="5" t="inlineStr">
        <x:is>
          <x:t xml:space="preserve"/>
        </x:is>
      </x:c>
      <x:c r="O440" s="5" t="inlineStr">
        <x:is>
          <x:t xml:space="preserve"/>
        </x:is>
      </x:c>
      <x:c r="P440" s="5" t="inlineStr">
        <x:is>
          <x:t xml:space="preserve"/>
        </x:is>
      </x:c>
      <x:c r="Q440" s="5" t="inlineStr">
        <x:is>
          <x:t xml:space="preserve"/>
        </x:is>
      </x:c>
      <x:c r="R440" s="5">
        <x:f>IF(OR(F440="",G440=""),"",IF(F440&gt;=0.95*G440,1,0))</x:f>
      </x:c>
      <x:c r="S440" s="7">
        <x:f>IFERROR((I440+J440+K440)/F440,"")</x:f>
      </x:c>
      <x:c r="T440" s="5">
        <x:f>IFERROR(I440+J440+K440,"")</x:f>
        <x:v>0</x:v>
      </x:c>
    </x:row>
    <x:row r="441" ht="22" customHeight="1">
      <x:c r="A441" s="5" t="inlineStr">
        <x:is>
          <x:t xml:space="preserve">P037</x:t>
        </x:is>
      </x:c>
      <x:c r="B441" s="5" t="inlineStr">
        <x:is>
          <x:t xml:space="preserve">5</x:t>
        </x:is>
      </x:c>
      <x:c r="C441" s="5" t="inlineStr">
        <x:is>
          <x:t xml:space="preserve">V08_calendar_system</x:t>
        </x:is>
      </x:c>
      <x:c r="D441" s="5" t="inlineStr">
        <x:is>
          <x:t xml:space="preserve">bcc_plus</x:t>
        </x:is>
      </x:c>
      <x:c r="E441" s="5" t="inlineStr">
        <x:is>
          <x:t xml:space="preserve">muted</x:t>
        </x:is>
      </x:c>
      <x:c r="F441" s="6" t="inlineStr">
        <x:is>
          <x:t xml:space="preserve"/>
        </x:is>
      </x:c>
      <x:c r="G441" s="6" t="inlineStr">
        <x:is>
          <x:t xml:space="preserve">6</x:t>
        </x:is>
      </x:c>
      <x:c r="H441" s="5" t="inlineStr">
        <x:is>
          <x:t xml:space="preserve"/>
        </x:is>
      </x:c>
      <x:c r="I441" s="5" t="inlineStr">
        <x:is>
          <x:t xml:space="preserve"/>
        </x:is>
      </x:c>
      <x:c r="J441" s="5" t="inlineStr">
        <x:is>
          <x:t xml:space="preserve"/>
        </x:is>
      </x:c>
      <x:c r="K441" s="5" t="inlineStr">
        <x:is>
          <x:t xml:space="preserve"/>
        </x:is>
      </x:c>
      <x:c r="L441" s="5" t="inlineStr">
        <x:is>
          <x:t xml:space="preserve"/>
        </x:is>
      </x:c>
      <x:c r="M441" s="5" t="inlineStr">
        <x:is>
          <x:t xml:space="preserve"/>
        </x:is>
      </x:c>
      <x:c r="N441" s="5" t="inlineStr">
        <x:is>
          <x:t xml:space="preserve"/>
        </x:is>
      </x:c>
      <x:c r="O441" s="5" t="inlineStr">
        <x:is>
          <x:t xml:space="preserve"/>
        </x:is>
      </x:c>
      <x:c r="P441" s="5" t="inlineStr">
        <x:is>
          <x:t xml:space="preserve"/>
        </x:is>
      </x:c>
      <x:c r="Q441" s="5" t="inlineStr">
        <x:is>
          <x:t xml:space="preserve"/>
        </x:is>
      </x:c>
      <x:c r="R441" s="5">
        <x:f>IF(OR(F441="",G441=""),"",IF(F441&gt;=0.95*G441,1,0))</x:f>
      </x:c>
      <x:c r="S441" s="7">
        <x:f>IFERROR((I441+J441+K441)/F441,"")</x:f>
      </x:c>
      <x:c r="T441" s="5">
        <x:f>IFERROR(I441+J441+K441,"")</x:f>
        <x:v>0</x:v>
      </x:c>
    </x:row>
    <x:row r="442" ht="22" customHeight="1">
      <x:c r="A442" s="5" t="inlineStr">
        <x:is>
          <x:t xml:space="preserve">P037</x:t>
        </x:is>
      </x:c>
      <x:c r="B442" s="5" t="inlineStr">
        <x:is>
          <x:t xml:space="preserve">6</x:t>
        </x:is>
      </x:c>
      <x:c r="C442" s="5" t="inlineStr">
        <x:is>
          <x:t xml:space="preserve">V02_study_recall</x:t>
        </x:is>
      </x:c>
      <x:c r="D442" s="5" t="inlineStr">
        <x:is>
          <x:t xml:space="preserve">heavy_bionic</x:t>
        </x:is>
      </x:c>
      <x:c r="E442" s="5" t="inlineStr">
        <x:is>
          <x:t xml:space="preserve">audio_on</x:t>
        </x:is>
      </x:c>
      <x:c r="F442" s="6" t="inlineStr">
        <x:is>
          <x:t xml:space="preserve"/>
        </x:is>
      </x:c>
      <x:c r="G442" s="6" t="inlineStr">
        <x:is>
          <x:t xml:space="preserve">6</x:t>
        </x:is>
      </x:c>
      <x:c r="H442" s="5" t="inlineStr">
        <x:is>
          <x:t xml:space="preserve"/>
        </x:is>
      </x:c>
      <x:c r="I442" s="5" t="inlineStr">
        <x:is>
          <x:t xml:space="preserve"/>
        </x:is>
      </x:c>
      <x:c r="J442" s="5" t="inlineStr">
        <x:is>
          <x:t xml:space="preserve"/>
        </x:is>
      </x:c>
      <x:c r="K442" s="5" t="inlineStr">
        <x:is>
          <x:t xml:space="preserve"/>
        </x:is>
      </x:c>
      <x:c r="L442" s="5" t="inlineStr">
        <x:is>
          <x:t xml:space="preserve"/>
        </x:is>
      </x:c>
      <x:c r="M442" s="5" t="inlineStr">
        <x:is>
          <x:t xml:space="preserve"/>
        </x:is>
      </x:c>
      <x:c r="N442" s="5" t="inlineStr">
        <x:is>
          <x:t xml:space="preserve"/>
        </x:is>
      </x:c>
      <x:c r="O442" s="5" t="inlineStr">
        <x:is>
          <x:t xml:space="preserve"/>
        </x:is>
      </x:c>
      <x:c r="P442" s="5" t="inlineStr">
        <x:is>
          <x:t xml:space="preserve"/>
        </x:is>
      </x:c>
      <x:c r="Q442" s="5" t="inlineStr">
        <x:is>
          <x:t xml:space="preserve"/>
        </x:is>
      </x:c>
      <x:c r="R442" s="5">
        <x:f>IF(OR(F442="",G442=""),"",IF(F442&gt;=0.95*G442,1,0))</x:f>
      </x:c>
      <x:c r="S442" s="7">
        <x:f>IFERROR((I442+J442+K442)/F442,"")</x:f>
      </x:c>
      <x:c r="T442" s="5">
        <x:f>IFERROR(I442+J442+K442,"")</x:f>
        <x:v>0</x:v>
      </x:c>
    </x:row>
    <x:row r="443" ht="22" customHeight="1">
      <x:c r="A443" s="5" t="inlineStr">
        <x:is>
          <x:t xml:space="preserve">P037</x:t>
        </x:is>
      </x:c>
      <x:c r="B443" s="5" t="inlineStr">
        <x:is>
          <x:t xml:space="preserve">7</x:t>
        </x:is>
      </x:c>
      <x:c r="C443" s="5" t="inlineStr">
        <x:is>
          <x:t xml:space="preserve">V04_money_visibility</x:t>
        </x:is>
      </x:c>
      <x:c r="D443" s="5" t="inlineStr">
        <x:is>
          <x:t xml:space="preserve">full_transcript</x:t>
        </x:is>
      </x:c>
      <x:c r="E443" s="5" t="inlineStr">
        <x:is>
          <x:t xml:space="preserve">muted</x:t>
        </x:is>
      </x:c>
      <x:c r="F443" s="6" t="inlineStr">
        <x:is>
          <x:t xml:space="preserve"/>
        </x:is>
      </x:c>
      <x:c r="G443" s="6" t="inlineStr">
        <x:is>
          <x:t xml:space="preserve">6</x:t>
        </x:is>
      </x:c>
      <x:c r="H443" s="5" t="inlineStr">
        <x:is>
          <x:t xml:space="preserve"/>
        </x:is>
      </x:c>
      <x:c r="I443" s="5" t="inlineStr">
        <x:is>
          <x:t xml:space="preserve"/>
        </x:is>
      </x:c>
      <x:c r="J443" s="5" t="inlineStr">
        <x:is>
          <x:t xml:space="preserve"/>
        </x:is>
      </x:c>
      <x:c r="K443" s="5" t="inlineStr">
        <x:is>
          <x:t xml:space="preserve"/>
        </x:is>
      </x:c>
      <x:c r="L443" s="5" t="inlineStr">
        <x:is>
          <x:t xml:space="preserve"/>
        </x:is>
      </x:c>
      <x:c r="M443" s="5" t="inlineStr">
        <x:is>
          <x:t xml:space="preserve"/>
        </x:is>
      </x:c>
      <x:c r="N443" s="5" t="inlineStr">
        <x:is>
          <x:t xml:space="preserve"/>
        </x:is>
      </x:c>
      <x:c r="O443" s="5" t="inlineStr">
        <x:is>
          <x:t xml:space="preserve"/>
        </x:is>
      </x:c>
      <x:c r="P443" s="5" t="inlineStr">
        <x:is>
          <x:t xml:space="preserve"/>
        </x:is>
      </x:c>
      <x:c r="Q443" s="5" t="inlineStr">
        <x:is>
          <x:t xml:space="preserve"/>
        </x:is>
      </x:c>
      <x:c r="R443" s="5">
        <x:f>IF(OR(F443="",G443=""),"",IF(F443&gt;=0.95*G443,1,0))</x:f>
      </x:c>
      <x:c r="S443" s="7">
        <x:f>IFERROR((I443+J443+K443)/F443,"")</x:f>
      </x:c>
      <x:c r="T443" s="5">
        <x:f>IFERROR(I443+J443+K443,"")</x:f>
        <x:v>0</x:v>
      </x:c>
    </x:row>
    <x:row r="444" ht="22" customHeight="1">
      <x:c r="A444" s="5" t="inlineStr">
        <x:is>
          <x:t xml:space="preserve">P037</x:t>
        </x:is>
      </x:c>
      <x:c r="B444" s="5" t="inlineStr">
        <x:is>
          <x:t xml:space="preserve">8</x:t>
        </x:is>
      </x:c>
      <x:c r="C444" s="5" t="inlineStr">
        <x:is>
          <x:t xml:space="preserve">V11_story_burnout</x:t>
        </x:is>
      </x:c>
      <x:c r="D444" s="5" t="inlineStr">
        <x:is>
          <x:t xml:space="preserve">keyword_highlight</x:t>
        </x:is>
      </x:c>
      <x:c r="E444" s="5" t="inlineStr">
        <x:is>
          <x:t xml:space="preserve">audio_on</x:t>
        </x:is>
      </x:c>
      <x:c r="F444" s="6" t="inlineStr">
        <x:is>
          <x:t xml:space="preserve"/>
        </x:is>
      </x:c>
      <x:c r="G444" s="6" t="inlineStr">
        <x:is>
          <x:t xml:space="preserve">6</x:t>
        </x:is>
      </x:c>
      <x:c r="H444" s="5" t="inlineStr">
        <x:is>
          <x:t xml:space="preserve"/>
        </x:is>
      </x:c>
      <x:c r="I444" s="5" t="inlineStr">
        <x:is>
          <x:t xml:space="preserve"/>
        </x:is>
      </x:c>
      <x:c r="J444" s="5" t="inlineStr">
        <x:is>
          <x:t xml:space="preserve"/>
        </x:is>
      </x:c>
      <x:c r="K444" s="5" t="inlineStr">
        <x:is>
          <x:t xml:space="preserve"/>
        </x:is>
      </x:c>
      <x:c r="L444" s="5" t="inlineStr">
        <x:is>
          <x:t xml:space="preserve"/>
        </x:is>
      </x:c>
      <x:c r="M444" s="5" t="inlineStr">
        <x:is>
          <x:t xml:space="preserve"/>
        </x:is>
      </x:c>
      <x:c r="N444" s="5" t="inlineStr">
        <x:is>
          <x:t xml:space="preserve"/>
        </x:is>
      </x:c>
      <x:c r="O444" s="5" t="inlineStr">
        <x:is>
          <x:t xml:space="preserve"/>
        </x:is>
      </x:c>
      <x:c r="P444" s="5" t="inlineStr">
        <x:is>
          <x:t xml:space="preserve"/>
        </x:is>
      </x:c>
      <x:c r="Q444" s="5" t="inlineStr">
        <x:is>
          <x:t xml:space="preserve"/>
        </x:is>
      </x:c>
      <x:c r="R444" s="5">
        <x:f>IF(OR(F444="",G444=""),"",IF(F444&gt;=0.95*G444,1,0))</x:f>
      </x:c>
      <x:c r="S444" s="7">
        <x:f>IFERROR((I444+J444+K444)/F444,"")</x:f>
      </x:c>
      <x:c r="T444" s="5">
        <x:f>IFERROR(I444+J444+K444,"")</x:f>
        <x:v>0</x:v>
      </x:c>
    </x:row>
    <x:row r="445" ht="22" customHeight="1">
      <x:c r="A445" s="5" t="inlineStr">
        <x:is>
          <x:t xml:space="preserve">P037</x:t>
        </x:is>
      </x:c>
      <x:c r="B445" s="5" t="inlineStr">
        <x:is>
          <x:t xml:space="preserve">9</x:t>
        </x:is>
      </x:c>
      <x:c r="C445" s="5" t="inlineStr">
        <x:is>
          <x:t xml:space="preserve">V01_productivity_friction</x:t>
        </x:is>
      </x:c>
      <x:c r="D445" s="5" t="inlineStr">
        <x:is>
          <x:t xml:space="preserve">semantic_compression</x:t>
        </x:is>
      </x:c>
      <x:c r="E445" s="5" t="inlineStr">
        <x:is>
          <x:t xml:space="preserve">muted</x:t>
        </x:is>
      </x:c>
      <x:c r="F445" s="6" t="inlineStr">
        <x:is>
          <x:t xml:space="preserve"/>
        </x:is>
      </x:c>
      <x:c r="G445" s="6" t="inlineStr">
        <x:is>
          <x:t xml:space="preserve">6</x:t>
        </x:is>
      </x:c>
      <x:c r="H445" s="5" t="inlineStr">
        <x:is>
          <x:t xml:space="preserve"/>
        </x:is>
      </x:c>
      <x:c r="I445" s="5" t="inlineStr">
        <x:is>
          <x:t xml:space="preserve"/>
        </x:is>
      </x:c>
      <x:c r="J445" s="5" t="inlineStr">
        <x:is>
          <x:t xml:space="preserve"/>
        </x:is>
      </x:c>
      <x:c r="K445" s="5" t="inlineStr">
        <x:is>
          <x:t xml:space="preserve"/>
        </x:is>
      </x:c>
      <x:c r="L445" s="5" t="inlineStr">
        <x:is>
          <x:t xml:space="preserve"/>
        </x:is>
      </x:c>
      <x:c r="M445" s="5" t="inlineStr">
        <x:is>
          <x:t xml:space="preserve"/>
        </x:is>
      </x:c>
      <x:c r="N445" s="5" t="inlineStr">
        <x:is>
          <x:t xml:space="preserve"/>
        </x:is>
      </x:c>
      <x:c r="O445" s="5" t="inlineStr">
        <x:is>
          <x:t xml:space="preserve"/>
        </x:is>
      </x:c>
      <x:c r="P445" s="5" t="inlineStr">
        <x:is>
          <x:t xml:space="preserve"/>
        </x:is>
      </x:c>
      <x:c r="Q445" s="5" t="inlineStr">
        <x:is>
          <x:t xml:space="preserve"/>
        </x:is>
      </x:c>
      <x:c r="R445" s="5">
        <x:f>IF(OR(F445="",G445=""),"",IF(F445&gt;=0.95*G445,1,0))</x:f>
      </x:c>
      <x:c r="S445" s="7">
        <x:f>IFERROR((I445+J445+K445)/F445,"")</x:f>
      </x:c>
      <x:c r="T445" s="5">
        <x:f>IFERROR(I445+J445+K445,"")</x:f>
        <x:v>0</x:v>
      </x:c>
    </x:row>
    <x:row r="446" ht="22" customHeight="1">
      <x:c r="A446" s="5" t="inlineStr">
        <x:is>
          <x:t xml:space="preserve">P037</x:t>
        </x:is>
      </x:c>
      <x:c r="B446" s="5" t="inlineStr">
        <x:is>
          <x:t xml:space="preserve">10</x:t>
        </x:is>
      </x:c>
      <x:c r="C446" s="5" t="inlineStr">
        <x:is>
          <x:t xml:space="preserve">V09_nutrition_satiety</x:t>
        </x:is>
      </x:c>
      <x:c r="D446" s="5" t="inlineStr">
        <x:is>
          <x:t xml:space="preserve">bcc</x:t>
        </x:is>
      </x:c>
      <x:c r="E446" s="5" t="inlineStr">
        <x:is>
          <x:t xml:space="preserve">audio_on</x:t>
        </x:is>
      </x:c>
      <x:c r="F446" s="6" t="inlineStr">
        <x:is>
          <x:t xml:space="preserve"/>
        </x:is>
      </x:c>
      <x:c r="G446" s="6" t="inlineStr">
        <x:is>
          <x:t xml:space="preserve">6</x:t>
        </x:is>
      </x:c>
      <x:c r="H446" s="5" t="inlineStr">
        <x:is>
          <x:t xml:space="preserve"/>
        </x:is>
      </x:c>
      <x:c r="I446" s="5" t="inlineStr">
        <x:is>
          <x:t xml:space="preserve"/>
        </x:is>
      </x:c>
      <x:c r="J446" s="5" t="inlineStr">
        <x:is>
          <x:t xml:space="preserve"/>
        </x:is>
      </x:c>
      <x:c r="K446" s="5" t="inlineStr">
        <x:is>
          <x:t xml:space="preserve"/>
        </x:is>
      </x:c>
      <x:c r="L446" s="5" t="inlineStr">
        <x:is>
          <x:t xml:space="preserve"/>
        </x:is>
      </x:c>
      <x:c r="M446" s="5" t="inlineStr">
        <x:is>
          <x:t xml:space="preserve"/>
        </x:is>
      </x:c>
      <x:c r="N446" s="5" t="inlineStr">
        <x:is>
          <x:t xml:space="preserve"/>
        </x:is>
      </x:c>
      <x:c r="O446" s="5" t="inlineStr">
        <x:is>
          <x:t xml:space="preserve"/>
        </x:is>
      </x:c>
      <x:c r="P446" s="5" t="inlineStr">
        <x:is>
          <x:t xml:space="preserve"/>
        </x:is>
      </x:c>
      <x:c r="Q446" s="5" t="inlineStr">
        <x:is>
          <x:t xml:space="preserve"/>
        </x:is>
      </x:c>
      <x:c r="R446" s="5">
        <x:f>IF(OR(F446="",G446=""),"",IF(F446&gt;=0.95*G446,1,0))</x:f>
      </x:c>
      <x:c r="S446" s="7">
        <x:f>IFERROR((I446+J446+K446)/F446,"")</x:f>
      </x:c>
      <x:c r="T446" s="5">
        <x:f>IFERROR(I446+J446+K446,"")</x:f>
        <x:v>0</x:v>
      </x:c>
    </x:row>
    <x:row r="447" ht="22" customHeight="1">
      <x:c r="A447" s="5" t="inlineStr">
        <x:is>
          <x:t xml:space="preserve">P037</x:t>
        </x:is>
      </x:c>
      <x:c r="B447" s="5" t="inlineStr">
        <x:is>
          <x:t xml:space="preserve">11</x:t>
        </x:is>
      </x:c>
      <x:c r="C447" s="5" t="inlineStr">
        <x:is>
          <x:t xml:space="preserve">V07_business_clarity</x:t>
        </x:is>
      </x:c>
      <x:c r="D447" s="5" t="inlineStr">
        <x:is>
          <x:t xml:space="preserve">bcc_plus</x:t>
        </x:is>
      </x:c>
      <x:c r="E447" s="5" t="inlineStr">
        <x:is>
          <x:t xml:space="preserve">muted</x:t>
        </x:is>
      </x:c>
      <x:c r="F447" s="6" t="inlineStr">
        <x:is>
          <x:t xml:space="preserve"/>
        </x:is>
      </x:c>
      <x:c r="G447" s="6" t="inlineStr">
        <x:is>
          <x:t xml:space="preserve">6</x:t>
        </x:is>
      </x:c>
      <x:c r="H447" s="5" t="inlineStr">
        <x:is>
          <x:t xml:space="preserve"/>
        </x:is>
      </x:c>
      <x:c r="I447" s="5" t="inlineStr">
        <x:is>
          <x:t xml:space="preserve"/>
        </x:is>
      </x:c>
      <x:c r="J447" s="5" t="inlineStr">
        <x:is>
          <x:t xml:space="preserve"/>
        </x:is>
      </x:c>
      <x:c r="K447" s="5" t="inlineStr">
        <x:is>
          <x:t xml:space="preserve"/>
        </x:is>
      </x:c>
      <x:c r="L447" s="5" t="inlineStr">
        <x:is>
          <x:t xml:space="preserve"/>
        </x:is>
      </x:c>
      <x:c r="M447" s="5" t="inlineStr">
        <x:is>
          <x:t xml:space="preserve"/>
        </x:is>
      </x:c>
      <x:c r="N447" s="5" t="inlineStr">
        <x:is>
          <x:t xml:space="preserve"/>
        </x:is>
      </x:c>
      <x:c r="O447" s="5" t="inlineStr">
        <x:is>
          <x:t xml:space="preserve"/>
        </x:is>
      </x:c>
      <x:c r="P447" s="5" t="inlineStr">
        <x:is>
          <x:t xml:space="preserve"/>
        </x:is>
      </x:c>
      <x:c r="Q447" s="5" t="inlineStr">
        <x:is>
          <x:t xml:space="preserve"/>
        </x:is>
      </x:c>
      <x:c r="R447" s="5">
        <x:f>IF(OR(F447="",G447=""),"",IF(F447&gt;=0.95*G447,1,0))</x:f>
      </x:c>
      <x:c r="S447" s="7">
        <x:f>IFERROR((I447+J447+K447)/F447,"")</x:f>
      </x:c>
      <x:c r="T447" s="5">
        <x:f>IFERROR(I447+J447+K447,"")</x:f>
        <x:v>0</x:v>
      </x:c>
    </x:row>
    <x:row r="448" ht="22" customHeight="1">
      <x:c r="A448" s="5" t="inlineStr">
        <x:is>
          <x:t xml:space="preserve">P037</x:t>
        </x:is>
      </x:c>
      <x:c r="B448" s="5" t="inlineStr">
        <x:is>
          <x:t xml:space="preserve">12</x:t>
        </x:is>
      </x:c>
      <x:c r="C448" s="5" t="inlineStr">
        <x:is>
          <x:t xml:space="preserve">V10_tutorial_ui</x:t>
        </x:is>
      </x:c>
      <x:c r="D448" s="5" t="inlineStr">
        <x:is>
          <x:t xml:space="preserve">heavy_bionic</x:t>
        </x:is>
      </x:c>
      <x:c r="E448" s="5" t="inlineStr">
        <x:is>
          <x:t xml:space="preserve">audio_on</x:t>
        </x:is>
      </x:c>
      <x:c r="F448" s="6" t="inlineStr">
        <x:is>
          <x:t xml:space="preserve"/>
        </x:is>
      </x:c>
      <x:c r="G448" s="6" t="inlineStr">
        <x:is>
          <x:t xml:space="preserve">6</x:t>
        </x:is>
      </x:c>
      <x:c r="H448" s="5" t="inlineStr">
        <x:is>
          <x:t xml:space="preserve"/>
        </x:is>
      </x:c>
      <x:c r="I448" s="5" t="inlineStr">
        <x:is>
          <x:t xml:space="preserve"/>
        </x:is>
      </x:c>
      <x:c r="J448" s="5" t="inlineStr">
        <x:is>
          <x:t xml:space="preserve"/>
        </x:is>
      </x:c>
      <x:c r="K448" s="5" t="inlineStr">
        <x:is>
          <x:t xml:space="preserve"/>
        </x:is>
      </x:c>
      <x:c r="L448" s="5" t="inlineStr">
        <x:is>
          <x:t xml:space="preserve"/>
        </x:is>
      </x:c>
      <x:c r="M448" s="5" t="inlineStr">
        <x:is>
          <x:t xml:space="preserve"/>
        </x:is>
      </x:c>
      <x:c r="N448" s="5" t="inlineStr">
        <x:is>
          <x:t xml:space="preserve"/>
        </x:is>
      </x:c>
      <x:c r="O448" s="5" t="inlineStr">
        <x:is>
          <x:t xml:space="preserve"/>
        </x:is>
      </x:c>
      <x:c r="P448" s="5" t="inlineStr">
        <x:is>
          <x:t xml:space="preserve"/>
        </x:is>
      </x:c>
      <x:c r="Q448" s="5" t="inlineStr">
        <x:is>
          <x:t xml:space="preserve"/>
        </x:is>
      </x:c>
      <x:c r="R448" s="5">
        <x:f>IF(OR(F448="",G448=""),"",IF(F448&gt;=0.95*G448,1,0))</x:f>
      </x:c>
      <x:c r="S448" s="7">
        <x:f>IFERROR((I448+J448+K448)/F448,"")</x:f>
      </x:c>
      <x:c r="T448" s="5">
        <x:f>IFERROR(I448+J448+K448,"")</x:f>
        <x:v>0</x:v>
      </x:c>
    </x:row>
    <x:row r="449" ht="22" customHeight="1">
      <x:c r="A449" s="5" t="inlineStr">
        <x:is>
          <x:t xml:space="preserve">P038</x:t>
        </x:is>
      </x:c>
      <x:c r="B449" s="5" t="inlineStr">
        <x:is>
          <x:t xml:space="preserve">1</x:t>
        </x:is>
      </x:c>
      <x:c r="C449" s="5" t="inlineStr">
        <x:is>
          <x:t xml:space="preserve">V09_nutrition_satiety</x:t>
        </x:is>
      </x:c>
      <x:c r="D449" s="5" t="inlineStr">
        <x:is>
          <x:t xml:space="preserve">keyword_highlight</x:t>
        </x:is>
      </x:c>
      <x:c r="E449" s="5" t="inlineStr">
        <x:is>
          <x:t xml:space="preserve">audio_on</x:t>
        </x:is>
      </x:c>
      <x:c r="F449" s="6" t="inlineStr">
        <x:is>
          <x:t xml:space="preserve"/>
        </x:is>
      </x:c>
      <x:c r="G449" s="6" t="inlineStr">
        <x:is>
          <x:t xml:space="preserve">6</x:t>
        </x:is>
      </x:c>
      <x:c r="H449" s="5" t="inlineStr">
        <x:is>
          <x:t xml:space="preserve"/>
        </x:is>
      </x:c>
      <x:c r="I449" s="5" t="inlineStr">
        <x:is>
          <x:t xml:space="preserve"/>
        </x:is>
      </x:c>
      <x:c r="J449" s="5" t="inlineStr">
        <x:is>
          <x:t xml:space="preserve"/>
        </x:is>
      </x:c>
      <x:c r="K449" s="5" t="inlineStr">
        <x:is>
          <x:t xml:space="preserve"/>
        </x:is>
      </x:c>
      <x:c r="L449" s="5" t="inlineStr">
        <x:is>
          <x:t xml:space="preserve"/>
        </x:is>
      </x:c>
      <x:c r="M449" s="5" t="inlineStr">
        <x:is>
          <x:t xml:space="preserve"/>
        </x:is>
      </x:c>
      <x:c r="N449" s="5" t="inlineStr">
        <x:is>
          <x:t xml:space="preserve"/>
        </x:is>
      </x:c>
      <x:c r="O449" s="5" t="inlineStr">
        <x:is>
          <x:t xml:space="preserve"/>
        </x:is>
      </x:c>
      <x:c r="P449" s="5" t="inlineStr">
        <x:is>
          <x:t xml:space="preserve"/>
        </x:is>
      </x:c>
      <x:c r="Q449" s="5" t="inlineStr">
        <x:is>
          <x:t xml:space="preserve"/>
        </x:is>
      </x:c>
      <x:c r="R449" s="5">
        <x:f>IF(OR(F449="",G449=""),"",IF(F449&gt;=0.95*G449,1,0))</x:f>
      </x:c>
      <x:c r="S449" s="7">
        <x:f>IFERROR((I449+J449+K449)/F449,"")</x:f>
      </x:c>
      <x:c r="T449" s="5">
        <x:f>IFERROR(I449+J449+K449,"")</x:f>
        <x:v>0</x:v>
      </x:c>
    </x:row>
    <x:row r="450" ht="22" customHeight="1">
      <x:c r="A450" s="5" t="inlineStr">
        <x:is>
          <x:t xml:space="preserve">P038</x:t>
        </x:is>
      </x:c>
      <x:c r="B450" s="5" t="inlineStr">
        <x:is>
          <x:t xml:space="preserve">2</x:t>
        </x:is>
      </x:c>
      <x:c r="C450" s="5" t="inlineStr">
        <x:is>
          <x:t xml:space="preserve">V05_coding_assumptions</x:t>
        </x:is>
      </x:c>
      <x:c r="D450" s="5" t="inlineStr">
        <x:is>
          <x:t xml:space="preserve">semantic_compression</x:t>
        </x:is>
      </x:c>
      <x:c r="E450" s="5" t="inlineStr">
        <x:is>
          <x:t xml:space="preserve">muted</x:t>
        </x:is>
      </x:c>
      <x:c r="F450" s="6" t="inlineStr">
        <x:is>
          <x:t xml:space="preserve"/>
        </x:is>
      </x:c>
      <x:c r="G450" s="6" t="inlineStr">
        <x:is>
          <x:t xml:space="preserve">6</x:t>
        </x:is>
      </x:c>
      <x:c r="H450" s="5" t="inlineStr">
        <x:is>
          <x:t xml:space="preserve"/>
        </x:is>
      </x:c>
      <x:c r="I450" s="5" t="inlineStr">
        <x:is>
          <x:t xml:space="preserve"/>
        </x:is>
      </x:c>
      <x:c r="J450" s="5" t="inlineStr">
        <x:is>
          <x:t xml:space="preserve"/>
        </x:is>
      </x:c>
      <x:c r="K450" s="5" t="inlineStr">
        <x:is>
          <x:t xml:space="preserve"/>
        </x:is>
      </x:c>
      <x:c r="L450" s="5" t="inlineStr">
        <x:is>
          <x:t xml:space="preserve"/>
        </x:is>
      </x:c>
      <x:c r="M450" s="5" t="inlineStr">
        <x:is>
          <x:t xml:space="preserve"/>
        </x:is>
      </x:c>
      <x:c r="N450" s="5" t="inlineStr">
        <x:is>
          <x:t xml:space="preserve"/>
        </x:is>
      </x:c>
      <x:c r="O450" s="5" t="inlineStr">
        <x:is>
          <x:t xml:space="preserve"/>
        </x:is>
      </x:c>
      <x:c r="P450" s="5" t="inlineStr">
        <x:is>
          <x:t xml:space="preserve"/>
        </x:is>
      </x:c>
      <x:c r="Q450" s="5" t="inlineStr">
        <x:is>
          <x:t xml:space="preserve"/>
        </x:is>
      </x:c>
      <x:c r="R450" s="5">
        <x:f>IF(OR(F450="",G450=""),"",IF(F450&gt;=0.95*G450,1,0))</x:f>
      </x:c>
      <x:c r="S450" s="7">
        <x:f>IFERROR((I450+J450+K450)/F450,"")</x:f>
      </x:c>
      <x:c r="T450" s="5">
        <x:f>IFERROR(I450+J450+K450,"")</x:f>
        <x:v>0</x:v>
      </x:c>
    </x:row>
    <x:row r="451" ht="22" customHeight="1">
      <x:c r="A451" s="5" t="inlineStr">
        <x:is>
          <x:t xml:space="preserve">P038</x:t>
        </x:is>
      </x:c>
      <x:c r="B451" s="5" t="inlineStr">
        <x:is>
          <x:t xml:space="preserve">3</x:t>
        </x:is>
      </x:c>
      <x:c r="C451" s="5" t="inlineStr">
        <x:is>
          <x:t xml:space="preserve">V10_tutorial_ui</x:t>
        </x:is>
      </x:c>
      <x:c r="D451" s="5" t="inlineStr">
        <x:is>
          <x:t xml:space="preserve">bcc</x:t>
        </x:is>
      </x:c>
      <x:c r="E451" s="5" t="inlineStr">
        <x:is>
          <x:t xml:space="preserve">audio_on</x:t>
        </x:is>
      </x:c>
      <x:c r="F451" s="6" t="inlineStr">
        <x:is>
          <x:t xml:space="preserve"/>
        </x:is>
      </x:c>
      <x:c r="G451" s="6" t="inlineStr">
        <x:is>
          <x:t xml:space="preserve">6</x:t>
        </x:is>
      </x:c>
      <x:c r="H451" s="5" t="inlineStr">
        <x:is>
          <x:t xml:space="preserve"/>
        </x:is>
      </x:c>
      <x:c r="I451" s="5" t="inlineStr">
        <x:is>
          <x:t xml:space="preserve"/>
        </x:is>
      </x:c>
      <x:c r="J451" s="5" t="inlineStr">
        <x:is>
          <x:t xml:space="preserve"/>
        </x:is>
      </x:c>
      <x:c r="K451" s="5" t="inlineStr">
        <x:is>
          <x:t xml:space="preserve"/>
        </x:is>
      </x:c>
      <x:c r="L451" s="5" t="inlineStr">
        <x:is>
          <x:t xml:space="preserve"/>
        </x:is>
      </x:c>
      <x:c r="M451" s="5" t="inlineStr">
        <x:is>
          <x:t xml:space="preserve"/>
        </x:is>
      </x:c>
      <x:c r="N451" s="5" t="inlineStr">
        <x:is>
          <x:t xml:space="preserve"/>
        </x:is>
      </x:c>
      <x:c r="O451" s="5" t="inlineStr">
        <x:is>
          <x:t xml:space="preserve"/>
        </x:is>
      </x:c>
      <x:c r="P451" s="5" t="inlineStr">
        <x:is>
          <x:t xml:space="preserve"/>
        </x:is>
      </x:c>
      <x:c r="Q451" s="5" t="inlineStr">
        <x:is>
          <x:t xml:space="preserve"/>
        </x:is>
      </x:c>
      <x:c r="R451" s="5">
        <x:f>IF(OR(F451="",G451=""),"",IF(F451&gt;=0.95*G451,1,0))</x:f>
      </x:c>
      <x:c r="S451" s="7">
        <x:f>IFERROR((I451+J451+K451)/F451,"")</x:f>
      </x:c>
      <x:c r="T451" s="5">
        <x:f>IFERROR(I451+J451+K451,"")</x:f>
        <x:v>0</x:v>
      </x:c>
    </x:row>
    <x:row r="452" ht="22" customHeight="1">
      <x:c r="A452" s="5" t="inlineStr">
        <x:is>
          <x:t xml:space="preserve">P038</x:t>
        </x:is>
      </x:c>
      <x:c r="B452" s="5" t="inlineStr">
        <x:is>
          <x:t xml:space="preserve">4</x:t>
        </x:is>
      </x:c>
      <x:c r="C452" s="5" t="inlineStr">
        <x:is>
          <x:t xml:space="preserve">V01_productivity_friction</x:t>
        </x:is>
      </x:c>
      <x:c r="D452" s="5" t="inlineStr">
        <x:is>
          <x:t xml:space="preserve">bcc_plus</x:t>
        </x:is>
      </x:c>
      <x:c r="E452" s="5" t="inlineStr">
        <x:is>
          <x:t xml:space="preserve">muted</x:t>
        </x:is>
      </x:c>
      <x:c r="F452" s="6" t="inlineStr">
        <x:is>
          <x:t xml:space="preserve"/>
        </x:is>
      </x:c>
      <x:c r="G452" s="6" t="inlineStr">
        <x:is>
          <x:t xml:space="preserve">6</x:t>
        </x:is>
      </x:c>
      <x:c r="H452" s="5" t="inlineStr">
        <x:is>
          <x:t xml:space="preserve"/>
        </x:is>
      </x:c>
      <x:c r="I452" s="5" t="inlineStr">
        <x:is>
          <x:t xml:space="preserve"/>
        </x:is>
      </x:c>
      <x:c r="J452" s="5" t="inlineStr">
        <x:is>
          <x:t xml:space="preserve"/>
        </x:is>
      </x:c>
      <x:c r="K452" s="5" t="inlineStr">
        <x:is>
          <x:t xml:space="preserve"/>
        </x:is>
      </x:c>
      <x:c r="L452" s="5" t="inlineStr">
        <x:is>
          <x:t xml:space="preserve"/>
        </x:is>
      </x:c>
      <x:c r="M452" s="5" t="inlineStr">
        <x:is>
          <x:t xml:space="preserve"/>
        </x:is>
      </x:c>
      <x:c r="N452" s="5" t="inlineStr">
        <x:is>
          <x:t xml:space="preserve"/>
        </x:is>
      </x:c>
      <x:c r="O452" s="5" t="inlineStr">
        <x:is>
          <x:t xml:space="preserve"/>
        </x:is>
      </x:c>
      <x:c r="P452" s="5" t="inlineStr">
        <x:is>
          <x:t xml:space="preserve"/>
        </x:is>
      </x:c>
      <x:c r="Q452" s="5" t="inlineStr">
        <x:is>
          <x:t xml:space="preserve"/>
        </x:is>
      </x:c>
      <x:c r="R452" s="5">
        <x:f>IF(OR(F452="",G452=""),"",IF(F452&gt;=0.95*G452,1,0))</x:f>
      </x:c>
      <x:c r="S452" s="7">
        <x:f>IFERROR((I452+J452+K452)/F452,"")</x:f>
      </x:c>
      <x:c r="T452" s="5">
        <x:f>IFERROR(I452+J452+K452,"")</x:f>
        <x:v>0</x:v>
      </x:c>
    </x:row>
    <x:row r="453" ht="22" customHeight="1">
      <x:c r="A453" s="5" t="inlineStr">
        <x:is>
          <x:t xml:space="preserve">P038</x:t>
        </x:is>
      </x:c>
      <x:c r="B453" s="5" t="inlineStr">
        <x:is>
          <x:t xml:space="preserve">5</x:t>
        </x:is>
      </x:c>
      <x:c r="C453" s="5" t="inlineStr">
        <x:is>
          <x:t xml:space="preserve">V11_story_burnout</x:t>
        </x:is>
      </x:c>
      <x:c r="D453" s="5" t="inlineStr">
        <x:is>
          <x:t xml:space="preserve">heavy_bionic</x:t>
        </x:is>
      </x:c>
      <x:c r="E453" s="5" t="inlineStr">
        <x:is>
          <x:t xml:space="preserve">audio_on</x:t>
        </x:is>
      </x:c>
      <x:c r="F453" s="6" t="inlineStr">
        <x:is>
          <x:t xml:space="preserve"/>
        </x:is>
      </x:c>
      <x:c r="G453" s="6" t="inlineStr">
        <x:is>
          <x:t xml:space="preserve">6</x:t>
        </x:is>
      </x:c>
      <x:c r="H453" s="5" t="inlineStr">
        <x:is>
          <x:t xml:space="preserve"/>
        </x:is>
      </x:c>
      <x:c r="I453" s="5" t="inlineStr">
        <x:is>
          <x:t xml:space="preserve"/>
        </x:is>
      </x:c>
      <x:c r="J453" s="5" t="inlineStr">
        <x:is>
          <x:t xml:space="preserve"/>
        </x:is>
      </x:c>
      <x:c r="K453" s="5" t="inlineStr">
        <x:is>
          <x:t xml:space="preserve"/>
        </x:is>
      </x:c>
      <x:c r="L453" s="5" t="inlineStr">
        <x:is>
          <x:t xml:space="preserve"/>
        </x:is>
      </x:c>
      <x:c r="M453" s="5" t="inlineStr">
        <x:is>
          <x:t xml:space="preserve"/>
        </x:is>
      </x:c>
      <x:c r="N453" s="5" t="inlineStr">
        <x:is>
          <x:t xml:space="preserve"/>
        </x:is>
      </x:c>
      <x:c r="O453" s="5" t="inlineStr">
        <x:is>
          <x:t xml:space="preserve"/>
        </x:is>
      </x:c>
      <x:c r="P453" s="5" t="inlineStr">
        <x:is>
          <x:t xml:space="preserve"/>
        </x:is>
      </x:c>
      <x:c r="Q453" s="5" t="inlineStr">
        <x:is>
          <x:t xml:space="preserve"/>
        </x:is>
      </x:c>
      <x:c r="R453" s="5">
        <x:f>IF(OR(F453="",G453=""),"",IF(F453&gt;=0.95*G453,1,0))</x:f>
      </x:c>
      <x:c r="S453" s="7">
        <x:f>IFERROR((I453+J453+K453)/F453,"")</x:f>
      </x:c>
      <x:c r="T453" s="5">
        <x:f>IFERROR(I453+J453+K453,"")</x:f>
        <x:v>0</x:v>
      </x:c>
    </x:row>
    <x:row r="454" ht="22" customHeight="1">
      <x:c r="A454" s="5" t="inlineStr">
        <x:is>
          <x:t xml:space="preserve">P038</x:t>
        </x:is>
      </x:c>
      <x:c r="B454" s="5" t="inlineStr">
        <x:is>
          <x:t xml:space="preserve">6</x:t>
        </x:is>
      </x:c>
      <x:c r="C454" s="5" t="inlineStr">
        <x:is>
          <x:t xml:space="preserve">V08_calendar_system</x:t>
        </x:is>
      </x:c>
      <x:c r="D454" s="5" t="inlineStr">
        <x:is>
          <x:t xml:space="preserve">full_transcript</x:t>
        </x:is>
      </x:c>
      <x:c r="E454" s="5" t="inlineStr">
        <x:is>
          <x:t xml:space="preserve">muted</x:t>
        </x:is>
      </x:c>
      <x:c r="F454" s="6" t="inlineStr">
        <x:is>
          <x:t xml:space="preserve"/>
        </x:is>
      </x:c>
      <x:c r="G454" s="6" t="inlineStr">
        <x:is>
          <x:t xml:space="preserve">6</x:t>
        </x:is>
      </x:c>
      <x:c r="H454" s="5" t="inlineStr">
        <x:is>
          <x:t xml:space="preserve"/>
        </x:is>
      </x:c>
      <x:c r="I454" s="5" t="inlineStr">
        <x:is>
          <x:t xml:space="preserve"/>
        </x:is>
      </x:c>
      <x:c r="J454" s="5" t="inlineStr">
        <x:is>
          <x:t xml:space="preserve"/>
        </x:is>
      </x:c>
      <x:c r="K454" s="5" t="inlineStr">
        <x:is>
          <x:t xml:space="preserve"/>
        </x:is>
      </x:c>
      <x:c r="L454" s="5" t="inlineStr">
        <x:is>
          <x:t xml:space="preserve"/>
        </x:is>
      </x:c>
      <x:c r="M454" s="5" t="inlineStr">
        <x:is>
          <x:t xml:space="preserve"/>
        </x:is>
      </x:c>
      <x:c r="N454" s="5" t="inlineStr">
        <x:is>
          <x:t xml:space="preserve"/>
        </x:is>
      </x:c>
      <x:c r="O454" s="5" t="inlineStr">
        <x:is>
          <x:t xml:space="preserve"/>
        </x:is>
      </x:c>
      <x:c r="P454" s="5" t="inlineStr">
        <x:is>
          <x:t xml:space="preserve"/>
        </x:is>
      </x:c>
      <x:c r="Q454" s="5" t="inlineStr">
        <x:is>
          <x:t xml:space="preserve"/>
        </x:is>
      </x:c>
      <x:c r="R454" s="5">
        <x:f>IF(OR(F454="",G454=""),"",IF(F454&gt;=0.95*G454,1,0))</x:f>
      </x:c>
      <x:c r="S454" s="7">
        <x:f>IFERROR((I454+J454+K454)/F454,"")</x:f>
      </x:c>
      <x:c r="T454" s="5">
        <x:f>IFERROR(I454+J454+K454,"")</x:f>
        <x:v>0</x:v>
      </x:c>
    </x:row>
    <x:row r="455" ht="22" customHeight="1">
      <x:c r="A455" s="5" t="inlineStr">
        <x:is>
          <x:t xml:space="preserve">P038</x:t>
        </x:is>
      </x:c>
      <x:c r="B455" s="5" t="inlineStr">
        <x:is>
          <x:t xml:space="preserve">7</x:t>
        </x:is>
      </x:c>
      <x:c r="C455" s="5" t="inlineStr">
        <x:is>
          <x:t xml:space="preserve">V12_creativity_constraints</x:t>
        </x:is>
      </x:c>
      <x:c r="D455" s="5" t="inlineStr">
        <x:is>
          <x:t xml:space="preserve">keyword_highlight</x:t>
        </x:is>
      </x:c>
      <x:c r="E455" s="5" t="inlineStr">
        <x:is>
          <x:t xml:space="preserve">audio_on</x:t>
        </x:is>
      </x:c>
      <x:c r="F455" s="6" t="inlineStr">
        <x:is>
          <x:t xml:space="preserve"/>
        </x:is>
      </x:c>
      <x:c r="G455" s="6" t="inlineStr">
        <x:is>
          <x:t xml:space="preserve">6</x:t>
        </x:is>
      </x:c>
      <x:c r="H455" s="5" t="inlineStr">
        <x:is>
          <x:t xml:space="preserve"/>
        </x:is>
      </x:c>
      <x:c r="I455" s="5" t="inlineStr">
        <x:is>
          <x:t xml:space="preserve"/>
        </x:is>
      </x:c>
      <x:c r="J455" s="5" t="inlineStr">
        <x:is>
          <x:t xml:space="preserve"/>
        </x:is>
      </x:c>
      <x:c r="K455" s="5" t="inlineStr">
        <x:is>
          <x:t xml:space="preserve"/>
        </x:is>
      </x:c>
      <x:c r="L455" s="5" t="inlineStr">
        <x:is>
          <x:t xml:space="preserve"/>
        </x:is>
      </x:c>
      <x:c r="M455" s="5" t="inlineStr">
        <x:is>
          <x:t xml:space="preserve"/>
        </x:is>
      </x:c>
      <x:c r="N455" s="5" t="inlineStr">
        <x:is>
          <x:t xml:space="preserve"/>
        </x:is>
      </x:c>
      <x:c r="O455" s="5" t="inlineStr">
        <x:is>
          <x:t xml:space="preserve"/>
        </x:is>
      </x:c>
      <x:c r="P455" s="5" t="inlineStr">
        <x:is>
          <x:t xml:space="preserve"/>
        </x:is>
      </x:c>
      <x:c r="Q455" s="5" t="inlineStr">
        <x:is>
          <x:t xml:space="preserve"/>
        </x:is>
      </x:c>
      <x:c r="R455" s="5">
        <x:f>IF(OR(F455="",G455=""),"",IF(F455&gt;=0.95*G455,1,0))</x:f>
      </x:c>
      <x:c r="S455" s="7">
        <x:f>IFERROR((I455+J455+K455)/F455,"")</x:f>
      </x:c>
      <x:c r="T455" s="5">
        <x:f>IFERROR(I455+J455+K455,"")</x:f>
        <x:v>0</x:v>
      </x:c>
    </x:row>
    <x:row r="456" ht="22" customHeight="1">
      <x:c r="A456" s="5" t="inlineStr">
        <x:is>
          <x:t xml:space="preserve">P038</x:t>
        </x:is>
      </x:c>
      <x:c r="B456" s="5" t="inlineStr">
        <x:is>
          <x:t xml:space="preserve">8</x:t>
        </x:is>
      </x:c>
      <x:c r="C456" s="5" t="inlineStr">
        <x:is>
          <x:t xml:space="preserve">V04_money_visibility</x:t>
        </x:is>
      </x:c>
      <x:c r="D456" s="5" t="inlineStr">
        <x:is>
          <x:t xml:space="preserve">semantic_compression</x:t>
        </x:is>
      </x:c>
      <x:c r="E456" s="5" t="inlineStr">
        <x:is>
          <x:t xml:space="preserve">muted</x:t>
        </x:is>
      </x:c>
      <x:c r="F456" s="6" t="inlineStr">
        <x:is>
          <x:t xml:space="preserve"/>
        </x:is>
      </x:c>
      <x:c r="G456" s="6" t="inlineStr">
        <x:is>
          <x:t xml:space="preserve">6</x:t>
        </x:is>
      </x:c>
      <x:c r="H456" s="5" t="inlineStr">
        <x:is>
          <x:t xml:space="preserve"/>
        </x:is>
      </x:c>
      <x:c r="I456" s="5" t="inlineStr">
        <x:is>
          <x:t xml:space="preserve"/>
        </x:is>
      </x:c>
      <x:c r="J456" s="5" t="inlineStr">
        <x:is>
          <x:t xml:space="preserve"/>
        </x:is>
      </x:c>
      <x:c r="K456" s="5" t="inlineStr">
        <x:is>
          <x:t xml:space="preserve"/>
        </x:is>
      </x:c>
      <x:c r="L456" s="5" t="inlineStr">
        <x:is>
          <x:t xml:space="preserve"/>
        </x:is>
      </x:c>
      <x:c r="M456" s="5" t="inlineStr">
        <x:is>
          <x:t xml:space="preserve"/>
        </x:is>
      </x:c>
      <x:c r="N456" s="5" t="inlineStr">
        <x:is>
          <x:t xml:space="preserve"/>
        </x:is>
      </x:c>
      <x:c r="O456" s="5" t="inlineStr">
        <x:is>
          <x:t xml:space="preserve"/>
        </x:is>
      </x:c>
      <x:c r="P456" s="5" t="inlineStr">
        <x:is>
          <x:t xml:space="preserve"/>
        </x:is>
      </x:c>
      <x:c r="Q456" s="5" t="inlineStr">
        <x:is>
          <x:t xml:space="preserve"/>
        </x:is>
      </x:c>
      <x:c r="R456" s="5">
        <x:f>IF(OR(F456="",G456=""),"",IF(F456&gt;=0.95*G456,1,0))</x:f>
      </x:c>
      <x:c r="S456" s="7">
        <x:f>IFERROR((I456+J456+K456)/F456,"")</x:f>
      </x:c>
      <x:c r="T456" s="5">
        <x:f>IFERROR(I456+J456+K456,"")</x:f>
        <x:v>0</x:v>
      </x:c>
    </x:row>
    <x:row r="457" ht="22" customHeight="1">
      <x:c r="A457" s="5" t="inlineStr">
        <x:is>
          <x:t xml:space="preserve">P038</x:t>
        </x:is>
      </x:c>
      <x:c r="B457" s="5" t="inlineStr">
        <x:is>
          <x:t xml:space="preserve">9</x:t>
        </x:is>
      </x:c>
      <x:c r="C457" s="5" t="inlineStr">
        <x:is>
          <x:t xml:space="preserve">V06_overload_open_loops</x:t>
        </x:is>
      </x:c>
      <x:c r="D457" s="5" t="inlineStr">
        <x:is>
          <x:t xml:space="preserve">bcc</x:t>
        </x:is>
      </x:c>
      <x:c r="E457" s="5" t="inlineStr">
        <x:is>
          <x:t xml:space="preserve">audio_on</x:t>
        </x:is>
      </x:c>
      <x:c r="F457" s="6" t="inlineStr">
        <x:is>
          <x:t xml:space="preserve"/>
        </x:is>
      </x:c>
      <x:c r="G457" s="6" t="inlineStr">
        <x:is>
          <x:t xml:space="preserve">6</x:t>
        </x:is>
      </x:c>
      <x:c r="H457" s="5" t="inlineStr">
        <x:is>
          <x:t xml:space="preserve"/>
        </x:is>
      </x:c>
      <x:c r="I457" s="5" t="inlineStr">
        <x:is>
          <x:t xml:space="preserve"/>
        </x:is>
      </x:c>
      <x:c r="J457" s="5" t="inlineStr">
        <x:is>
          <x:t xml:space="preserve"/>
        </x:is>
      </x:c>
      <x:c r="K457" s="5" t="inlineStr">
        <x:is>
          <x:t xml:space="preserve"/>
        </x:is>
      </x:c>
      <x:c r="L457" s="5" t="inlineStr">
        <x:is>
          <x:t xml:space="preserve"/>
        </x:is>
      </x:c>
      <x:c r="M457" s="5" t="inlineStr">
        <x:is>
          <x:t xml:space="preserve"/>
        </x:is>
      </x:c>
      <x:c r="N457" s="5" t="inlineStr">
        <x:is>
          <x:t xml:space="preserve"/>
        </x:is>
      </x:c>
      <x:c r="O457" s="5" t="inlineStr">
        <x:is>
          <x:t xml:space="preserve"/>
        </x:is>
      </x:c>
      <x:c r="P457" s="5" t="inlineStr">
        <x:is>
          <x:t xml:space="preserve"/>
        </x:is>
      </x:c>
      <x:c r="Q457" s="5" t="inlineStr">
        <x:is>
          <x:t xml:space="preserve"/>
        </x:is>
      </x:c>
      <x:c r="R457" s="5">
        <x:f>IF(OR(F457="",G457=""),"",IF(F457&gt;=0.95*G457,1,0))</x:f>
      </x:c>
      <x:c r="S457" s="7">
        <x:f>IFERROR((I457+J457+K457)/F457,"")</x:f>
      </x:c>
      <x:c r="T457" s="5">
        <x:f>IFERROR(I457+J457+K457,"")</x:f>
        <x:v>0</x:v>
      </x:c>
    </x:row>
    <x:row r="458" ht="22" customHeight="1">
      <x:c r="A458" s="5" t="inlineStr">
        <x:is>
          <x:t xml:space="preserve">P038</x:t>
        </x:is>
      </x:c>
      <x:c r="B458" s="5" t="inlineStr">
        <x:is>
          <x:t xml:space="preserve">10</x:t>
        </x:is>
      </x:c>
      <x:c r="C458" s="5" t="inlineStr">
        <x:is>
          <x:t xml:space="preserve">V07_business_clarity</x:t>
        </x:is>
      </x:c>
      <x:c r="D458" s="5" t="inlineStr">
        <x:is>
          <x:t xml:space="preserve">bcc_plus</x:t>
        </x:is>
      </x:c>
      <x:c r="E458" s="5" t="inlineStr">
        <x:is>
          <x:t xml:space="preserve">muted</x:t>
        </x:is>
      </x:c>
      <x:c r="F458" s="6" t="inlineStr">
        <x:is>
          <x:t xml:space="preserve"/>
        </x:is>
      </x:c>
      <x:c r="G458" s="6" t="inlineStr">
        <x:is>
          <x:t xml:space="preserve">6</x:t>
        </x:is>
      </x:c>
      <x:c r="H458" s="5" t="inlineStr">
        <x:is>
          <x:t xml:space="preserve"/>
        </x:is>
      </x:c>
      <x:c r="I458" s="5" t="inlineStr">
        <x:is>
          <x:t xml:space="preserve"/>
        </x:is>
      </x:c>
      <x:c r="J458" s="5" t="inlineStr">
        <x:is>
          <x:t xml:space="preserve"/>
        </x:is>
      </x:c>
      <x:c r="K458" s="5" t="inlineStr">
        <x:is>
          <x:t xml:space="preserve"/>
        </x:is>
      </x:c>
      <x:c r="L458" s="5" t="inlineStr">
        <x:is>
          <x:t xml:space="preserve"/>
        </x:is>
      </x:c>
      <x:c r="M458" s="5" t="inlineStr">
        <x:is>
          <x:t xml:space="preserve"/>
        </x:is>
      </x:c>
      <x:c r="N458" s="5" t="inlineStr">
        <x:is>
          <x:t xml:space="preserve"/>
        </x:is>
      </x:c>
      <x:c r="O458" s="5" t="inlineStr">
        <x:is>
          <x:t xml:space="preserve"/>
        </x:is>
      </x:c>
      <x:c r="P458" s="5" t="inlineStr">
        <x:is>
          <x:t xml:space="preserve"/>
        </x:is>
      </x:c>
      <x:c r="Q458" s="5" t="inlineStr">
        <x:is>
          <x:t xml:space="preserve"/>
        </x:is>
      </x:c>
      <x:c r="R458" s="5">
        <x:f>IF(OR(F458="",G458=""),"",IF(F458&gt;=0.95*G458,1,0))</x:f>
      </x:c>
      <x:c r="S458" s="7">
        <x:f>IFERROR((I458+J458+K458)/F458,"")</x:f>
      </x:c>
      <x:c r="T458" s="5">
        <x:f>IFERROR(I458+J458+K458,"")</x:f>
        <x:v>0</x:v>
      </x:c>
    </x:row>
    <x:row r="459" ht="22" customHeight="1">
      <x:c r="A459" s="5" t="inlineStr">
        <x:is>
          <x:t xml:space="preserve">P038</x:t>
        </x:is>
      </x:c>
      <x:c r="B459" s="5" t="inlineStr">
        <x:is>
          <x:t xml:space="preserve">11</x:t>
        </x:is>
      </x:c>
      <x:c r="C459" s="5" t="inlineStr">
        <x:is>
          <x:t xml:space="preserve">V03_fitness_setup</x:t>
        </x:is>
      </x:c>
      <x:c r="D459" s="5" t="inlineStr">
        <x:is>
          <x:t xml:space="preserve">heavy_bionic</x:t>
        </x:is>
      </x:c>
      <x:c r="E459" s="5" t="inlineStr">
        <x:is>
          <x:t xml:space="preserve">audio_on</x:t>
        </x:is>
      </x:c>
      <x:c r="F459" s="6" t="inlineStr">
        <x:is>
          <x:t xml:space="preserve"/>
        </x:is>
      </x:c>
      <x:c r="G459" s="6" t="inlineStr">
        <x:is>
          <x:t xml:space="preserve">6</x:t>
        </x:is>
      </x:c>
      <x:c r="H459" s="5" t="inlineStr">
        <x:is>
          <x:t xml:space="preserve"/>
        </x:is>
      </x:c>
      <x:c r="I459" s="5" t="inlineStr">
        <x:is>
          <x:t xml:space="preserve"/>
        </x:is>
      </x:c>
      <x:c r="J459" s="5" t="inlineStr">
        <x:is>
          <x:t xml:space="preserve"/>
        </x:is>
      </x:c>
      <x:c r="K459" s="5" t="inlineStr">
        <x:is>
          <x:t xml:space="preserve"/>
        </x:is>
      </x:c>
      <x:c r="L459" s="5" t="inlineStr">
        <x:is>
          <x:t xml:space="preserve"/>
        </x:is>
      </x:c>
      <x:c r="M459" s="5" t="inlineStr">
        <x:is>
          <x:t xml:space="preserve"/>
        </x:is>
      </x:c>
      <x:c r="N459" s="5" t="inlineStr">
        <x:is>
          <x:t xml:space="preserve"/>
        </x:is>
      </x:c>
      <x:c r="O459" s="5" t="inlineStr">
        <x:is>
          <x:t xml:space="preserve"/>
        </x:is>
      </x:c>
      <x:c r="P459" s="5" t="inlineStr">
        <x:is>
          <x:t xml:space="preserve"/>
        </x:is>
      </x:c>
      <x:c r="Q459" s="5" t="inlineStr">
        <x:is>
          <x:t xml:space="preserve"/>
        </x:is>
      </x:c>
      <x:c r="R459" s="5">
        <x:f>IF(OR(F459="",G459=""),"",IF(F459&gt;=0.95*G459,1,0))</x:f>
      </x:c>
      <x:c r="S459" s="7">
        <x:f>IFERROR((I459+J459+K459)/F459,"")</x:f>
      </x:c>
      <x:c r="T459" s="5">
        <x:f>IFERROR(I459+J459+K459,"")</x:f>
        <x:v>0</x:v>
      </x:c>
    </x:row>
    <x:row r="460" ht="22" customHeight="1">
      <x:c r="A460" s="5" t="inlineStr">
        <x:is>
          <x:t xml:space="preserve">P038</x:t>
        </x:is>
      </x:c>
      <x:c r="B460" s="5" t="inlineStr">
        <x:is>
          <x:t xml:space="preserve">12</x:t>
        </x:is>
      </x:c>
      <x:c r="C460" s="5" t="inlineStr">
        <x:is>
          <x:t xml:space="preserve">V02_study_recall</x:t>
        </x:is>
      </x:c>
      <x:c r="D460" s="5" t="inlineStr">
        <x:is>
          <x:t xml:space="preserve">full_transcript</x:t>
        </x:is>
      </x:c>
      <x:c r="E460" s="5" t="inlineStr">
        <x:is>
          <x:t xml:space="preserve">muted</x:t>
        </x:is>
      </x:c>
      <x:c r="F460" s="6" t="inlineStr">
        <x:is>
          <x:t xml:space="preserve"/>
        </x:is>
      </x:c>
      <x:c r="G460" s="6" t="inlineStr">
        <x:is>
          <x:t xml:space="preserve">6</x:t>
        </x:is>
      </x:c>
      <x:c r="H460" s="5" t="inlineStr">
        <x:is>
          <x:t xml:space="preserve"/>
        </x:is>
      </x:c>
      <x:c r="I460" s="5" t="inlineStr">
        <x:is>
          <x:t xml:space="preserve"/>
        </x:is>
      </x:c>
      <x:c r="J460" s="5" t="inlineStr">
        <x:is>
          <x:t xml:space="preserve"/>
        </x:is>
      </x:c>
      <x:c r="K460" s="5" t="inlineStr">
        <x:is>
          <x:t xml:space="preserve"/>
        </x:is>
      </x:c>
      <x:c r="L460" s="5" t="inlineStr">
        <x:is>
          <x:t xml:space="preserve"/>
        </x:is>
      </x:c>
      <x:c r="M460" s="5" t="inlineStr">
        <x:is>
          <x:t xml:space="preserve"/>
        </x:is>
      </x:c>
      <x:c r="N460" s="5" t="inlineStr">
        <x:is>
          <x:t xml:space="preserve"/>
        </x:is>
      </x:c>
      <x:c r="O460" s="5" t="inlineStr">
        <x:is>
          <x:t xml:space="preserve"/>
        </x:is>
      </x:c>
      <x:c r="P460" s="5" t="inlineStr">
        <x:is>
          <x:t xml:space="preserve"/>
        </x:is>
      </x:c>
      <x:c r="Q460" s="5" t="inlineStr">
        <x:is>
          <x:t xml:space="preserve"/>
        </x:is>
      </x:c>
      <x:c r="R460" s="5">
        <x:f>IF(OR(F460="",G460=""),"",IF(F460&gt;=0.95*G460,1,0))</x:f>
      </x:c>
      <x:c r="S460" s="7">
        <x:f>IFERROR((I460+J460+K460)/F460,"")</x:f>
      </x:c>
      <x:c r="T460" s="5">
        <x:f>IFERROR(I460+J460+K460,"")</x:f>
        <x:v>0</x:v>
      </x:c>
    </x:row>
    <x:row r="461" ht="22" customHeight="1">
      <x:c r="A461" s="5" t="inlineStr">
        <x:is>
          <x:t xml:space="preserve">P039</x:t>
        </x:is>
      </x:c>
      <x:c r="B461" s="5" t="inlineStr">
        <x:is>
          <x:t xml:space="preserve">1</x:t>
        </x:is>
      </x:c>
      <x:c r="C461" s="5" t="inlineStr">
        <x:is>
          <x:t xml:space="preserve">V06_overload_open_loops</x:t>
        </x:is>
      </x:c>
      <x:c r="D461" s="5" t="inlineStr">
        <x:is>
          <x:t xml:space="preserve">semantic_compression</x:t>
        </x:is>
      </x:c>
      <x:c r="E461" s="5" t="inlineStr">
        <x:is>
          <x:t xml:space="preserve">muted</x:t>
        </x:is>
      </x:c>
      <x:c r="F461" s="6" t="inlineStr">
        <x:is>
          <x:t xml:space="preserve"/>
        </x:is>
      </x:c>
      <x:c r="G461" s="6" t="inlineStr">
        <x:is>
          <x:t xml:space="preserve">6</x:t>
        </x:is>
      </x:c>
      <x:c r="H461" s="5" t="inlineStr">
        <x:is>
          <x:t xml:space="preserve"/>
        </x:is>
      </x:c>
      <x:c r="I461" s="5" t="inlineStr">
        <x:is>
          <x:t xml:space="preserve"/>
        </x:is>
      </x:c>
      <x:c r="J461" s="5" t="inlineStr">
        <x:is>
          <x:t xml:space="preserve"/>
        </x:is>
      </x:c>
      <x:c r="K461" s="5" t="inlineStr">
        <x:is>
          <x:t xml:space="preserve"/>
        </x:is>
      </x:c>
      <x:c r="L461" s="5" t="inlineStr">
        <x:is>
          <x:t xml:space="preserve"/>
        </x:is>
      </x:c>
      <x:c r="M461" s="5" t="inlineStr">
        <x:is>
          <x:t xml:space="preserve"/>
        </x:is>
      </x:c>
      <x:c r="N461" s="5" t="inlineStr">
        <x:is>
          <x:t xml:space="preserve"/>
        </x:is>
      </x:c>
      <x:c r="O461" s="5" t="inlineStr">
        <x:is>
          <x:t xml:space="preserve"/>
        </x:is>
      </x:c>
      <x:c r="P461" s="5" t="inlineStr">
        <x:is>
          <x:t xml:space="preserve"/>
        </x:is>
      </x:c>
      <x:c r="Q461" s="5" t="inlineStr">
        <x:is>
          <x:t xml:space="preserve"/>
        </x:is>
      </x:c>
      <x:c r="R461" s="5">
        <x:f>IF(OR(F461="",G461=""),"",IF(F461&gt;=0.95*G461,1,0))</x:f>
      </x:c>
      <x:c r="S461" s="7">
        <x:f>IFERROR((I461+J461+K461)/F461,"")</x:f>
      </x:c>
      <x:c r="T461" s="5">
        <x:f>IFERROR(I461+J461+K461,"")</x:f>
        <x:v>0</x:v>
      </x:c>
    </x:row>
    <x:row r="462" ht="22" customHeight="1">
      <x:c r="A462" s="5" t="inlineStr">
        <x:is>
          <x:t xml:space="preserve">P039</x:t>
        </x:is>
      </x:c>
      <x:c r="B462" s="5" t="inlineStr">
        <x:is>
          <x:t xml:space="preserve">2</x:t>
        </x:is>
      </x:c>
      <x:c r="C462" s="5" t="inlineStr">
        <x:is>
          <x:t xml:space="preserve">V10_tutorial_ui</x:t>
        </x:is>
      </x:c>
      <x:c r="D462" s="5" t="inlineStr">
        <x:is>
          <x:t xml:space="preserve">bcc</x:t>
        </x:is>
      </x:c>
      <x:c r="E462" s="5" t="inlineStr">
        <x:is>
          <x:t xml:space="preserve">audio_on</x:t>
        </x:is>
      </x:c>
      <x:c r="F462" s="6" t="inlineStr">
        <x:is>
          <x:t xml:space="preserve"/>
        </x:is>
      </x:c>
      <x:c r="G462" s="6" t="inlineStr">
        <x:is>
          <x:t xml:space="preserve">6</x:t>
        </x:is>
      </x:c>
      <x:c r="H462" s="5" t="inlineStr">
        <x:is>
          <x:t xml:space="preserve"/>
        </x:is>
      </x:c>
      <x:c r="I462" s="5" t="inlineStr">
        <x:is>
          <x:t xml:space="preserve"/>
        </x:is>
      </x:c>
      <x:c r="J462" s="5" t="inlineStr">
        <x:is>
          <x:t xml:space="preserve"/>
        </x:is>
      </x:c>
      <x:c r="K462" s="5" t="inlineStr">
        <x:is>
          <x:t xml:space="preserve"/>
        </x:is>
      </x:c>
      <x:c r="L462" s="5" t="inlineStr">
        <x:is>
          <x:t xml:space="preserve"/>
        </x:is>
      </x:c>
      <x:c r="M462" s="5" t="inlineStr">
        <x:is>
          <x:t xml:space="preserve"/>
        </x:is>
      </x:c>
      <x:c r="N462" s="5" t="inlineStr">
        <x:is>
          <x:t xml:space="preserve"/>
        </x:is>
      </x:c>
      <x:c r="O462" s="5" t="inlineStr">
        <x:is>
          <x:t xml:space="preserve"/>
        </x:is>
      </x:c>
      <x:c r="P462" s="5" t="inlineStr">
        <x:is>
          <x:t xml:space="preserve"/>
        </x:is>
      </x:c>
      <x:c r="Q462" s="5" t="inlineStr">
        <x:is>
          <x:t xml:space="preserve"/>
        </x:is>
      </x:c>
      <x:c r="R462" s="5">
        <x:f>IF(OR(F462="",G462=""),"",IF(F462&gt;=0.95*G462,1,0))</x:f>
      </x:c>
      <x:c r="S462" s="7">
        <x:f>IFERROR((I462+J462+K462)/F462,"")</x:f>
      </x:c>
      <x:c r="T462" s="5">
        <x:f>IFERROR(I462+J462+K462,"")</x:f>
        <x:v>0</x:v>
      </x:c>
    </x:row>
    <x:row r="463" ht="22" customHeight="1">
      <x:c r="A463" s="5" t="inlineStr">
        <x:is>
          <x:t xml:space="preserve">P039</x:t>
        </x:is>
      </x:c>
      <x:c r="B463" s="5" t="inlineStr">
        <x:is>
          <x:t xml:space="preserve">3</x:t>
        </x:is>
      </x:c>
      <x:c r="C463" s="5" t="inlineStr">
        <x:is>
          <x:t xml:space="preserve">V01_productivity_friction</x:t>
        </x:is>
      </x:c>
      <x:c r="D463" s="5" t="inlineStr">
        <x:is>
          <x:t xml:space="preserve">bcc_plus</x:t>
        </x:is>
      </x:c>
      <x:c r="E463" s="5" t="inlineStr">
        <x:is>
          <x:t xml:space="preserve">muted</x:t>
        </x:is>
      </x:c>
      <x:c r="F463" s="6" t="inlineStr">
        <x:is>
          <x:t xml:space="preserve"/>
        </x:is>
      </x:c>
      <x:c r="G463" s="6" t="inlineStr">
        <x:is>
          <x:t xml:space="preserve">6</x:t>
        </x:is>
      </x:c>
      <x:c r="H463" s="5" t="inlineStr">
        <x:is>
          <x:t xml:space="preserve"/>
        </x:is>
      </x:c>
      <x:c r="I463" s="5" t="inlineStr">
        <x:is>
          <x:t xml:space="preserve"/>
        </x:is>
      </x:c>
      <x:c r="J463" s="5" t="inlineStr">
        <x:is>
          <x:t xml:space="preserve"/>
        </x:is>
      </x:c>
      <x:c r="K463" s="5" t="inlineStr">
        <x:is>
          <x:t xml:space="preserve"/>
        </x:is>
      </x:c>
      <x:c r="L463" s="5" t="inlineStr">
        <x:is>
          <x:t xml:space="preserve"/>
        </x:is>
      </x:c>
      <x:c r="M463" s="5" t="inlineStr">
        <x:is>
          <x:t xml:space="preserve"/>
        </x:is>
      </x:c>
      <x:c r="N463" s="5" t="inlineStr">
        <x:is>
          <x:t xml:space="preserve"/>
        </x:is>
      </x:c>
      <x:c r="O463" s="5" t="inlineStr">
        <x:is>
          <x:t xml:space="preserve"/>
        </x:is>
      </x:c>
      <x:c r="P463" s="5" t="inlineStr">
        <x:is>
          <x:t xml:space="preserve"/>
        </x:is>
      </x:c>
      <x:c r="Q463" s="5" t="inlineStr">
        <x:is>
          <x:t xml:space="preserve"/>
        </x:is>
      </x:c>
      <x:c r="R463" s="5">
        <x:f>IF(OR(F463="",G463=""),"",IF(F463&gt;=0.95*G463,1,0))</x:f>
      </x:c>
      <x:c r="S463" s="7">
        <x:f>IFERROR((I463+J463+K463)/F463,"")</x:f>
      </x:c>
      <x:c r="T463" s="5">
        <x:f>IFERROR(I463+J463+K463,"")</x:f>
        <x:v>0</x:v>
      </x:c>
    </x:row>
    <x:row r="464" ht="22" customHeight="1">
      <x:c r="A464" s="5" t="inlineStr">
        <x:is>
          <x:t xml:space="preserve">P039</x:t>
        </x:is>
      </x:c>
      <x:c r="B464" s="5" t="inlineStr">
        <x:is>
          <x:t xml:space="preserve">4</x:t>
        </x:is>
      </x:c>
      <x:c r="C464" s="5" t="inlineStr">
        <x:is>
          <x:t xml:space="preserve">V11_story_burnout</x:t>
        </x:is>
      </x:c>
      <x:c r="D464" s="5" t="inlineStr">
        <x:is>
          <x:t xml:space="preserve">heavy_bionic</x:t>
        </x:is>
      </x:c>
      <x:c r="E464" s="5" t="inlineStr">
        <x:is>
          <x:t xml:space="preserve">audio_on</x:t>
        </x:is>
      </x:c>
      <x:c r="F464" s="6" t="inlineStr">
        <x:is>
          <x:t xml:space="preserve"/>
        </x:is>
      </x:c>
      <x:c r="G464" s="6" t="inlineStr">
        <x:is>
          <x:t xml:space="preserve">6</x:t>
        </x:is>
      </x:c>
      <x:c r="H464" s="5" t="inlineStr">
        <x:is>
          <x:t xml:space="preserve"/>
        </x:is>
      </x:c>
      <x:c r="I464" s="5" t="inlineStr">
        <x:is>
          <x:t xml:space="preserve"/>
        </x:is>
      </x:c>
      <x:c r="J464" s="5" t="inlineStr">
        <x:is>
          <x:t xml:space="preserve"/>
        </x:is>
      </x:c>
      <x:c r="K464" s="5" t="inlineStr">
        <x:is>
          <x:t xml:space="preserve"/>
        </x:is>
      </x:c>
      <x:c r="L464" s="5" t="inlineStr">
        <x:is>
          <x:t xml:space="preserve"/>
        </x:is>
      </x:c>
      <x:c r="M464" s="5" t="inlineStr">
        <x:is>
          <x:t xml:space="preserve"/>
        </x:is>
      </x:c>
      <x:c r="N464" s="5" t="inlineStr">
        <x:is>
          <x:t xml:space="preserve"/>
        </x:is>
      </x:c>
      <x:c r="O464" s="5" t="inlineStr">
        <x:is>
          <x:t xml:space="preserve"/>
        </x:is>
      </x:c>
      <x:c r="P464" s="5" t="inlineStr">
        <x:is>
          <x:t xml:space="preserve"/>
        </x:is>
      </x:c>
      <x:c r="Q464" s="5" t="inlineStr">
        <x:is>
          <x:t xml:space="preserve"/>
        </x:is>
      </x:c>
      <x:c r="R464" s="5">
        <x:f>IF(OR(F464="",G464=""),"",IF(F464&gt;=0.95*G464,1,0))</x:f>
      </x:c>
      <x:c r="S464" s="7">
        <x:f>IFERROR((I464+J464+K464)/F464,"")</x:f>
      </x:c>
      <x:c r="T464" s="5">
        <x:f>IFERROR(I464+J464+K464,"")</x:f>
        <x:v>0</x:v>
      </x:c>
    </x:row>
    <x:row r="465" ht="22" customHeight="1">
      <x:c r="A465" s="5" t="inlineStr">
        <x:is>
          <x:t xml:space="preserve">P039</x:t>
        </x:is>
      </x:c>
      <x:c r="B465" s="5" t="inlineStr">
        <x:is>
          <x:t xml:space="preserve">5</x:t>
        </x:is>
      </x:c>
      <x:c r="C465" s="5" t="inlineStr">
        <x:is>
          <x:t xml:space="preserve">V02_study_recall</x:t>
        </x:is>
      </x:c>
      <x:c r="D465" s="5" t="inlineStr">
        <x:is>
          <x:t xml:space="preserve">full_transcript</x:t>
        </x:is>
      </x:c>
      <x:c r="E465" s="5" t="inlineStr">
        <x:is>
          <x:t xml:space="preserve">muted</x:t>
        </x:is>
      </x:c>
      <x:c r="F465" s="6" t="inlineStr">
        <x:is>
          <x:t xml:space="preserve"/>
        </x:is>
      </x:c>
      <x:c r="G465" s="6" t="inlineStr">
        <x:is>
          <x:t xml:space="preserve">6</x:t>
        </x:is>
      </x:c>
      <x:c r="H465" s="5" t="inlineStr">
        <x:is>
          <x:t xml:space="preserve"/>
        </x:is>
      </x:c>
      <x:c r="I465" s="5" t="inlineStr">
        <x:is>
          <x:t xml:space="preserve"/>
        </x:is>
      </x:c>
      <x:c r="J465" s="5" t="inlineStr">
        <x:is>
          <x:t xml:space="preserve"/>
        </x:is>
      </x:c>
      <x:c r="K465" s="5" t="inlineStr">
        <x:is>
          <x:t xml:space="preserve"/>
        </x:is>
      </x:c>
      <x:c r="L465" s="5" t="inlineStr">
        <x:is>
          <x:t xml:space="preserve"/>
        </x:is>
      </x:c>
      <x:c r="M465" s="5" t="inlineStr">
        <x:is>
          <x:t xml:space="preserve"/>
        </x:is>
      </x:c>
      <x:c r="N465" s="5" t="inlineStr">
        <x:is>
          <x:t xml:space="preserve"/>
        </x:is>
      </x:c>
      <x:c r="O465" s="5" t="inlineStr">
        <x:is>
          <x:t xml:space="preserve"/>
        </x:is>
      </x:c>
      <x:c r="P465" s="5" t="inlineStr">
        <x:is>
          <x:t xml:space="preserve"/>
        </x:is>
      </x:c>
      <x:c r="Q465" s="5" t="inlineStr">
        <x:is>
          <x:t xml:space="preserve"/>
        </x:is>
      </x:c>
      <x:c r="R465" s="5">
        <x:f>IF(OR(F465="",G465=""),"",IF(F465&gt;=0.95*G465,1,0))</x:f>
      </x:c>
      <x:c r="S465" s="7">
        <x:f>IFERROR((I465+J465+K465)/F465,"")</x:f>
      </x:c>
      <x:c r="T465" s="5">
        <x:f>IFERROR(I465+J465+K465,"")</x:f>
        <x:v>0</x:v>
      </x:c>
    </x:row>
    <x:row r="466" ht="22" customHeight="1">
      <x:c r="A466" s="5" t="inlineStr">
        <x:is>
          <x:t xml:space="preserve">P039</x:t>
        </x:is>
      </x:c>
      <x:c r="B466" s="5" t="inlineStr">
        <x:is>
          <x:t xml:space="preserve">6</x:t>
        </x:is>
      </x:c>
      <x:c r="C466" s="5" t="inlineStr">
        <x:is>
          <x:t xml:space="preserve">V03_fitness_setup</x:t>
        </x:is>
      </x:c>
      <x:c r="D466" s="5" t="inlineStr">
        <x:is>
          <x:t xml:space="preserve">keyword_highlight</x:t>
        </x:is>
      </x:c>
      <x:c r="E466" s="5" t="inlineStr">
        <x:is>
          <x:t xml:space="preserve">audio_on</x:t>
        </x:is>
      </x:c>
      <x:c r="F466" s="6" t="inlineStr">
        <x:is>
          <x:t xml:space="preserve"/>
        </x:is>
      </x:c>
      <x:c r="G466" s="6" t="inlineStr">
        <x:is>
          <x:t xml:space="preserve">6</x:t>
        </x:is>
      </x:c>
      <x:c r="H466" s="5" t="inlineStr">
        <x:is>
          <x:t xml:space="preserve"/>
        </x:is>
      </x:c>
      <x:c r="I466" s="5" t="inlineStr">
        <x:is>
          <x:t xml:space="preserve"/>
        </x:is>
      </x:c>
      <x:c r="J466" s="5" t="inlineStr">
        <x:is>
          <x:t xml:space="preserve"/>
        </x:is>
      </x:c>
      <x:c r="K466" s="5" t="inlineStr">
        <x:is>
          <x:t xml:space="preserve"/>
        </x:is>
      </x:c>
      <x:c r="L466" s="5" t="inlineStr">
        <x:is>
          <x:t xml:space="preserve"/>
        </x:is>
      </x:c>
      <x:c r="M466" s="5" t="inlineStr">
        <x:is>
          <x:t xml:space="preserve"/>
        </x:is>
      </x:c>
      <x:c r="N466" s="5" t="inlineStr">
        <x:is>
          <x:t xml:space="preserve"/>
        </x:is>
      </x:c>
      <x:c r="O466" s="5" t="inlineStr">
        <x:is>
          <x:t xml:space="preserve"/>
        </x:is>
      </x:c>
      <x:c r="P466" s="5" t="inlineStr">
        <x:is>
          <x:t xml:space="preserve"/>
        </x:is>
      </x:c>
      <x:c r="Q466" s="5" t="inlineStr">
        <x:is>
          <x:t xml:space="preserve"/>
        </x:is>
      </x:c>
      <x:c r="R466" s="5">
        <x:f>IF(OR(F466="",G466=""),"",IF(F466&gt;=0.95*G466,1,0))</x:f>
      </x:c>
      <x:c r="S466" s="7">
        <x:f>IFERROR((I466+J466+K466)/F466,"")</x:f>
      </x:c>
      <x:c r="T466" s="5">
        <x:f>IFERROR(I466+J466+K466,"")</x:f>
        <x:v>0</x:v>
      </x:c>
    </x:row>
    <x:row r="467" ht="22" customHeight="1">
      <x:c r="A467" s="5" t="inlineStr">
        <x:is>
          <x:t xml:space="preserve">P039</x:t>
        </x:is>
      </x:c>
      <x:c r="B467" s="5" t="inlineStr">
        <x:is>
          <x:t xml:space="preserve">7</x:t>
        </x:is>
      </x:c>
      <x:c r="C467" s="5" t="inlineStr">
        <x:is>
          <x:t xml:space="preserve">V09_nutrition_satiety</x:t>
        </x:is>
      </x:c>
      <x:c r="D467" s="5" t="inlineStr">
        <x:is>
          <x:t xml:space="preserve">semantic_compression</x:t>
        </x:is>
      </x:c>
      <x:c r="E467" s="5" t="inlineStr">
        <x:is>
          <x:t xml:space="preserve">muted</x:t>
        </x:is>
      </x:c>
      <x:c r="F467" s="6" t="inlineStr">
        <x:is>
          <x:t xml:space="preserve"/>
        </x:is>
      </x:c>
      <x:c r="G467" s="6" t="inlineStr">
        <x:is>
          <x:t xml:space="preserve">6</x:t>
        </x:is>
      </x:c>
      <x:c r="H467" s="5" t="inlineStr">
        <x:is>
          <x:t xml:space="preserve"/>
        </x:is>
      </x:c>
      <x:c r="I467" s="5" t="inlineStr">
        <x:is>
          <x:t xml:space="preserve"/>
        </x:is>
      </x:c>
      <x:c r="J467" s="5" t="inlineStr">
        <x:is>
          <x:t xml:space="preserve"/>
        </x:is>
      </x:c>
      <x:c r="K467" s="5" t="inlineStr">
        <x:is>
          <x:t xml:space="preserve"/>
        </x:is>
      </x:c>
      <x:c r="L467" s="5" t="inlineStr">
        <x:is>
          <x:t xml:space="preserve"/>
        </x:is>
      </x:c>
      <x:c r="M467" s="5" t="inlineStr">
        <x:is>
          <x:t xml:space="preserve"/>
        </x:is>
      </x:c>
      <x:c r="N467" s="5" t="inlineStr">
        <x:is>
          <x:t xml:space="preserve"/>
        </x:is>
      </x:c>
      <x:c r="O467" s="5" t="inlineStr">
        <x:is>
          <x:t xml:space="preserve"/>
        </x:is>
      </x:c>
      <x:c r="P467" s="5" t="inlineStr">
        <x:is>
          <x:t xml:space="preserve"/>
        </x:is>
      </x:c>
      <x:c r="Q467" s="5" t="inlineStr">
        <x:is>
          <x:t xml:space="preserve"/>
        </x:is>
      </x:c>
      <x:c r="R467" s="5">
        <x:f>IF(OR(F467="",G467=""),"",IF(F467&gt;=0.95*G467,1,0))</x:f>
      </x:c>
      <x:c r="S467" s="7">
        <x:f>IFERROR((I467+J467+K467)/F467,"")</x:f>
      </x:c>
      <x:c r="T467" s="5">
        <x:f>IFERROR(I467+J467+K467,"")</x:f>
        <x:v>0</x:v>
      </x:c>
    </x:row>
    <x:row r="468" ht="22" customHeight="1">
      <x:c r="A468" s="5" t="inlineStr">
        <x:is>
          <x:t xml:space="preserve">P039</x:t>
        </x:is>
      </x:c>
      <x:c r="B468" s="5" t="inlineStr">
        <x:is>
          <x:t xml:space="preserve">8</x:t>
        </x:is>
      </x:c>
      <x:c r="C468" s="5" t="inlineStr">
        <x:is>
          <x:t xml:space="preserve">V12_creativity_constraints</x:t>
        </x:is>
      </x:c>
      <x:c r="D468" s="5" t="inlineStr">
        <x:is>
          <x:t xml:space="preserve">bcc</x:t>
        </x:is>
      </x:c>
      <x:c r="E468" s="5" t="inlineStr">
        <x:is>
          <x:t xml:space="preserve">audio_on</x:t>
        </x:is>
      </x:c>
      <x:c r="F468" s="6" t="inlineStr">
        <x:is>
          <x:t xml:space="preserve"/>
        </x:is>
      </x:c>
      <x:c r="G468" s="6" t="inlineStr">
        <x:is>
          <x:t xml:space="preserve">6</x:t>
        </x:is>
      </x:c>
      <x:c r="H468" s="5" t="inlineStr">
        <x:is>
          <x:t xml:space="preserve"/>
        </x:is>
      </x:c>
      <x:c r="I468" s="5" t="inlineStr">
        <x:is>
          <x:t xml:space="preserve"/>
        </x:is>
      </x:c>
      <x:c r="J468" s="5" t="inlineStr">
        <x:is>
          <x:t xml:space="preserve"/>
        </x:is>
      </x:c>
      <x:c r="K468" s="5" t="inlineStr">
        <x:is>
          <x:t xml:space="preserve"/>
        </x:is>
      </x:c>
      <x:c r="L468" s="5" t="inlineStr">
        <x:is>
          <x:t xml:space="preserve"/>
        </x:is>
      </x:c>
      <x:c r="M468" s="5" t="inlineStr">
        <x:is>
          <x:t xml:space="preserve"/>
        </x:is>
      </x:c>
      <x:c r="N468" s="5" t="inlineStr">
        <x:is>
          <x:t xml:space="preserve"/>
        </x:is>
      </x:c>
      <x:c r="O468" s="5" t="inlineStr">
        <x:is>
          <x:t xml:space="preserve"/>
        </x:is>
      </x:c>
      <x:c r="P468" s="5" t="inlineStr">
        <x:is>
          <x:t xml:space="preserve"/>
        </x:is>
      </x:c>
      <x:c r="Q468" s="5" t="inlineStr">
        <x:is>
          <x:t xml:space="preserve"/>
        </x:is>
      </x:c>
      <x:c r="R468" s="5">
        <x:f>IF(OR(F468="",G468=""),"",IF(F468&gt;=0.95*G468,1,0))</x:f>
      </x:c>
      <x:c r="S468" s="7">
        <x:f>IFERROR((I468+J468+K468)/F468,"")</x:f>
      </x:c>
      <x:c r="T468" s="5">
        <x:f>IFERROR(I468+J468+K468,"")</x:f>
        <x:v>0</x:v>
      </x:c>
    </x:row>
    <x:row r="469" ht="22" customHeight="1">
      <x:c r="A469" s="5" t="inlineStr">
        <x:is>
          <x:t xml:space="preserve">P039</x:t>
        </x:is>
      </x:c>
      <x:c r="B469" s="5" t="inlineStr">
        <x:is>
          <x:t xml:space="preserve">9</x:t>
        </x:is>
      </x:c>
      <x:c r="C469" s="5" t="inlineStr">
        <x:is>
          <x:t xml:space="preserve">V05_coding_assumptions</x:t>
        </x:is>
      </x:c>
      <x:c r="D469" s="5" t="inlineStr">
        <x:is>
          <x:t xml:space="preserve">bcc_plus</x:t>
        </x:is>
      </x:c>
      <x:c r="E469" s="5" t="inlineStr">
        <x:is>
          <x:t xml:space="preserve">muted</x:t>
        </x:is>
      </x:c>
      <x:c r="F469" s="6" t="inlineStr">
        <x:is>
          <x:t xml:space="preserve"/>
        </x:is>
      </x:c>
      <x:c r="G469" s="6" t="inlineStr">
        <x:is>
          <x:t xml:space="preserve">6</x:t>
        </x:is>
      </x:c>
      <x:c r="H469" s="5" t="inlineStr">
        <x:is>
          <x:t xml:space="preserve"/>
        </x:is>
      </x:c>
      <x:c r="I469" s="5" t="inlineStr">
        <x:is>
          <x:t xml:space="preserve"/>
        </x:is>
      </x:c>
      <x:c r="J469" s="5" t="inlineStr">
        <x:is>
          <x:t xml:space="preserve"/>
        </x:is>
      </x:c>
      <x:c r="K469" s="5" t="inlineStr">
        <x:is>
          <x:t xml:space="preserve"/>
        </x:is>
      </x:c>
      <x:c r="L469" s="5" t="inlineStr">
        <x:is>
          <x:t xml:space="preserve"/>
        </x:is>
      </x:c>
      <x:c r="M469" s="5" t="inlineStr">
        <x:is>
          <x:t xml:space="preserve"/>
        </x:is>
      </x:c>
      <x:c r="N469" s="5" t="inlineStr">
        <x:is>
          <x:t xml:space="preserve"/>
        </x:is>
      </x:c>
      <x:c r="O469" s="5" t="inlineStr">
        <x:is>
          <x:t xml:space="preserve"/>
        </x:is>
      </x:c>
      <x:c r="P469" s="5" t="inlineStr">
        <x:is>
          <x:t xml:space="preserve"/>
        </x:is>
      </x:c>
      <x:c r="Q469" s="5" t="inlineStr">
        <x:is>
          <x:t xml:space="preserve"/>
        </x:is>
      </x:c>
      <x:c r="R469" s="5">
        <x:f>IF(OR(F469="",G469=""),"",IF(F469&gt;=0.95*G469,1,0))</x:f>
      </x:c>
      <x:c r="S469" s="7">
        <x:f>IFERROR((I469+J469+K469)/F469,"")</x:f>
      </x:c>
      <x:c r="T469" s="5">
        <x:f>IFERROR(I469+J469+K469,"")</x:f>
        <x:v>0</x:v>
      </x:c>
    </x:row>
    <x:row r="470" ht="22" customHeight="1">
      <x:c r="A470" s="5" t="inlineStr">
        <x:is>
          <x:t xml:space="preserve">P039</x:t>
        </x:is>
      </x:c>
      <x:c r="B470" s="5" t="inlineStr">
        <x:is>
          <x:t xml:space="preserve">10</x:t>
        </x:is>
      </x:c>
      <x:c r="C470" s="5" t="inlineStr">
        <x:is>
          <x:t xml:space="preserve">V08_calendar_system</x:t>
        </x:is>
      </x:c>
      <x:c r="D470" s="5" t="inlineStr">
        <x:is>
          <x:t xml:space="preserve">heavy_bionic</x:t>
        </x:is>
      </x:c>
      <x:c r="E470" s="5" t="inlineStr">
        <x:is>
          <x:t xml:space="preserve">audio_on</x:t>
        </x:is>
      </x:c>
      <x:c r="F470" s="6" t="inlineStr">
        <x:is>
          <x:t xml:space="preserve"/>
        </x:is>
      </x:c>
      <x:c r="G470" s="6" t="inlineStr">
        <x:is>
          <x:t xml:space="preserve">6</x:t>
        </x:is>
      </x:c>
      <x:c r="H470" s="5" t="inlineStr">
        <x:is>
          <x:t xml:space="preserve"/>
        </x:is>
      </x:c>
      <x:c r="I470" s="5" t="inlineStr">
        <x:is>
          <x:t xml:space="preserve"/>
        </x:is>
      </x:c>
      <x:c r="J470" s="5" t="inlineStr">
        <x:is>
          <x:t xml:space="preserve"/>
        </x:is>
      </x:c>
      <x:c r="K470" s="5" t="inlineStr">
        <x:is>
          <x:t xml:space="preserve"/>
        </x:is>
      </x:c>
      <x:c r="L470" s="5" t="inlineStr">
        <x:is>
          <x:t xml:space="preserve"/>
        </x:is>
      </x:c>
      <x:c r="M470" s="5" t="inlineStr">
        <x:is>
          <x:t xml:space="preserve"/>
        </x:is>
      </x:c>
      <x:c r="N470" s="5" t="inlineStr">
        <x:is>
          <x:t xml:space="preserve"/>
        </x:is>
      </x:c>
      <x:c r="O470" s="5" t="inlineStr">
        <x:is>
          <x:t xml:space="preserve"/>
        </x:is>
      </x:c>
      <x:c r="P470" s="5" t="inlineStr">
        <x:is>
          <x:t xml:space="preserve"/>
        </x:is>
      </x:c>
      <x:c r="Q470" s="5" t="inlineStr">
        <x:is>
          <x:t xml:space="preserve"/>
        </x:is>
      </x:c>
      <x:c r="R470" s="5">
        <x:f>IF(OR(F470="",G470=""),"",IF(F470&gt;=0.95*G470,1,0))</x:f>
      </x:c>
      <x:c r="S470" s="7">
        <x:f>IFERROR((I470+J470+K470)/F470,"")</x:f>
      </x:c>
      <x:c r="T470" s="5">
        <x:f>IFERROR(I470+J470+K470,"")</x:f>
        <x:v>0</x:v>
      </x:c>
    </x:row>
    <x:row r="471" ht="22" customHeight="1">
      <x:c r="A471" s="5" t="inlineStr">
        <x:is>
          <x:t xml:space="preserve">P039</x:t>
        </x:is>
      </x:c>
      <x:c r="B471" s="5" t="inlineStr">
        <x:is>
          <x:t xml:space="preserve">11</x:t>
        </x:is>
      </x:c>
      <x:c r="C471" s="5" t="inlineStr">
        <x:is>
          <x:t xml:space="preserve">V07_business_clarity</x:t>
        </x:is>
      </x:c>
      <x:c r="D471" s="5" t="inlineStr">
        <x:is>
          <x:t xml:space="preserve">full_transcript</x:t>
        </x:is>
      </x:c>
      <x:c r="E471" s="5" t="inlineStr">
        <x:is>
          <x:t xml:space="preserve">muted</x:t>
        </x:is>
      </x:c>
      <x:c r="F471" s="6" t="inlineStr">
        <x:is>
          <x:t xml:space="preserve"/>
        </x:is>
      </x:c>
      <x:c r="G471" s="6" t="inlineStr">
        <x:is>
          <x:t xml:space="preserve">6</x:t>
        </x:is>
      </x:c>
      <x:c r="H471" s="5" t="inlineStr">
        <x:is>
          <x:t xml:space="preserve"/>
        </x:is>
      </x:c>
      <x:c r="I471" s="5" t="inlineStr">
        <x:is>
          <x:t xml:space="preserve"/>
        </x:is>
      </x:c>
      <x:c r="J471" s="5" t="inlineStr">
        <x:is>
          <x:t xml:space="preserve"/>
        </x:is>
      </x:c>
      <x:c r="K471" s="5" t="inlineStr">
        <x:is>
          <x:t xml:space="preserve"/>
        </x:is>
      </x:c>
      <x:c r="L471" s="5" t="inlineStr">
        <x:is>
          <x:t xml:space="preserve"/>
        </x:is>
      </x:c>
      <x:c r="M471" s="5" t="inlineStr">
        <x:is>
          <x:t xml:space="preserve"/>
        </x:is>
      </x:c>
      <x:c r="N471" s="5" t="inlineStr">
        <x:is>
          <x:t xml:space="preserve"/>
        </x:is>
      </x:c>
      <x:c r="O471" s="5" t="inlineStr">
        <x:is>
          <x:t xml:space="preserve"/>
        </x:is>
      </x:c>
      <x:c r="P471" s="5" t="inlineStr">
        <x:is>
          <x:t xml:space="preserve"/>
        </x:is>
      </x:c>
      <x:c r="Q471" s="5" t="inlineStr">
        <x:is>
          <x:t xml:space="preserve"/>
        </x:is>
      </x:c>
      <x:c r="R471" s="5">
        <x:f>IF(OR(F471="",G471=""),"",IF(F471&gt;=0.95*G471,1,0))</x:f>
      </x:c>
      <x:c r="S471" s="7">
        <x:f>IFERROR((I471+J471+K471)/F471,"")</x:f>
      </x:c>
      <x:c r="T471" s="5">
        <x:f>IFERROR(I471+J471+K471,"")</x:f>
        <x:v>0</x:v>
      </x:c>
    </x:row>
    <x:row r="472" ht="22" customHeight="1">
      <x:c r="A472" s="5" t="inlineStr">
        <x:is>
          <x:t xml:space="preserve">P039</x:t>
        </x:is>
      </x:c>
      <x:c r="B472" s="5" t="inlineStr">
        <x:is>
          <x:t xml:space="preserve">12</x:t>
        </x:is>
      </x:c>
      <x:c r="C472" s="5" t="inlineStr">
        <x:is>
          <x:t xml:space="preserve">V04_money_visibility</x:t>
        </x:is>
      </x:c>
      <x:c r="D472" s="5" t="inlineStr">
        <x:is>
          <x:t xml:space="preserve">keyword_highlight</x:t>
        </x:is>
      </x:c>
      <x:c r="E472" s="5" t="inlineStr">
        <x:is>
          <x:t xml:space="preserve">audio_on</x:t>
        </x:is>
      </x:c>
      <x:c r="F472" s="6" t="inlineStr">
        <x:is>
          <x:t xml:space="preserve"/>
        </x:is>
      </x:c>
      <x:c r="G472" s="6" t="inlineStr">
        <x:is>
          <x:t xml:space="preserve">6</x:t>
        </x:is>
      </x:c>
      <x:c r="H472" s="5" t="inlineStr">
        <x:is>
          <x:t xml:space="preserve"/>
        </x:is>
      </x:c>
      <x:c r="I472" s="5" t="inlineStr">
        <x:is>
          <x:t xml:space="preserve"/>
        </x:is>
      </x:c>
      <x:c r="J472" s="5" t="inlineStr">
        <x:is>
          <x:t xml:space="preserve"/>
        </x:is>
      </x:c>
      <x:c r="K472" s="5" t="inlineStr">
        <x:is>
          <x:t xml:space="preserve"/>
        </x:is>
      </x:c>
      <x:c r="L472" s="5" t="inlineStr">
        <x:is>
          <x:t xml:space="preserve"/>
        </x:is>
      </x:c>
      <x:c r="M472" s="5" t="inlineStr">
        <x:is>
          <x:t xml:space="preserve"/>
        </x:is>
      </x:c>
      <x:c r="N472" s="5" t="inlineStr">
        <x:is>
          <x:t xml:space="preserve"/>
        </x:is>
      </x:c>
      <x:c r="O472" s="5" t="inlineStr">
        <x:is>
          <x:t xml:space="preserve"/>
        </x:is>
      </x:c>
      <x:c r="P472" s="5" t="inlineStr">
        <x:is>
          <x:t xml:space="preserve"/>
        </x:is>
      </x:c>
      <x:c r="Q472" s="5" t="inlineStr">
        <x:is>
          <x:t xml:space="preserve"/>
        </x:is>
      </x:c>
      <x:c r="R472" s="5">
        <x:f>IF(OR(F472="",G472=""),"",IF(F472&gt;=0.95*G472,1,0))</x:f>
      </x:c>
      <x:c r="S472" s="7">
        <x:f>IFERROR((I472+J472+K472)/F472,"")</x:f>
      </x:c>
      <x:c r="T472" s="5">
        <x:f>IFERROR(I472+J472+K472,"")</x:f>
        <x:v>0</x:v>
      </x:c>
    </x:row>
    <x:row r="473" ht="22" customHeight="1">
      <x:c r="A473" s="5" t="inlineStr">
        <x:is>
          <x:t xml:space="preserve">P040</x:t>
        </x:is>
      </x:c>
      <x:c r="B473" s="5" t="inlineStr">
        <x:is>
          <x:t xml:space="preserve">1</x:t>
        </x:is>
      </x:c>
      <x:c r="C473" s="5" t="inlineStr">
        <x:is>
          <x:t xml:space="preserve">V02_study_recall</x:t>
        </x:is>
      </x:c>
      <x:c r="D473" s="5" t="inlineStr">
        <x:is>
          <x:t xml:space="preserve">bcc</x:t>
        </x:is>
      </x:c>
      <x:c r="E473" s="5" t="inlineStr">
        <x:is>
          <x:t xml:space="preserve">audio_on</x:t>
        </x:is>
      </x:c>
      <x:c r="F473" s="6" t="inlineStr">
        <x:is>
          <x:t xml:space="preserve"/>
        </x:is>
      </x:c>
      <x:c r="G473" s="6" t="inlineStr">
        <x:is>
          <x:t xml:space="preserve">6</x:t>
        </x:is>
      </x:c>
      <x:c r="H473" s="5" t="inlineStr">
        <x:is>
          <x:t xml:space="preserve"/>
        </x:is>
      </x:c>
      <x:c r="I473" s="5" t="inlineStr">
        <x:is>
          <x:t xml:space="preserve"/>
        </x:is>
      </x:c>
      <x:c r="J473" s="5" t="inlineStr">
        <x:is>
          <x:t xml:space="preserve"/>
        </x:is>
      </x:c>
      <x:c r="K473" s="5" t="inlineStr">
        <x:is>
          <x:t xml:space="preserve"/>
        </x:is>
      </x:c>
      <x:c r="L473" s="5" t="inlineStr">
        <x:is>
          <x:t xml:space="preserve"/>
        </x:is>
      </x:c>
      <x:c r="M473" s="5" t="inlineStr">
        <x:is>
          <x:t xml:space="preserve"/>
        </x:is>
      </x:c>
      <x:c r="N473" s="5" t="inlineStr">
        <x:is>
          <x:t xml:space="preserve"/>
        </x:is>
      </x:c>
      <x:c r="O473" s="5" t="inlineStr">
        <x:is>
          <x:t xml:space="preserve"/>
        </x:is>
      </x:c>
      <x:c r="P473" s="5" t="inlineStr">
        <x:is>
          <x:t xml:space="preserve"/>
        </x:is>
      </x:c>
      <x:c r="Q473" s="5" t="inlineStr">
        <x:is>
          <x:t xml:space="preserve"/>
        </x:is>
      </x:c>
      <x:c r="R473" s="5">
        <x:f>IF(OR(F473="",G473=""),"",IF(F473&gt;=0.95*G473,1,0))</x:f>
      </x:c>
      <x:c r="S473" s="7">
        <x:f>IFERROR((I473+J473+K473)/F473,"")</x:f>
      </x:c>
      <x:c r="T473" s="5">
        <x:f>IFERROR(I473+J473+K473,"")</x:f>
        <x:v>0</x:v>
      </x:c>
    </x:row>
    <x:row r="474" ht="22" customHeight="1">
      <x:c r="A474" s="5" t="inlineStr">
        <x:is>
          <x:t xml:space="preserve">P040</x:t>
        </x:is>
      </x:c>
      <x:c r="B474" s="5" t="inlineStr">
        <x:is>
          <x:t xml:space="preserve">2</x:t>
        </x:is>
      </x:c>
      <x:c r="C474" s="5" t="inlineStr">
        <x:is>
          <x:t xml:space="preserve">V08_calendar_system</x:t>
        </x:is>
      </x:c>
      <x:c r="D474" s="5" t="inlineStr">
        <x:is>
          <x:t xml:space="preserve">bcc_plus</x:t>
        </x:is>
      </x:c>
      <x:c r="E474" s="5" t="inlineStr">
        <x:is>
          <x:t xml:space="preserve">muted</x:t>
        </x:is>
      </x:c>
      <x:c r="F474" s="6" t="inlineStr">
        <x:is>
          <x:t xml:space="preserve"/>
        </x:is>
      </x:c>
      <x:c r="G474" s="6" t="inlineStr">
        <x:is>
          <x:t xml:space="preserve">6</x:t>
        </x:is>
      </x:c>
      <x:c r="H474" s="5" t="inlineStr">
        <x:is>
          <x:t xml:space="preserve"/>
        </x:is>
      </x:c>
      <x:c r="I474" s="5" t="inlineStr">
        <x:is>
          <x:t xml:space="preserve"/>
        </x:is>
      </x:c>
      <x:c r="J474" s="5" t="inlineStr">
        <x:is>
          <x:t xml:space="preserve"/>
        </x:is>
      </x:c>
      <x:c r="K474" s="5" t="inlineStr">
        <x:is>
          <x:t xml:space="preserve"/>
        </x:is>
      </x:c>
      <x:c r="L474" s="5" t="inlineStr">
        <x:is>
          <x:t xml:space="preserve"/>
        </x:is>
      </x:c>
      <x:c r="M474" s="5" t="inlineStr">
        <x:is>
          <x:t xml:space="preserve"/>
        </x:is>
      </x:c>
      <x:c r="N474" s="5" t="inlineStr">
        <x:is>
          <x:t xml:space="preserve"/>
        </x:is>
      </x:c>
      <x:c r="O474" s="5" t="inlineStr">
        <x:is>
          <x:t xml:space="preserve"/>
        </x:is>
      </x:c>
      <x:c r="P474" s="5" t="inlineStr">
        <x:is>
          <x:t xml:space="preserve"/>
        </x:is>
      </x:c>
      <x:c r="Q474" s="5" t="inlineStr">
        <x:is>
          <x:t xml:space="preserve"/>
        </x:is>
      </x:c>
      <x:c r="R474" s="5">
        <x:f>IF(OR(F474="",G474=""),"",IF(F474&gt;=0.95*G474,1,0))</x:f>
      </x:c>
      <x:c r="S474" s="7">
        <x:f>IFERROR((I474+J474+K474)/F474,"")</x:f>
      </x:c>
      <x:c r="T474" s="5">
        <x:f>IFERROR(I474+J474+K474,"")</x:f>
        <x:v>0</x:v>
      </x:c>
    </x:row>
    <x:row r="475" ht="22" customHeight="1">
      <x:c r="A475" s="5" t="inlineStr">
        <x:is>
          <x:t xml:space="preserve">P040</x:t>
        </x:is>
      </x:c>
      <x:c r="B475" s="5" t="inlineStr">
        <x:is>
          <x:t xml:space="preserve">3</x:t>
        </x:is>
      </x:c>
      <x:c r="C475" s="5" t="inlineStr">
        <x:is>
          <x:t xml:space="preserve">V04_money_visibility</x:t>
        </x:is>
      </x:c>
      <x:c r="D475" s="5" t="inlineStr">
        <x:is>
          <x:t xml:space="preserve">heavy_bionic</x:t>
        </x:is>
      </x:c>
      <x:c r="E475" s="5" t="inlineStr">
        <x:is>
          <x:t xml:space="preserve">audio_on</x:t>
        </x:is>
      </x:c>
      <x:c r="F475" s="6" t="inlineStr">
        <x:is>
          <x:t xml:space="preserve"/>
        </x:is>
      </x:c>
      <x:c r="G475" s="6" t="inlineStr">
        <x:is>
          <x:t xml:space="preserve">6</x:t>
        </x:is>
      </x:c>
      <x:c r="H475" s="5" t="inlineStr">
        <x:is>
          <x:t xml:space="preserve"/>
        </x:is>
      </x:c>
      <x:c r="I475" s="5" t="inlineStr">
        <x:is>
          <x:t xml:space="preserve"/>
        </x:is>
      </x:c>
      <x:c r="J475" s="5" t="inlineStr">
        <x:is>
          <x:t xml:space="preserve"/>
        </x:is>
      </x:c>
      <x:c r="K475" s="5" t="inlineStr">
        <x:is>
          <x:t xml:space="preserve"/>
        </x:is>
      </x:c>
      <x:c r="L475" s="5" t="inlineStr">
        <x:is>
          <x:t xml:space="preserve"/>
        </x:is>
      </x:c>
      <x:c r="M475" s="5" t="inlineStr">
        <x:is>
          <x:t xml:space="preserve"/>
        </x:is>
      </x:c>
      <x:c r="N475" s="5" t="inlineStr">
        <x:is>
          <x:t xml:space="preserve"/>
        </x:is>
      </x:c>
      <x:c r="O475" s="5" t="inlineStr">
        <x:is>
          <x:t xml:space="preserve"/>
        </x:is>
      </x:c>
      <x:c r="P475" s="5" t="inlineStr">
        <x:is>
          <x:t xml:space="preserve"/>
        </x:is>
      </x:c>
      <x:c r="Q475" s="5" t="inlineStr">
        <x:is>
          <x:t xml:space="preserve"/>
        </x:is>
      </x:c>
      <x:c r="R475" s="5">
        <x:f>IF(OR(F475="",G475=""),"",IF(F475&gt;=0.95*G475,1,0))</x:f>
      </x:c>
      <x:c r="S475" s="7">
        <x:f>IFERROR((I475+J475+K475)/F475,"")</x:f>
      </x:c>
      <x:c r="T475" s="5">
        <x:f>IFERROR(I475+J475+K475,"")</x:f>
        <x:v>0</x:v>
      </x:c>
    </x:row>
    <x:row r="476" ht="22" customHeight="1">
      <x:c r="A476" s="5" t="inlineStr">
        <x:is>
          <x:t xml:space="preserve">P040</x:t>
        </x:is>
      </x:c>
      <x:c r="B476" s="5" t="inlineStr">
        <x:is>
          <x:t xml:space="preserve">4</x:t>
        </x:is>
      </x:c>
      <x:c r="C476" s="5" t="inlineStr">
        <x:is>
          <x:t xml:space="preserve">V07_business_clarity</x:t>
        </x:is>
      </x:c>
      <x:c r="D476" s="5" t="inlineStr">
        <x:is>
          <x:t xml:space="preserve">full_transcript</x:t>
        </x:is>
      </x:c>
      <x:c r="E476" s="5" t="inlineStr">
        <x:is>
          <x:t xml:space="preserve">muted</x:t>
        </x:is>
      </x:c>
      <x:c r="F476" s="6" t="inlineStr">
        <x:is>
          <x:t xml:space="preserve"/>
        </x:is>
      </x:c>
      <x:c r="G476" s="6" t="inlineStr">
        <x:is>
          <x:t xml:space="preserve">6</x:t>
        </x:is>
      </x:c>
      <x:c r="H476" s="5" t="inlineStr">
        <x:is>
          <x:t xml:space="preserve"/>
        </x:is>
      </x:c>
      <x:c r="I476" s="5" t="inlineStr">
        <x:is>
          <x:t xml:space="preserve"/>
        </x:is>
      </x:c>
      <x:c r="J476" s="5" t="inlineStr">
        <x:is>
          <x:t xml:space="preserve"/>
        </x:is>
      </x:c>
      <x:c r="K476" s="5" t="inlineStr">
        <x:is>
          <x:t xml:space="preserve"/>
        </x:is>
      </x:c>
      <x:c r="L476" s="5" t="inlineStr">
        <x:is>
          <x:t xml:space="preserve"/>
        </x:is>
      </x:c>
      <x:c r="M476" s="5" t="inlineStr">
        <x:is>
          <x:t xml:space="preserve"/>
        </x:is>
      </x:c>
      <x:c r="N476" s="5" t="inlineStr">
        <x:is>
          <x:t xml:space="preserve"/>
        </x:is>
      </x:c>
      <x:c r="O476" s="5" t="inlineStr">
        <x:is>
          <x:t xml:space="preserve"/>
        </x:is>
      </x:c>
      <x:c r="P476" s="5" t="inlineStr">
        <x:is>
          <x:t xml:space="preserve"/>
        </x:is>
      </x:c>
      <x:c r="Q476" s="5" t="inlineStr">
        <x:is>
          <x:t xml:space="preserve"/>
        </x:is>
      </x:c>
      <x:c r="R476" s="5">
        <x:f>IF(OR(F476="",G476=""),"",IF(F476&gt;=0.95*G476,1,0))</x:f>
      </x:c>
      <x:c r="S476" s="7">
        <x:f>IFERROR((I476+J476+K476)/F476,"")</x:f>
      </x:c>
      <x:c r="T476" s="5">
        <x:f>IFERROR(I476+J476+K476,"")</x:f>
        <x:v>0</x:v>
      </x:c>
    </x:row>
    <x:row r="477" ht="22" customHeight="1">
      <x:c r="A477" s="5" t="inlineStr">
        <x:is>
          <x:t xml:space="preserve">P040</x:t>
        </x:is>
      </x:c>
      <x:c r="B477" s="5" t="inlineStr">
        <x:is>
          <x:t xml:space="preserve">5</x:t>
        </x:is>
      </x:c>
      <x:c r="C477" s="5" t="inlineStr">
        <x:is>
          <x:t xml:space="preserve">V06_overload_open_loops</x:t>
        </x:is>
      </x:c>
      <x:c r="D477" s="5" t="inlineStr">
        <x:is>
          <x:t xml:space="preserve">keyword_highlight</x:t>
        </x:is>
      </x:c>
      <x:c r="E477" s="5" t="inlineStr">
        <x:is>
          <x:t xml:space="preserve">audio_on</x:t>
        </x:is>
      </x:c>
      <x:c r="F477" s="6" t="inlineStr">
        <x:is>
          <x:t xml:space="preserve"/>
        </x:is>
      </x:c>
      <x:c r="G477" s="6" t="inlineStr">
        <x:is>
          <x:t xml:space="preserve">6</x:t>
        </x:is>
      </x:c>
      <x:c r="H477" s="5" t="inlineStr">
        <x:is>
          <x:t xml:space="preserve"/>
        </x:is>
      </x:c>
      <x:c r="I477" s="5" t="inlineStr">
        <x:is>
          <x:t xml:space="preserve"/>
        </x:is>
      </x:c>
      <x:c r="J477" s="5" t="inlineStr">
        <x:is>
          <x:t xml:space="preserve"/>
        </x:is>
      </x:c>
      <x:c r="K477" s="5" t="inlineStr">
        <x:is>
          <x:t xml:space="preserve"/>
        </x:is>
      </x:c>
      <x:c r="L477" s="5" t="inlineStr">
        <x:is>
          <x:t xml:space="preserve"/>
        </x:is>
      </x:c>
      <x:c r="M477" s="5" t="inlineStr">
        <x:is>
          <x:t xml:space="preserve"/>
        </x:is>
      </x:c>
      <x:c r="N477" s="5" t="inlineStr">
        <x:is>
          <x:t xml:space="preserve"/>
        </x:is>
      </x:c>
      <x:c r="O477" s="5" t="inlineStr">
        <x:is>
          <x:t xml:space="preserve"/>
        </x:is>
      </x:c>
      <x:c r="P477" s="5" t="inlineStr">
        <x:is>
          <x:t xml:space="preserve"/>
        </x:is>
      </x:c>
      <x:c r="Q477" s="5" t="inlineStr">
        <x:is>
          <x:t xml:space="preserve"/>
        </x:is>
      </x:c>
      <x:c r="R477" s="5">
        <x:f>IF(OR(F477="",G477=""),"",IF(F477&gt;=0.95*G477,1,0))</x:f>
      </x:c>
      <x:c r="S477" s="7">
        <x:f>IFERROR((I477+J477+K477)/F477,"")</x:f>
      </x:c>
      <x:c r="T477" s="5">
        <x:f>IFERROR(I477+J477+K477,"")</x:f>
        <x:v>0</x:v>
      </x:c>
    </x:row>
    <x:row r="478" ht="22" customHeight="1">
      <x:c r="A478" s="5" t="inlineStr">
        <x:is>
          <x:t xml:space="preserve">P040</x:t>
        </x:is>
      </x:c>
      <x:c r="B478" s="5" t="inlineStr">
        <x:is>
          <x:t xml:space="preserve">6</x:t>
        </x:is>
      </x:c>
      <x:c r="C478" s="5" t="inlineStr">
        <x:is>
          <x:t xml:space="preserve">V03_fitness_setup</x:t>
        </x:is>
      </x:c>
      <x:c r="D478" s="5" t="inlineStr">
        <x:is>
          <x:t xml:space="preserve">semantic_compression</x:t>
        </x:is>
      </x:c>
      <x:c r="E478" s="5" t="inlineStr">
        <x:is>
          <x:t xml:space="preserve">muted</x:t>
        </x:is>
      </x:c>
      <x:c r="F478" s="6" t="inlineStr">
        <x:is>
          <x:t xml:space="preserve"/>
        </x:is>
      </x:c>
      <x:c r="G478" s="6" t="inlineStr">
        <x:is>
          <x:t xml:space="preserve">6</x:t>
        </x:is>
      </x:c>
      <x:c r="H478" s="5" t="inlineStr">
        <x:is>
          <x:t xml:space="preserve"/>
        </x:is>
      </x:c>
      <x:c r="I478" s="5" t="inlineStr">
        <x:is>
          <x:t xml:space="preserve"/>
        </x:is>
      </x:c>
      <x:c r="J478" s="5" t="inlineStr">
        <x:is>
          <x:t xml:space="preserve"/>
        </x:is>
      </x:c>
      <x:c r="K478" s="5" t="inlineStr">
        <x:is>
          <x:t xml:space="preserve"/>
        </x:is>
      </x:c>
      <x:c r="L478" s="5" t="inlineStr">
        <x:is>
          <x:t xml:space="preserve"/>
        </x:is>
      </x:c>
      <x:c r="M478" s="5" t="inlineStr">
        <x:is>
          <x:t xml:space="preserve"/>
        </x:is>
      </x:c>
      <x:c r="N478" s="5" t="inlineStr">
        <x:is>
          <x:t xml:space="preserve"/>
        </x:is>
      </x:c>
      <x:c r="O478" s="5" t="inlineStr">
        <x:is>
          <x:t xml:space="preserve"/>
        </x:is>
      </x:c>
      <x:c r="P478" s="5" t="inlineStr">
        <x:is>
          <x:t xml:space="preserve"/>
        </x:is>
      </x:c>
      <x:c r="Q478" s="5" t="inlineStr">
        <x:is>
          <x:t xml:space="preserve"/>
        </x:is>
      </x:c>
      <x:c r="R478" s="5">
        <x:f>IF(OR(F478="",G478=""),"",IF(F478&gt;=0.95*G478,1,0))</x:f>
      </x:c>
      <x:c r="S478" s="7">
        <x:f>IFERROR((I478+J478+K478)/F478,"")</x:f>
      </x:c>
      <x:c r="T478" s="5">
        <x:f>IFERROR(I478+J478+K478,"")</x:f>
        <x:v>0</x:v>
      </x:c>
    </x:row>
    <x:row r="479" ht="22" customHeight="1">
      <x:c r="A479" s="5" t="inlineStr">
        <x:is>
          <x:t xml:space="preserve">P040</x:t>
        </x:is>
      </x:c>
      <x:c r="B479" s="5" t="inlineStr">
        <x:is>
          <x:t xml:space="preserve">7</x:t>
        </x:is>
      </x:c>
      <x:c r="C479" s="5" t="inlineStr">
        <x:is>
          <x:t xml:space="preserve">V11_story_burnout</x:t>
        </x:is>
      </x:c>
      <x:c r="D479" s="5" t="inlineStr">
        <x:is>
          <x:t xml:space="preserve">bcc</x:t>
        </x:is>
      </x:c>
      <x:c r="E479" s="5" t="inlineStr">
        <x:is>
          <x:t xml:space="preserve">audio_on</x:t>
        </x:is>
      </x:c>
      <x:c r="F479" s="6" t="inlineStr">
        <x:is>
          <x:t xml:space="preserve"/>
        </x:is>
      </x:c>
      <x:c r="G479" s="6" t="inlineStr">
        <x:is>
          <x:t xml:space="preserve">6</x:t>
        </x:is>
      </x:c>
      <x:c r="H479" s="5" t="inlineStr">
        <x:is>
          <x:t xml:space="preserve"/>
        </x:is>
      </x:c>
      <x:c r="I479" s="5" t="inlineStr">
        <x:is>
          <x:t xml:space="preserve"/>
        </x:is>
      </x:c>
      <x:c r="J479" s="5" t="inlineStr">
        <x:is>
          <x:t xml:space="preserve"/>
        </x:is>
      </x:c>
      <x:c r="K479" s="5" t="inlineStr">
        <x:is>
          <x:t xml:space="preserve"/>
        </x:is>
      </x:c>
      <x:c r="L479" s="5" t="inlineStr">
        <x:is>
          <x:t xml:space="preserve"/>
        </x:is>
      </x:c>
      <x:c r="M479" s="5" t="inlineStr">
        <x:is>
          <x:t xml:space="preserve"/>
        </x:is>
      </x:c>
      <x:c r="N479" s="5" t="inlineStr">
        <x:is>
          <x:t xml:space="preserve"/>
        </x:is>
      </x:c>
      <x:c r="O479" s="5" t="inlineStr">
        <x:is>
          <x:t xml:space="preserve"/>
        </x:is>
      </x:c>
      <x:c r="P479" s="5" t="inlineStr">
        <x:is>
          <x:t xml:space="preserve"/>
        </x:is>
      </x:c>
      <x:c r="Q479" s="5" t="inlineStr">
        <x:is>
          <x:t xml:space="preserve"/>
        </x:is>
      </x:c>
      <x:c r="R479" s="5">
        <x:f>IF(OR(F479="",G479=""),"",IF(F479&gt;=0.95*G479,1,0))</x:f>
      </x:c>
      <x:c r="S479" s="7">
        <x:f>IFERROR((I479+J479+K479)/F479,"")</x:f>
      </x:c>
      <x:c r="T479" s="5">
        <x:f>IFERROR(I479+J479+K479,"")</x:f>
        <x:v>0</x:v>
      </x:c>
    </x:row>
    <x:row r="480" ht="22" customHeight="1">
      <x:c r="A480" s="5" t="inlineStr">
        <x:is>
          <x:t xml:space="preserve">P040</x:t>
        </x:is>
      </x:c>
      <x:c r="B480" s="5" t="inlineStr">
        <x:is>
          <x:t xml:space="preserve">8</x:t>
        </x:is>
      </x:c>
      <x:c r="C480" s="5" t="inlineStr">
        <x:is>
          <x:t xml:space="preserve">V12_creativity_constraints</x:t>
        </x:is>
      </x:c>
      <x:c r="D480" s="5" t="inlineStr">
        <x:is>
          <x:t xml:space="preserve">bcc_plus</x:t>
        </x:is>
      </x:c>
      <x:c r="E480" s="5" t="inlineStr">
        <x:is>
          <x:t xml:space="preserve">muted</x:t>
        </x:is>
      </x:c>
      <x:c r="F480" s="6" t="inlineStr">
        <x:is>
          <x:t xml:space="preserve"/>
        </x:is>
      </x:c>
      <x:c r="G480" s="6" t="inlineStr">
        <x:is>
          <x:t xml:space="preserve">6</x:t>
        </x:is>
      </x:c>
      <x:c r="H480" s="5" t="inlineStr">
        <x:is>
          <x:t xml:space="preserve"/>
        </x:is>
      </x:c>
      <x:c r="I480" s="5" t="inlineStr">
        <x:is>
          <x:t xml:space="preserve"/>
        </x:is>
      </x:c>
      <x:c r="J480" s="5" t="inlineStr">
        <x:is>
          <x:t xml:space="preserve"/>
        </x:is>
      </x:c>
      <x:c r="K480" s="5" t="inlineStr">
        <x:is>
          <x:t xml:space="preserve"/>
        </x:is>
      </x:c>
      <x:c r="L480" s="5" t="inlineStr">
        <x:is>
          <x:t xml:space="preserve"/>
        </x:is>
      </x:c>
      <x:c r="M480" s="5" t="inlineStr">
        <x:is>
          <x:t xml:space="preserve"/>
        </x:is>
      </x:c>
      <x:c r="N480" s="5" t="inlineStr">
        <x:is>
          <x:t xml:space="preserve"/>
        </x:is>
      </x:c>
      <x:c r="O480" s="5" t="inlineStr">
        <x:is>
          <x:t xml:space="preserve"/>
        </x:is>
      </x:c>
      <x:c r="P480" s="5" t="inlineStr">
        <x:is>
          <x:t xml:space="preserve"/>
        </x:is>
      </x:c>
      <x:c r="Q480" s="5" t="inlineStr">
        <x:is>
          <x:t xml:space="preserve"/>
        </x:is>
      </x:c>
      <x:c r="R480" s="5">
        <x:f>IF(OR(F480="",G480=""),"",IF(F480&gt;=0.95*G480,1,0))</x:f>
      </x:c>
      <x:c r="S480" s="7">
        <x:f>IFERROR((I480+J480+K480)/F480,"")</x:f>
      </x:c>
      <x:c r="T480" s="5">
        <x:f>IFERROR(I480+J480+K480,"")</x:f>
        <x:v>0</x:v>
      </x:c>
    </x:row>
    <x:row r="481" ht="22" customHeight="1">
      <x:c r="A481" s="5" t="inlineStr">
        <x:is>
          <x:t xml:space="preserve">P040</x:t>
        </x:is>
      </x:c>
      <x:c r="B481" s="5" t="inlineStr">
        <x:is>
          <x:t xml:space="preserve">9</x:t>
        </x:is>
      </x:c>
      <x:c r="C481" s="5" t="inlineStr">
        <x:is>
          <x:t xml:space="preserve">V05_coding_assumptions</x:t>
        </x:is>
      </x:c>
      <x:c r="D481" s="5" t="inlineStr">
        <x:is>
          <x:t xml:space="preserve">heavy_bionic</x:t>
        </x:is>
      </x:c>
      <x:c r="E481" s="5" t="inlineStr">
        <x:is>
          <x:t xml:space="preserve">audio_on</x:t>
        </x:is>
      </x:c>
      <x:c r="F481" s="6" t="inlineStr">
        <x:is>
          <x:t xml:space="preserve"/>
        </x:is>
      </x:c>
      <x:c r="G481" s="6" t="inlineStr">
        <x:is>
          <x:t xml:space="preserve">6</x:t>
        </x:is>
      </x:c>
      <x:c r="H481" s="5" t="inlineStr">
        <x:is>
          <x:t xml:space="preserve"/>
        </x:is>
      </x:c>
      <x:c r="I481" s="5" t="inlineStr">
        <x:is>
          <x:t xml:space="preserve"/>
        </x:is>
      </x:c>
      <x:c r="J481" s="5" t="inlineStr">
        <x:is>
          <x:t xml:space="preserve"/>
        </x:is>
      </x:c>
      <x:c r="K481" s="5" t="inlineStr">
        <x:is>
          <x:t xml:space="preserve"/>
        </x:is>
      </x:c>
      <x:c r="L481" s="5" t="inlineStr">
        <x:is>
          <x:t xml:space="preserve"/>
        </x:is>
      </x:c>
      <x:c r="M481" s="5" t="inlineStr">
        <x:is>
          <x:t xml:space="preserve"/>
        </x:is>
      </x:c>
      <x:c r="N481" s="5" t="inlineStr">
        <x:is>
          <x:t xml:space="preserve"/>
        </x:is>
      </x:c>
      <x:c r="O481" s="5" t="inlineStr">
        <x:is>
          <x:t xml:space="preserve"/>
        </x:is>
      </x:c>
      <x:c r="P481" s="5" t="inlineStr">
        <x:is>
          <x:t xml:space="preserve"/>
        </x:is>
      </x:c>
      <x:c r="Q481" s="5" t="inlineStr">
        <x:is>
          <x:t xml:space="preserve"/>
        </x:is>
      </x:c>
      <x:c r="R481" s="5">
        <x:f>IF(OR(F481="",G481=""),"",IF(F481&gt;=0.95*G481,1,0))</x:f>
      </x:c>
      <x:c r="S481" s="7">
        <x:f>IFERROR((I481+J481+K481)/F481,"")</x:f>
      </x:c>
      <x:c r="T481" s="5">
        <x:f>IFERROR(I481+J481+K481,"")</x:f>
        <x:v>0</x:v>
      </x:c>
    </x:row>
    <x:row r="482" ht="22" customHeight="1">
      <x:c r="A482" s="5" t="inlineStr">
        <x:is>
          <x:t xml:space="preserve">P040</x:t>
        </x:is>
      </x:c>
      <x:c r="B482" s="5" t="inlineStr">
        <x:is>
          <x:t xml:space="preserve">10</x:t>
        </x:is>
      </x:c>
      <x:c r="C482" s="5" t="inlineStr">
        <x:is>
          <x:t xml:space="preserve">V09_nutrition_satiety</x:t>
        </x:is>
      </x:c>
      <x:c r="D482" s="5" t="inlineStr">
        <x:is>
          <x:t xml:space="preserve">full_transcript</x:t>
        </x:is>
      </x:c>
      <x:c r="E482" s="5" t="inlineStr">
        <x:is>
          <x:t xml:space="preserve">muted</x:t>
        </x:is>
      </x:c>
      <x:c r="F482" s="6" t="inlineStr">
        <x:is>
          <x:t xml:space="preserve"/>
        </x:is>
      </x:c>
      <x:c r="G482" s="6" t="inlineStr">
        <x:is>
          <x:t xml:space="preserve">6</x:t>
        </x:is>
      </x:c>
      <x:c r="H482" s="5" t="inlineStr">
        <x:is>
          <x:t xml:space="preserve"/>
        </x:is>
      </x:c>
      <x:c r="I482" s="5" t="inlineStr">
        <x:is>
          <x:t xml:space="preserve"/>
        </x:is>
      </x:c>
      <x:c r="J482" s="5" t="inlineStr">
        <x:is>
          <x:t xml:space="preserve"/>
        </x:is>
      </x:c>
      <x:c r="K482" s="5" t="inlineStr">
        <x:is>
          <x:t xml:space="preserve"/>
        </x:is>
      </x:c>
      <x:c r="L482" s="5" t="inlineStr">
        <x:is>
          <x:t xml:space="preserve"/>
        </x:is>
      </x:c>
      <x:c r="M482" s="5" t="inlineStr">
        <x:is>
          <x:t xml:space="preserve"/>
        </x:is>
      </x:c>
      <x:c r="N482" s="5" t="inlineStr">
        <x:is>
          <x:t xml:space="preserve"/>
        </x:is>
      </x:c>
      <x:c r="O482" s="5" t="inlineStr">
        <x:is>
          <x:t xml:space="preserve"/>
        </x:is>
      </x:c>
      <x:c r="P482" s="5" t="inlineStr">
        <x:is>
          <x:t xml:space="preserve"/>
        </x:is>
      </x:c>
      <x:c r="Q482" s="5" t="inlineStr">
        <x:is>
          <x:t xml:space="preserve"/>
        </x:is>
      </x:c>
      <x:c r="R482" s="5">
        <x:f>IF(OR(F482="",G482=""),"",IF(F482&gt;=0.95*G482,1,0))</x:f>
      </x:c>
      <x:c r="S482" s="7">
        <x:f>IFERROR((I482+J482+K482)/F482,"")</x:f>
      </x:c>
      <x:c r="T482" s="5">
        <x:f>IFERROR(I482+J482+K482,"")</x:f>
        <x:v>0</x:v>
      </x:c>
    </x:row>
    <x:row r="483" ht="22" customHeight="1">
      <x:c r="A483" s="5" t="inlineStr">
        <x:is>
          <x:t xml:space="preserve">P040</x:t>
        </x:is>
      </x:c>
      <x:c r="B483" s="5" t="inlineStr">
        <x:is>
          <x:t xml:space="preserve">11</x:t>
        </x:is>
      </x:c>
      <x:c r="C483" s="5" t="inlineStr">
        <x:is>
          <x:t xml:space="preserve">V10_tutorial_ui</x:t>
        </x:is>
      </x:c>
      <x:c r="D483" s="5" t="inlineStr">
        <x:is>
          <x:t xml:space="preserve">keyword_highlight</x:t>
        </x:is>
      </x:c>
      <x:c r="E483" s="5" t="inlineStr">
        <x:is>
          <x:t xml:space="preserve">audio_on</x:t>
        </x:is>
      </x:c>
      <x:c r="F483" s="6" t="inlineStr">
        <x:is>
          <x:t xml:space="preserve"/>
        </x:is>
      </x:c>
      <x:c r="G483" s="6" t="inlineStr">
        <x:is>
          <x:t xml:space="preserve">6</x:t>
        </x:is>
      </x:c>
      <x:c r="H483" s="5" t="inlineStr">
        <x:is>
          <x:t xml:space="preserve"/>
        </x:is>
      </x:c>
      <x:c r="I483" s="5" t="inlineStr">
        <x:is>
          <x:t xml:space="preserve"/>
        </x:is>
      </x:c>
      <x:c r="J483" s="5" t="inlineStr">
        <x:is>
          <x:t xml:space="preserve"/>
        </x:is>
      </x:c>
      <x:c r="K483" s="5" t="inlineStr">
        <x:is>
          <x:t xml:space="preserve"/>
        </x:is>
      </x:c>
      <x:c r="L483" s="5" t="inlineStr">
        <x:is>
          <x:t xml:space="preserve"/>
        </x:is>
      </x:c>
      <x:c r="M483" s="5" t="inlineStr">
        <x:is>
          <x:t xml:space="preserve"/>
        </x:is>
      </x:c>
      <x:c r="N483" s="5" t="inlineStr">
        <x:is>
          <x:t xml:space="preserve"/>
        </x:is>
      </x:c>
      <x:c r="O483" s="5" t="inlineStr">
        <x:is>
          <x:t xml:space="preserve"/>
        </x:is>
      </x:c>
      <x:c r="P483" s="5" t="inlineStr">
        <x:is>
          <x:t xml:space="preserve"/>
        </x:is>
      </x:c>
      <x:c r="Q483" s="5" t="inlineStr">
        <x:is>
          <x:t xml:space="preserve"/>
        </x:is>
      </x:c>
      <x:c r="R483" s="5">
        <x:f>IF(OR(F483="",G483=""),"",IF(F483&gt;=0.95*G483,1,0))</x:f>
      </x:c>
      <x:c r="S483" s="7">
        <x:f>IFERROR((I483+J483+K483)/F483,"")</x:f>
      </x:c>
      <x:c r="T483" s="5">
        <x:f>IFERROR(I483+J483+K483,"")</x:f>
        <x:v>0</x:v>
      </x:c>
    </x:row>
    <x:row r="484" ht="22" customHeight="1">
      <x:c r="A484" s="5" t="inlineStr">
        <x:is>
          <x:t xml:space="preserve">P040</x:t>
        </x:is>
      </x:c>
      <x:c r="B484" s="5" t="inlineStr">
        <x:is>
          <x:t xml:space="preserve">12</x:t>
        </x:is>
      </x:c>
      <x:c r="C484" s="5" t="inlineStr">
        <x:is>
          <x:t xml:space="preserve">V01_productivity_friction</x:t>
        </x:is>
      </x:c>
      <x:c r="D484" s="5" t="inlineStr">
        <x:is>
          <x:t xml:space="preserve">semantic_compression</x:t>
        </x:is>
      </x:c>
      <x:c r="E484" s="5" t="inlineStr">
        <x:is>
          <x:t xml:space="preserve">muted</x:t>
        </x:is>
      </x:c>
      <x:c r="F484" s="6" t="inlineStr">
        <x:is>
          <x:t xml:space="preserve"/>
        </x:is>
      </x:c>
      <x:c r="G484" s="6" t="inlineStr">
        <x:is>
          <x:t xml:space="preserve">6</x:t>
        </x:is>
      </x:c>
      <x:c r="H484" s="5" t="inlineStr">
        <x:is>
          <x:t xml:space="preserve"/>
        </x:is>
      </x:c>
      <x:c r="I484" s="5" t="inlineStr">
        <x:is>
          <x:t xml:space="preserve"/>
        </x:is>
      </x:c>
      <x:c r="J484" s="5" t="inlineStr">
        <x:is>
          <x:t xml:space="preserve"/>
        </x:is>
      </x:c>
      <x:c r="K484" s="5" t="inlineStr">
        <x:is>
          <x:t xml:space="preserve"/>
        </x:is>
      </x:c>
      <x:c r="L484" s="5" t="inlineStr">
        <x:is>
          <x:t xml:space="preserve"/>
        </x:is>
      </x:c>
      <x:c r="M484" s="5" t="inlineStr">
        <x:is>
          <x:t xml:space="preserve"/>
        </x:is>
      </x:c>
      <x:c r="N484" s="5" t="inlineStr">
        <x:is>
          <x:t xml:space="preserve"/>
        </x:is>
      </x:c>
      <x:c r="O484" s="5" t="inlineStr">
        <x:is>
          <x:t xml:space="preserve"/>
        </x:is>
      </x:c>
      <x:c r="P484" s="5" t="inlineStr">
        <x:is>
          <x:t xml:space="preserve"/>
        </x:is>
      </x:c>
      <x:c r="Q484" s="5" t="inlineStr">
        <x:is>
          <x:t xml:space="preserve"/>
        </x:is>
      </x:c>
      <x:c r="R484" s="5">
        <x:f>IF(OR(F484="",G484=""),"",IF(F484&gt;=0.95*G484,1,0))</x:f>
      </x:c>
      <x:c r="S484" s="7">
        <x:f>IFERROR((I484+J484+K484)/F484,"")</x:f>
      </x:c>
      <x:c r="T484" s="5">
        <x:f>IFERROR(I484+J484+K484,"")</x:f>
        <x:v>0</x:v>
      </x:c>
    </x:row>
    <x:row r="485" ht="22" customHeight="1">
      <x:c r="A485" s="5" t="inlineStr">
        <x:is>
          <x:t xml:space="preserve">P041</x:t>
        </x:is>
      </x:c>
      <x:c r="B485" s="5" t="inlineStr">
        <x:is>
          <x:t xml:space="preserve">1</x:t>
        </x:is>
      </x:c>
      <x:c r="C485" s="5" t="inlineStr">
        <x:is>
          <x:t xml:space="preserve">V10_tutorial_ui</x:t>
        </x:is>
      </x:c>
      <x:c r="D485" s="5" t="inlineStr">
        <x:is>
          <x:t xml:space="preserve">bcc_plus</x:t>
        </x:is>
      </x:c>
      <x:c r="E485" s="5" t="inlineStr">
        <x:is>
          <x:t xml:space="preserve">muted</x:t>
        </x:is>
      </x:c>
      <x:c r="F485" s="6" t="inlineStr">
        <x:is>
          <x:t xml:space="preserve"/>
        </x:is>
      </x:c>
      <x:c r="G485" s="6" t="inlineStr">
        <x:is>
          <x:t xml:space="preserve">6</x:t>
        </x:is>
      </x:c>
      <x:c r="H485" s="5" t="inlineStr">
        <x:is>
          <x:t xml:space="preserve"/>
        </x:is>
      </x:c>
      <x:c r="I485" s="5" t="inlineStr">
        <x:is>
          <x:t xml:space="preserve"/>
        </x:is>
      </x:c>
      <x:c r="J485" s="5" t="inlineStr">
        <x:is>
          <x:t xml:space="preserve"/>
        </x:is>
      </x:c>
      <x:c r="K485" s="5" t="inlineStr">
        <x:is>
          <x:t xml:space="preserve"/>
        </x:is>
      </x:c>
      <x:c r="L485" s="5" t="inlineStr">
        <x:is>
          <x:t xml:space="preserve"/>
        </x:is>
      </x:c>
      <x:c r="M485" s="5" t="inlineStr">
        <x:is>
          <x:t xml:space="preserve"/>
        </x:is>
      </x:c>
      <x:c r="N485" s="5" t="inlineStr">
        <x:is>
          <x:t xml:space="preserve"/>
        </x:is>
      </x:c>
      <x:c r="O485" s="5" t="inlineStr">
        <x:is>
          <x:t xml:space="preserve"/>
        </x:is>
      </x:c>
      <x:c r="P485" s="5" t="inlineStr">
        <x:is>
          <x:t xml:space="preserve"/>
        </x:is>
      </x:c>
      <x:c r="Q485" s="5" t="inlineStr">
        <x:is>
          <x:t xml:space="preserve"/>
        </x:is>
      </x:c>
      <x:c r="R485" s="5">
        <x:f>IF(OR(F485="",G485=""),"",IF(F485&gt;=0.95*G485,1,0))</x:f>
      </x:c>
      <x:c r="S485" s="7">
        <x:f>IFERROR((I485+J485+K485)/F485,"")</x:f>
      </x:c>
      <x:c r="T485" s="5">
        <x:f>IFERROR(I485+J485+K485,"")</x:f>
        <x:v>0</x:v>
      </x:c>
    </x:row>
    <x:row r="486" ht="22" customHeight="1">
      <x:c r="A486" s="5" t="inlineStr">
        <x:is>
          <x:t xml:space="preserve">P041</x:t>
        </x:is>
      </x:c>
      <x:c r="B486" s="5" t="inlineStr">
        <x:is>
          <x:t xml:space="preserve">2</x:t>
        </x:is>
      </x:c>
      <x:c r="C486" s="5" t="inlineStr">
        <x:is>
          <x:t xml:space="preserve">V04_money_visibility</x:t>
        </x:is>
      </x:c>
      <x:c r="D486" s="5" t="inlineStr">
        <x:is>
          <x:t xml:space="preserve">heavy_bionic</x:t>
        </x:is>
      </x:c>
      <x:c r="E486" s="5" t="inlineStr">
        <x:is>
          <x:t xml:space="preserve">audio_on</x:t>
        </x:is>
      </x:c>
      <x:c r="F486" s="6" t="inlineStr">
        <x:is>
          <x:t xml:space="preserve"/>
        </x:is>
      </x:c>
      <x:c r="G486" s="6" t="inlineStr">
        <x:is>
          <x:t xml:space="preserve">6</x:t>
        </x:is>
      </x:c>
      <x:c r="H486" s="5" t="inlineStr">
        <x:is>
          <x:t xml:space="preserve"/>
        </x:is>
      </x:c>
      <x:c r="I486" s="5" t="inlineStr">
        <x:is>
          <x:t xml:space="preserve"/>
        </x:is>
      </x:c>
      <x:c r="J486" s="5" t="inlineStr">
        <x:is>
          <x:t xml:space="preserve"/>
        </x:is>
      </x:c>
      <x:c r="K486" s="5" t="inlineStr">
        <x:is>
          <x:t xml:space="preserve"/>
        </x:is>
      </x:c>
      <x:c r="L486" s="5" t="inlineStr">
        <x:is>
          <x:t xml:space="preserve"/>
        </x:is>
      </x:c>
      <x:c r="M486" s="5" t="inlineStr">
        <x:is>
          <x:t xml:space="preserve"/>
        </x:is>
      </x:c>
      <x:c r="N486" s="5" t="inlineStr">
        <x:is>
          <x:t xml:space="preserve"/>
        </x:is>
      </x:c>
      <x:c r="O486" s="5" t="inlineStr">
        <x:is>
          <x:t xml:space="preserve"/>
        </x:is>
      </x:c>
      <x:c r="P486" s="5" t="inlineStr">
        <x:is>
          <x:t xml:space="preserve"/>
        </x:is>
      </x:c>
      <x:c r="Q486" s="5" t="inlineStr">
        <x:is>
          <x:t xml:space="preserve"/>
        </x:is>
      </x:c>
      <x:c r="R486" s="5">
        <x:f>IF(OR(F486="",G486=""),"",IF(F486&gt;=0.95*G486,1,0))</x:f>
      </x:c>
      <x:c r="S486" s="7">
        <x:f>IFERROR((I486+J486+K486)/F486,"")</x:f>
      </x:c>
      <x:c r="T486" s="5">
        <x:f>IFERROR(I486+J486+K486,"")</x:f>
        <x:v>0</x:v>
      </x:c>
    </x:row>
    <x:row r="487" ht="22" customHeight="1">
      <x:c r="A487" s="5" t="inlineStr">
        <x:is>
          <x:t xml:space="preserve">P041</x:t>
        </x:is>
      </x:c>
      <x:c r="B487" s="5" t="inlineStr">
        <x:is>
          <x:t xml:space="preserve">3</x:t>
        </x:is>
      </x:c>
      <x:c r="C487" s="5" t="inlineStr">
        <x:is>
          <x:t xml:space="preserve">V03_fitness_setup</x:t>
        </x:is>
      </x:c>
      <x:c r="D487" s="5" t="inlineStr">
        <x:is>
          <x:t xml:space="preserve">full_transcript</x:t>
        </x:is>
      </x:c>
      <x:c r="E487" s="5" t="inlineStr">
        <x:is>
          <x:t xml:space="preserve">muted</x:t>
        </x:is>
      </x:c>
      <x:c r="F487" s="6" t="inlineStr">
        <x:is>
          <x:t xml:space="preserve"/>
        </x:is>
      </x:c>
      <x:c r="G487" s="6" t="inlineStr">
        <x:is>
          <x:t xml:space="preserve">6</x:t>
        </x:is>
      </x:c>
      <x:c r="H487" s="5" t="inlineStr">
        <x:is>
          <x:t xml:space="preserve"/>
        </x:is>
      </x:c>
      <x:c r="I487" s="5" t="inlineStr">
        <x:is>
          <x:t xml:space="preserve"/>
        </x:is>
      </x:c>
      <x:c r="J487" s="5" t="inlineStr">
        <x:is>
          <x:t xml:space="preserve"/>
        </x:is>
      </x:c>
      <x:c r="K487" s="5" t="inlineStr">
        <x:is>
          <x:t xml:space="preserve"/>
        </x:is>
      </x:c>
      <x:c r="L487" s="5" t="inlineStr">
        <x:is>
          <x:t xml:space="preserve"/>
        </x:is>
      </x:c>
      <x:c r="M487" s="5" t="inlineStr">
        <x:is>
          <x:t xml:space="preserve"/>
        </x:is>
      </x:c>
      <x:c r="N487" s="5" t="inlineStr">
        <x:is>
          <x:t xml:space="preserve"/>
        </x:is>
      </x:c>
      <x:c r="O487" s="5" t="inlineStr">
        <x:is>
          <x:t xml:space="preserve"/>
        </x:is>
      </x:c>
      <x:c r="P487" s="5" t="inlineStr">
        <x:is>
          <x:t xml:space="preserve"/>
        </x:is>
      </x:c>
      <x:c r="Q487" s="5" t="inlineStr">
        <x:is>
          <x:t xml:space="preserve"/>
        </x:is>
      </x:c>
      <x:c r="R487" s="5">
        <x:f>IF(OR(F487="",G487=""),"",IF(F487&gt;=0.95*G487,1,0))</x:f>
      </x:c>
      <x:c r="S487" s="7">
        <x:f>IFERROR((I487+J487+K487)/F487,"")</x:f>
      </x:c>
      <x:c r="T487" s="5">
        <x:f>IFERROR(I487+J487+K487,"")</x:f>
        <x:v>0</x:v>
      </x:c>
    </x:row>
    <x:row r="488" ht="22" customHeight="1">
      <x:c r="A488" s="5" t="inlineStr">
        <x:is>
          <x:t xml:space="preserve">P041</x:t>
        </x:is>
      </x:c>
      <x:c r="B488" s="5" t="inlineStr">
        <x:is>
          <x:t xml:space="preserve">4</x:t>
        </x:is>
      </x:c>
      <x:c r="C488" s="5" t="inlineStr">
        <x:is>
          <x:t xml:space="preserve">V08_calendar_system</x:t>
        </x:is>
      </x:c>
      <x:c r="D488" s="5" t="inlineStr">
        <x:is>
          <x:t xml:space="preserve">keyword_highlight</x:t>
        </x:is>
      </x:c>
      <x:c r="E488" s="5" t="inlineStr">
        <x:is>
          <x:t xml:space="preserve">audio_on</x:t>
        </x:is>
      </x:c>
      <x:c r="F488" s="6" t="inlineStr">
        <x:is>
          <x:t xml:space="preserve"/>
        </x:is>
      </x:c>
      <x:c r="G488" s="6" t="inlineStr">
        <x:is>
          <x:t xml:space="preserve">6</x:t>
        </x:is>
      </x:c>
      <x:c r="H488" s="5" t="inlineStr">
        <x:is>
          <x:t xml:space="preserve"/>
        </x:is>
      </x:c>
      <x:c r="I488" s="5" t="inlineStr">
        <x:is>
          <x:t xml:space="preserve"/>
        </x:is>
      </x:c>
      <x:c r="J488" s="5" t="inlineStr">
        <x:is>
          <x:t xml:space="preserve"/>
        </x:is>
      </x:c>
      <x:c r="K488" s="5" t="inlineStr">
        <x:is>
          <x:t xml:space="preserve"/>
        </x:is>
      </x:c>
      <x:c r="L488" s="5" t="inlineStr">
        <x:is>
          <x:t xml:space="preserve"/>
        </x:is>
      </x:c>
      <x:c r="M488" s="5" t="inlineStr">
        <x:is>
          <x:t xml:space="preserve"/>
        </x:is>
      </x:c>
      <x:c r="N488" s="5" t="inlineStr">
        <x:is>
          <x:t xml:space="preserve"/>
        </x:is>
      </x:c>
      <x:c r="O488" s="5" t="inlineStr">
        <x:is>
          <x:t xml:space="preserve"/>
        </x:is>
      </x:c>
      <x:c r="P488" s="5" t="inlineStr">
        <x:is>
          <x:t xml:space="preserve"/>
        </x:is>
      </x:c>
      <x:c r="Q488" s="5" t="inlineStr">
        <x:is>
          <x:t xml:space="preserve"/>
        </x:is>
      </x:c>
      <x:c r="R488" s="5">
        <x:f>IF(OR(F488="",G488=""),"",IF(F488&gt;=0.95*G488,1,0))</x:f>
      </x:c>
      <x:c r="S488" s="7">
        <x:f>IFERROR((I488+J488+K488)/F488,"")</x:f>
      </x:c>
      <x:c r="T488" s="5">
        <x:f>IFERROR(I488+J488+K488,"")</x:f>
        <x:v>0</x:v>
      </x:c>
    </x:row>
    <x:row r="489" ht="22" customHeight="1">
      <x:c r="A489" s="5" t="inlineStr">
        <x:is>
          <x:t xml:space="preserve">P041</x:t>
        </x:is>
      </x:c>
      <x:c r="B489" s="5" t="inlineStr">
        <x:is>
          <x:t xml:space="preserve">5</x:t>
        </x:is>
      </x:c>
      <x:c r="C489" s="5" t="inlineStr">
        <x:is>
          <x:t xml:space="preserve">V12_creativity_constraints</x:t>
        </x:is>
      </x:c>
      <x:c r="D489" s="5" t="inlineStr">
        <x:is>
          <x:t xml:space="preserve">semantic_compression</x:t>
        </x:is>
      </x:c>
      <x:c r="E489" s="5" t="inlineStr">
        <x:is>
          <x:t xml:space="preserve">muted</x:t>
        </x:is>
      </x:c>
      <x:c r="F489" s="6" t="inlineStr">
        <x:is>
          <x:t xml:space="preserve"/>
        </x:is>
      </x:c>
      <x:c r="G489" s="6" t="inlineStr">
        <x:is>
          <x:t xml:space="preserve">6</x:t>
        </x:is>
      </x:c>
      <x:c r="H489" s="5" t="inlineStr">
        <x:is>
          <x:t xml:space="preserve"/>
        </x:is>
      </x:c>
      <x:c r="I489" s="5" t="inlineStr">
        <x:is>
          <x:t xml:space="preserve"/>
        </x:is>
      </x:c>
      <x:c r="J489" s="5" t="inlineStr">
        <x:is>
          <x:t xml:space="preserve"/>
        </x:is>
      </x:c>
      <x:c r="K489" s="5" t="inlineStr">
        <x:is>
          <x:t xml:space="preserve"/>
        </x:is>
      </x:c>
      <x:c r="L489" s="5" t="inlineStr">
        <x:is>
          <x:t xml:space="preserve"/>
        </x:is>
      </x:c>
      <x:c r="M489" s="5" t="inlineStr">
        <x:is>
          <x:t xml:space="preserve"/>
        </x:is>
      </x:c>
      <x:c r="N489" s="5" t="inlineStr">
        <x:is>
          <x:t xml:space="preserve"/>
        </x:is>
      </x:c>
      <x:c r="O489" s="5" t="inlineStr">
        <x:is>
          <x:t xml:space="preserve"/>
        </x:is>
      </x:c>
      <x:c r="P489" s="5" t="inlineStr">
        <x:is>
          <x:t xml:space="preserve"/>
        </x:is>
      </x:c>
      <x:c r="Q489" s="5" t="inlineStr">
        <x:is>
          <x:t xml:space="preserve"/>
        </x:is>
      </x:c>
      <x:c r="R489" s="5">
        <x:f>IF(OR(F489="",G489=""),"",IF(F489&gt;=0.95*G489,1,0))</x:f>
      </x:c>
      <x:c r="S489" s="7">
        <x:f>IFERROR((I489+J489+K489)/F489,"")</x:f>
      </x:c>
      <x:c r="T489" s="5">
        <x:f>IFERROR(I489+J489+K489,"")</x:f>
        <x:v>0</x:v>
      </x:c>
    </x:row>
    <x:row r="490" ht="22" customHeight="1">
      <x:c r="A490" s="5" t="inlineStr">
        <x:is>
          <x:t xml:space="preserve">P041</x:t>
        </x:is>
      </x:c>
      <x:c r="B490" s="5" t="inlineStr">
        <x:is>
          <x:t xml:space="preserve">6</x:t>
        </x:is>
      </x:c>
      <x:c r="C490" s="5" t="inlineStr">
        <x:is>
          <x:t xml:space="preserve">V07_business_clarity</x:t>
        </x:is>
      </x:c>
      <x:c r="D490" s="5" t="inlineStr">
        <x:is>
          <x:t xml:space="preserve">bcc</x:t>
        </x:is>
      </x:c>
      <x:c r="E490" s="5" t="inlineStr">
        <x:is>
          <x:t xml:space="preserve">audio_on</x:t>
        </x:is>
      </x:c>
      <x:c r="F490" s="6" t="inlineStr">
        <x:is>
          <x:t xml:space="preserve"/>
        </x:is>
      </x:c>
      <x:c r="G490" s="6" t="inlineStr">
        <x:is>
          <x:t xml:space="preserve">6</x:t>
        </x:is>
      </x:c>
      <x:c r="H490" s="5" t="inlineStr">
        <x:is>
          <x:t xml:space="preserve"/>
        </x:is>
      </x:c>
      <x:c r="I490" s="5" t="inlineStr">
        <x:is>
          <x:t xml:space="preserve"/>
        </x:is>
      </x:c>
      <x:c r="J490" s="5" t="inlineStr">
        <x:is>
          <x:t xml:space="preserve"/>
        </x:is>
      </x:c>
      <x:c r="K490" s="5" t="inlineStr">
        <x:is>
          <x:t xml:space="preserve"/>
        </x:is>
      </x:c>
      <x:c r="L490" s="5" t="inlineStr">
        <x:is>
          <x:t xml:space="preserve"/>
        </x:is>
      </x:c>
      <x:c r="M490" s="5" t="inlineStr">
        <x:is>
          <x:t xml:space="preserve"/>
        </x:is>
      </x:c>
      <x:c r="N490" s="5" t="inlineStr">
        <x:is>
          <x:t xml:space="preserve"/>
        </x:is>
      </x:c>
      <x:c r="O490" s="5" t="inlineStr">
        <x:is>
          <x:t xml:space="preserve"/>
        </x:is>
      </x:c>
      <x:c r="P490" s="5" t="inlineStr">
        <x:is>
          <x:t xml:space="preserve"/>
        </x:is>
      </x:c>
      <x:c r="Q490" s="5" t="inlineStr">
        <x:is>
          <x:t xml:space="preserve"/>
        </x:is>
      </x:c>
      <x:c r="R490" s="5">
        <x:f>IF(OR(F490="",G490=""),"",IF(F490&gt;=0.95*G490,1,0))</x:f>
      </x:c>
      <x:c r="S490" s="7">
        <x:f>IFERROR((I490+J490+K490)/F490,"")</x:f>
      </x:c>
      <x:c r="T490" s="5">
        <x:f>IFERROR(I490+J490+K490,"")</x:f>
        <x:v>0</x:v>
      </x:c>
    </x:row>
    <x:row r="491" ht="22" customHeight="1">
      <x:c r="A491" s="5" t="inlineStr">
        <x:is>
          <x:t xml:space="preserve">P041</x:t>
        </x:is>
      </x:c>
      <x:c r="B491" s="5" t="inlineStr">
        <x:is>
          <x:t xml:space="preserve">7</x:t>
        </x:is>
      </x:c>
      <x:c r="C491" s="5" t="inlineStr">
        <x:is>
          <x:t xml:space="preserve">V06_overload_open_loops</x:t>
        </x:is>
      </x:c>
      <x:c r="D491" s="5" t="inlineStr">
        <x:is>
          <x:t xml:space="preserve">bcc_plus</x:t>
        </x:is>
      </x:c>
      <x:c r="E491" s="5" t="inlineStr">
        <x:is>
          <x:t xml:space="preserve">muted</x:t>
        </x:is>
      </x:c>
      <x:c r="F491" s="6" t="inlineStr">
        <x:is>
          <x:t xml:space="preserve"/>
        </x:is>
      </x:c>
      <x:c r="G491" s="6" t="inlineStr">
        <x:is>
          <x:t xml:space="preserve">6</x:t>
        </x:is>
      </x:c>
      <x:c r="H491" s="5" t="inlineStr">
        <x:is>
          <x:t xml:space="preserve"/>
        </x:is>
      </x:c>
      <x:c r="I491" s="5" t="inlineStr">
        <x:is>
          <x:t xml:space="preserve"/>
        </x:is>
      </x:c>
      <x:c r="J491" s="5" t="inlineStr">
        <x:is>
          <x:t xml:space="preserve"/>
        </x:is>
      </x:c>
      <x:c r="K491" s="5" t="inlineStr">
        <x:is>
          <x:t xml:space="preserve"/>
        </x:is>
      </x:c>
      <x:c r="L491" s="5" t="inlineStr">
        <x:is>
          <x:t xml:space="preserve"/>
        </x:is>
      </x:c>
      <x:c r="M491" s="5" t="inlineStr">
        <x:is>
          <x:t xml:space="preserve"/>
        </x:is>
      </x:c>
      <x:c r="N491" s="5" t="inlineStr">
        <x:is>
          <x:t xml:space="preserve"/>
        </x:is>
      </x:c>
      <x:c r="O491" s="5" t="inlineStr">
        <x:is>
          <x:t xml:space="preserve"/>
        </x:is>
      </x:c>
      <x:c r="P491" s="5" t="inlineStr">
        <x:is>
          <x:t xml:space="preserve"/>
        </x:is>
      </x:c>
      <x:c r="Q491" s="5" t="inlineStr">
        <x:is>
          <x:t xml:space="preserve"/>
        </x:is>
      </x:c>
      <x:c r="R491" s="5">
        <x:f>IF(OR(F491="",G491=""),"",IF(F491&gt;=0.95*G491,1,0))</x:f>
      </x:c>
      <x:c r="S491" s="7">
        <x:f>IFERROR((I491+J491+K491)/F491,"")</x:f>
      </x:c>
      <x:c r="T491" s="5">
        <x:f>IFERROR(I491+J491+K491,"")</x:f>
        <x:v>0</x:v>
      </x:c>
    </x:row>
    <x:row r="492" ht="22" customHeight="1">
      <x:c r="A492" s="5" t="inlineStr">
        <x:is>
          <x:t xml:space="preserve">P041</x:t>
        </x:is>
      </x:c>
      <x:c r="B492" s="5" t="inlineStr">
        <x:is>
          <x:t xml:space="preserve">8</x:t>
        </x:is>
      </x:c>
      <x:c r="C492" s="5" t="inlineStr">
        <x:is>
          <x:t xml:space="preserve">V09_nutrition_satiety</x:t>
        </x:is>
      </x:c>
      <x:c r="D492" s="5" t="inlineStr">
        <x:is>
          <x:t xml:space="preserve">heavy_bionic</x:t>
        </x:is>
      </x:c>
      <x:c r="E492" s="5" t="inlineStr">
        <x:is>
          <x:t xml:space="preserve">audio_on</x:t>
        </x:is>
      </x:c>
      <x:c r="F492" s="6" t="inlineStr">
        <x:is>
          <x:t xml:space="preserve"/>
        </x:is>
      </x:c>
      <x:c r="G492" s="6" t="inlineStr">
        <x:is>
          <x:t xml:space="preserve">6</x:t>
        </x:is>
      </x:c>
      <x:c r="H492" s="5" t="inlineStr">
        <x:is>
          <x:t xml:space="preserve"/>
        </x:is>
      </x:c>
      <x:c r="I492" s="5" t="inlineStr">
        <x:is>
          <x:t xml:space="preserve"/>
        </x:is>
      </x:c>
      <x:c r="J492" s="5" t="inlineStr">
        <x:is>
          <x:t xml:space="preserve"/>
        </x:is>
      </x:c>
      <x:c r="K492" s="5" t="inlineStr">
        <x:is>
          <x:t xml:space="preserve"/>
        </x:is>
      </x:c>
      <x:c r="L492" s="5" t="inlineStr">
        <x:is>
          <x:t xml:space="preserve"/>
        </x:is>
      </x:c>
      <x:c r="M492" s="5" t="inlineStr">
        <x:is>
          <x:t xml:space="preserve"/>
        </x:is>
      </x:c>
      <x:c r="N492" s="5" t="inlineStr">
        <x:is>
          <x:t xml:space="preserve"/>
        </x:is>
      </x:c>
      <x:c r="O492" s="5" t="inlineStr">
        <x:is>
          <x:t xml:space="preserve"/>
        </x:is>
      </x:c>
      <x:c r="P492" s="5" t="inlineStr">
        <x:is>
          <x:t xml:space="preserve"/>
        </x:is>
      </x:c>
      <x:c r="Q492" s="5" t="inlineStr">
        <x:is>
          <x:t xml:space="preserve"/>
        </x:is>
      </x:c>
      <x:c r="R492" s="5">
        <x:f>IF(OR(F492="",G492=""),"",IF(F492&gt;=0.95*G492,1,0))</x:f>
      </x:c>
      <x:c r="S492" s="7">
        <x:f>IFERROR((I492+J492+K492)/F492,"")</x:f>
      </x:c>
      <x:c r="T492" s="5">
        <x:f>IFERROR(I492+J492+K492,"")</x:f>
        <x:v>0</x:v>
      </x:c>
    </x:row>
    <x:row r="493" ht="22" customHeight="1">
      <x:c r="A493" s="5" t="inlineStr">
        <x:is>
          <x:t xml:space="preserve">P041</x:t>
        </x:is>
      </x:c>
      <x:c r="B493" s="5" t="inlineStr">
        <x:is>
          <x:t xml:space="preserve">9</x:t>
        </x:is>
      </x:c>
      <x:c r="C493" s="5" t="inlineStr">
        <x:is>
          <x:t xml:space="preserve">V11_story_burnout</x:t>
        </x:is>
      </x:c>
      <x:c r="D493" s="5" t="inlineStr">
        <x:is>
          <x:t xml:space="preserve">full_transcript</x:t>
        </x:is>
      </x:c>
      <x:c r="E493" s="5" t="inlineStr">
        <x:is>
          <x:t xml:space="preserve">muted</x:t>
        </x:is>
      </x:c>
      <x:c r="F493" s="6" t="inlineStr">
        <x:is>
          <x:t xml:space="preserve"/>
        </x:is>
      </x:c>
      <x:c r="G493" s="6" t="inlineStr">
        <x:is>
          <x:t xml:space="preserve">6</x:t>
        </x:is>
      </x:c>
      <x:c r="H493" s="5" t="inlineStr">
        <x:is>
          <x:t xml:space="preserve"/>
        </x:is>
      </x:c>
      <x:c r="I493" s="5" t="inlineStr">
        <x:is>
          <x:t xml:space="preserve"/>
        </x:is>
      </x:c>
      <x:c r="J493" s="5" t="inlineStr">
        <x:is>
          <x:t xml:space="preserve"/>
        </x:is>
      </x:c>
      <x:c r="K493" s="5" t="inlineStr">
        <x:is>
          <x:t xml:space="preserve"/>
        </x:is>
      </x:c>
      <x:c r="L493" s="5" t="inlineStr">
        <x:is>
          <x:t xml:space="preserve"/>
        </x:is>
      </x:c>
      <x:c r="M493" s="5" t="inlineStr">
        <x:is>
          <x:t xml:space="preserve"/>
        </x:is>
      </x:c>
      <x:c r="N493" s="5" t="inlineStr">
        <x:is>
          <x:t xml:space="preserve"/>
        </x:is>
      </x:c>
      <x:c r="O493" s="5" t="inlineStr">
        <x:is>
          <x:t xml:space="preserve"/>
        </x:is>
      </x:c>
      <x:c r="P493" s="5" t="inlineStr">
        <x:is>
          <x:t xml:space="preserve"/>
        </x:is>
      </x:c>
      <x:c r="Q493" s="5" t="inlineStr">
        <x:is>
          <x:t xml:space="preserve"/>
        </x:is>
      </x:c>
      <x:c r="R493" s="5">
        <x:f>IF(OR(F493="",G493=""),"",IF(F493&gt;=0.95*G493,1,0))</x:f>
      </x:c>
      <x:c r="S493" s="7">
        <x:f>IFERROR((I493+J493+K493)/F493,"")</x:f>
      </x:c>
      <x:c r="T493" s="5">
        <x:f>IFERROR(I493+J493+K493,"")</x:f>
        <x:v>0</x:v>
      </x:c>
    </x:row>
    <x:row r="494" ht="22" customHeight="1">
      <x:c r="A494" s="5" t="inlineStr">
        <x:is>
          <x:t xml:space="preserve">P041</x:t>
        </x:is>
      </x:c>
      <x:c r="B494" s="5" t="inlineStr">
        <x:is>
          <x:t xml:space="preserve">10</x:t>
        </x:is>
      </x:c>
      <x:c r="C494" s="5" t="inlineStr">
        <x:is>
          <x:t xml:space="preserve">V05_coding_assumptions</x:t>
        </x:is>
      </x:c>
      <x:c r="D494" s="5" t="inlineStr">
        <x:is>
          <x:t xml:space="preserve">keyword_highlight</x:t>
        </x:is>
      </x:c>
      <x:c r="E494" s="5" t="inlineStr">
        <x:is>
          <x:t xml:space="preserve">audio_on</x:t>
        </x:is>
      </x:c>
      <x:c r="F494" s="6" t="inlineStr">
        <x:is>
          <x:t xml:space="preserve"/>
        </x:is>
      </x:c>
      <x:c r="G494" s="6" t="inlineStr">
        <x:is>
          <x:t xml:space="preserve">6</x:t>
        </x:is>
      </x:c>
      <x:c r="H494" s="5" t="inlineStr">
        <x:is>
          <x:t xml:space="preserve"/>
        </x:is>
      </x:c>
      <x:c r="I494" s="5" t="inlineStr">
        <x:is>
          <x:t xml:space="preserve"/>
        </x:is>
      </x:c>
      <x:c r="J494" s="5" t="inlineStr">
        <x:is>
          <x:t xml:space="preserve"/>
        </x:is>
      </x:c>
      <x:c r="K494" s="5" t="inlineStr">
        <x:is>
          <x:t xml:space="preserve"/>
        </x:is>
      </x:c>
      <x:c r="L494" s="5" t="inlineStr">
        <x:is>
          <x:t xml:space="preserve"/>
        </x:is>
      </x:c>
      <x:c r="M494" s="5" t="inlineStr">
        <x:is>
          <x:t xml:space="preserve"/>
        </x:is>
      </x:c>
      <x:c r="N494" s="5" t="inlineStr">
        <x:is>
          <x:t xml:space="preserve"/>
        </x:is>
      </x:c>
      <x:c r="O494" s="5" t="inlineStr">
        <x:is>
          <x:t xml:space="preserve"/>
        </x:is>
      </x:c>
      <x:c r="P494" s="5" t="inlineStr">
        <x:is>
          <x:t xml:space="preserve"/>
        </x:is>
      </x:c>
      <x:c r="Q494" s="5" t="inlineStr">
        <x:is>
          <x:t xml:space="preserve"/>
        </x:is>
      </x:c>
      <x:c r="R494" s="5">
        <x:f>IF(OR(F494="",G494=""),"",IF(F494&gt;=0.95*G494,1,0))</x:f>
      </x:c>
      <x:c r="S494" s="7">
        <x:f>IFERROR((I494+J494+K494)/F494,"")</x:f>
      </x:c>
      <x:c r="T494" s="5">
        <x:f>IFERROR(I494+J494+K494,"")</x:f>
        <x:v>0</x:v>
      </x:c>
    </x:row>
    <x:row r="495" ht="22" customHeight="1">
      <x:c r="A495" s="5" t="inlineStr">
        <x:is>
          <x:t xml:space="preserve">P041</x:t>
        </x:is>
      </x:c>
      <x:c r="B495" s="5" t="inlineStr">
        <x:is>
          <x:t xml:space="preserve">11</x:t>
        </x:is>
      </x:c>
      <x:c r="C495" s="5" t="inlineStr">
        <x:is>
          <x:t xml:space="preserve">V01_productivity_friction</x:t>
        </x:is>
      </x:c>
      <x:c r="D495" s="5" t="inlineStr">
        <x:is>
          <x:t xml:space="preserve">semantic_compression</x:t>
        </x:is>
      </x:c>
      <x:c r="E495" s="5" t="inlineStr">
        <x:is>
          <x:t xml:space="preserve">muted</x:t>
        </x:is>
      </x:c>
      <x:c r="F495" s="6" t="inlineStr">
        <x:is>
          <x:t xml:space="preserve"/>
        </x:is>
      </x:c>
      <x:c r="G495" s="6" t="inlineStr">
        <x:is>
          <x:t xml:space="preserve">6</x:t>
        </x:is>
      </x:c>
      <x:c r="H495" s="5" t="inlineStr">
        <x:is>
          <x:t xml:space="preserve"/>
        </x:is>
      </x:c>
      <x:c r="I495" s="5" t="inlineStr">
        <x:is>
          <x:t xml:space="preserve"/>
        </x:is>
      </x:c>
      <x:c r="J495" s="5" t="inlineStr">
        <x:is>
          <x:t xml:space="preserve"/>
        </x:is>
      </x:c>
      <x:c r="K495" s="5" t="inlineStr">
        <x:is>
          <x:t xml:space="preserve"/>
        </x:is>
      </x:c>
      <x:c r="L495" s="5" t="inlineStr">
        <x:is>
          <x:t xml:space="preserve"/>
        </x:is>
      </x:c>
      <x:c r="M495" s="5" t="inlineStr">
        <x:is>
          <x:t xml:space="preserve"/>
        </x:is>
      </x:c>
      <x:c r="N495" s="5" t="inlineStr">
        <x:is>
          <x:t xml:space="preserve"/>
        </x:is>
      </x:c>
      <x:c r="O495" s="5" t="inlineStr">
        <x:is>
          <x:t xml:space="preserve"/>
        </x:is>
      </x:c>
      <x:c r="P495" s="5" t="inlineStr">
        <x:is>
          <x:t xml:space="preserve"/>
        </x:is>
      </x:c>
      <x:c r="Q495" s="5" t="inlineStr">
        <x:is>
          <x:t xml:space="preserve"/>
        </x:is>
      </x:c>
      <x:c r="R495" s="5">
        <x:f>IF(OR(F495="",G495=""),"",IF(F495&gt;=0.95*G495,1,0))</x:f>
      </x:c>
      <x:c r="S495" s="7">
        <x:f>IFERROR((I495+J495+K495)/F495,"")</x:f>
      </x:c>
      <x:c r="T495" s="5">
        <x:f>IFERROR(I495+J495+K495,"")</x:f>
        <x:v>0</x:v>
      </x:c>
    </x:row>
    <x:row r="496" ht="22" customHeight="1">
      <x:c r="A496" s="5" t="inlineStr">
        <x:is>
          <x:t xml:space="preserve">P041</x:t>
        </x:is>
      </x:c>
      <x:c r="B496" s="5" t="inlineStr">
        <x:is>
          <x:t xml:space="preserve">12</x:t>
        </x:is>
      </x:c>
      <x:c r="C496" s="5" t="inlineStr">
        <x:is>
          <x:t xml:space="preserve">V02_study_recall</x:t>
        </x:is>
      </x:c>
      <x:c r="D496" s="5" t="inlineStr">
        <x:is>
          <x:t xml:space="preserve">bcc</x:t>
        </x:is>
      </x:c>
      <x:c r="E496" s="5" t="inlineStr">
        <x:is>
          <x:t xml:space="preserve">audio_on</x:t>
        </x:is>
      </x:c>
      <x:c r="F496" s="6" t="inlineStr">
        <x:is>
          <x:t xml:space="preserve"/>
        </x:is>
      </x:c>
      <x:c r="G496" s="6" t="inlineStr">
        <x:is>
          <x:t xml:space="preserve">6</x:t>
        </x:is>
      </x:c>
      <x:c r="H496" s="5" t="inlineStr">
        <x:is>
          <x:t xml:space="preserve"/>
        </x:is>
      </x:c>
      <x:c r="I496" s="5" t="inlineStr">
        <x:is>
          <x:t xml:space="preserve"/>
        </x:is>
      </x:c>
      <x:c r="J496" s="5" t="inlineStr">
        <x:is>
          <x:t xml:space="preserve"/>
        </x:is>
      </x:c>
      <x:c r="K496" s="5" t="inlineStr">
        <x:is>
          <x:t xml:space="preserve"/>
        </x:is>
      </x:c>
      <x:c r="L496" s="5" t="inlineStr">
        <x:is>
          <x:t xml:space="preserve"/>
        </x:is>
      </x:c>
      <x:c r="M496" s="5" t="inlineStr">
        <x:is>
          <x:t xml:space="preserve"/>
        </x:is>
      </x:c>
      <x:c r="N496" s="5" t="inlineStr">
        <x:is>
          <x:t xml:space="preserve"/>
        </x:is>
      </x:c>
      <x:c r="O496" s="5" t="inlineStr">
        <x:is>
          <x:t xml:space="preserve"/>
        </x:is>
      </x:c>
      <x:c r="P496" s="5" t="inlineStr">
        <x:is>
          <x:t xml:space="preserve"/>
        </x:is>
      </x:c>
      <x:c r="Q496" s="5" t="inlineStr">
        <x:is>
          <x:t xml:space="preserve"/>
        </x:is>
      </x:c>
      <x:c r="R496" s="5">
        <x:f>IF(OR(F496="",G496=""),"",IF(F496&gt;=0.95*G496,1,0))</x:f>
      </x:c>
      <x:c r="S496" s="7">
        <x:f>IFERROR((I496+J496+K496)/F496,"")</x:f>
      </x:c>
      <x:c r="T496" s="5">
        <x:f>IFERROR(I496+J496+K496,"")</x:f>
        <x:v>0</x:v>
      </x:c>
    </x:row>
    <x:row r="497" ht="22" customHeight="1">
      <x:c r="A497" s="5" t="inlineStr">
        <x:is>
          <x:t xml:space="preserve">P042</x:t>
        </x:is>
      </x:c>
      <x:c r="B497" s="5" t="inlineStr">
        <x:is>
          <x:t xml:space="preserve">1</x:t>
        </x:is>
      </x:c>
      <x:c r="C497" s="5" t="inlineStr">
        <x:is>
          <x:t xml:space="preserve">V12_creativity_constraints</x:t>
        </x:is>
      </x:c>
      <x:c r="D497" s="5" t="inlineStr">
        <x:is>
          <x:t xml:space="preserve">heavy_bionic</x:t>
        </x:is>
      </x:c>
      <x:c r="E497" s="5" t="inlineStr">
        <x:is>
          <x:t xml:space="preserve">audio_on</x:t>
        </x:is>
      </x:c>
      <x:c r="F497" s="6" t="inlineStr">
        <x:is>
          <x:t xml:space="preserve"/>
        </x:is>
      </x:c>
      <x:c r="G497" s="6" t="inlineStr">
        <x:is>
          <x:t xml:space="preserve">6</x:t>
        </x:is>
      </x:c>
      <x:c r="H497" s="5" t="inlineStr">
        <x:is>
          <x:t xml:space="preserve"/>
        </x:is>
      </x:c>
      <x:c r="I497" s="5" t="inlineStr">
        <x:is>
          <x:t xml:space="preserve"/>
        </x:is>
      </x:c>
      <x:c r="J497" s="5" t="inlineStr">
        <x:is>
          <x:t xml:space="preserve"/>
        </x:is>
      </x:c>
      <x:c r="K497" s="5" t="inlineStr">
        <x:is>
          <x:t xml:space="preserve"/>
        </x:is>
      </x:c>
      <x:c r="L497" s="5" t="inlineStr">
        <x:is>
          <x:t xml:space="preserve"/>
        </x:is>
      </x:c>
      <x:c r="M497" s="5" t="inlineStr">
        <x:is>
          <x:t xml:space="preserve"/>
        </x:is>
      </x:c>
      <x:c r="N497" s="5" t="inlineStr">
        <x:is>
          <x:t xml:space="preserve"/>
        </x:is>
      </x:c>
      <x:c r="O497" s="5" t="inlineStr">
        <x:is>
          <x:t xml:space="preserve"/>
        </x:is>
      </x:c>
      <x:c r="P497" s="5" t="inlineStr">
        <x:is>
          <x:t xml:space="preserve"/>
        </x:is>
      </x:c>
      <x:c r="Q497" s="5" t="inlineStr">
        <x:is>
          <x:t xml:space="preserve"/>
        </x:is>
      </x:c>
      <x:c r="R497" s="5">
        <x:f>IF(OR(F497="",G497=""),"",IF(F497&gt;=0.95*G497,1,0))</x:f>
      </x:c>
      <x:c r="S497" s="7">
        <x:f>IFERROR((I497+J497+K497)/F497,"")</x:f>
      </x:c>
      <x:c r="T497" s="5">
        <x:f>IFERROR(I497+J497+K497,"")</x:f>
        <x:v>0</x:v>
      </x:c>
    </x:row>
    <x:row r="498" ht="22" customHeight="1">
      <x:c r="A498" s="5" t="inlineStr">
        <x:is>
          <x:t xml:space="preserve">P042</x:t>
        </x:is>
      </x:c>
      <x:c r="B498" s="5" t="inlineStr">
        <x:is>
          <x:t xml:space="preserve">2</x:t>
        </x:is>
      </x:c>
      <x:c r="C498" s="5" t="inlineStr">
        <x:is>
          <x:t xml:space="preserve">V07_business_clarity</x:t>
        </x:is>
      </x:c>
      <x:c r="D498" s="5" t="inlineStr">
        <x:is>
          <x:t xml:space="preserve">full_transcript</x:t>
        </x:is>
      </x:c>
      <x:c r="E498" s="5" t="inlineStr">
        <x:is>
          <x:t xml:space="preserve">muted</x:t>
        </x:is>
      </x:c>
      <x:c r="F498" s="6" t="inlineStr">
        <x:is>
          <x:t xml:space="preserve"/>
        </x:is>
      </x:c>
      <x:c r="G498" s="6" t="inlineStr">
        <x:is>
          <x:t xml:space="preserve">6</x:t>
        </x:is>
      </x:c>
      <x:c r="H498" s="5" t="inlineStr">
        <x:is>
          <x:t xml:space="preserve"/>
        </x:is>
      </x:c>
      <x:c r="I498" s="5" t="inlineStr">
        <x:is>
          <x:t xml:space="preserve"/>
        </x:is>
      </x:c>
      <x:c r="J498" s="5" t="inlineStr">
        <x:is>
          <x:t xml:space="preserve"/>
        </x:is>
      </x:c>
      <x:c r="K498" s="5" t="inlineStr">
        <x:is>
          <x:t xml:space="preserve"/>
        </x:is>
      </x:c>
      <x:c r="L498" s="5" t="inlineStr">
        <x:is>
          <x:t xml:space="preserve"/>
        </x:is>
      </x:c>
      <x:c r="M498" s="5" t="inlineStr">
        <x:is>
          <x:t xml:space="preserve"/>
        </x:is>
      </x:c>
      <x:c r="N498" s="5" t="inlineStr">
        <x:is>
          <x:t xml:space="preserve"/>
        </x:is>
      </x:c>
      <x:c r="O498" s="5" t="inlineStr">
        <x:is>
          <x:t xml:space="preserve"/>
        </x:is>
      </x:c>
      <x:c r="P498" s="5" t="inlineStr">
        <x:is>
          <x:t xml:space="preserve"/>
        </x:is>
      </x:c>
      <x:c r="Q498" s="5" t="inlineStr">
        <x:is>
          <x:t xml:space="preserve"/>
        </x:is>
      </x:c>
      <x:c r="R498" s="5">
        <x:f>IF(OR(F498="",G498=""),"",IF(F498&gt;=0.95*G498,1,0))</x:f>
      </x:c>
      <x:c r="S498" s="7">
        <x:f>IFERROR((I498+J498+K498)/F498,"")</x:f>
      </x:c>
      <x:c r="T498" s="5">
        <x:f>IFERROR(I498+J498+K498,"")</x:f>
        <x:v>0</x:v>
      </x:c>
    </x:row>
    <x:row r="499" ht="22" customHeight="1">
      <x:c r="A499" s="5" t="inlineStr">
        <x:is>
          <x:t xml:space="preserve">P042</x:t>
        </x:is>
      </x:c>
      <x:c r="B499" s="5" t="inlineStr">
        <x:is>
          <x:t xml:space="preserve">3</x:t>
        </x:is>
      </x:c>
      <x:c r="C499" s="5" t="inlineStr">
        <x:is>
          <x:t xml:space="preserve">V02_study_recall</x:t>
        </x:is>
      </x:c>
      <x:c r="D499" s="5" t="inlineStr">
        <x:is>
          <x:t xml:space="preserve">keyword_highlight</x:t>
        </x:is>
      </x:c>
      <x:c r="E499" s="5" t="inlineStr">
        <x:is>
          <x:t xml:space="preserve">audio_on</x:t>
        </x:is>
      </x:c>
      <x:c r="F499" s="6" t="inlineStr">
        <x:is>
          <x:t xml:space="preserve"/>
        </x:is>
      </x:c>
      <x:c r="G499" s="6" t="inlineStr">
        <x:is>
          <x:t xml:space="preserve">6</x:t>
        </x:is>
      </x:c>
      <x:c r="H499" s="5" t="inlineStr">
        <x:is>
          <x:t xml:space="preserve"/>
        </x:is>
      </x:c>
      <x:c r="I499" s="5" t="inlineStr">
        <x:is>
          <x:t xml:space="preserve"/>
        </x:is>
      </x:c>
      <x:c r="J499" s="5" t="inlineStr">
        <x:is>
          <x:t xml:space="preserve"/>
        </x:is>
      </x:c>
      <x:c r="K499" s="5" t="inlineStr">
        <x:is>
          <x:t xml:space="preserve"/>
        </x:is>
      </x:c>
      <x:c r="L499" s="5" t="inlineStr">
        <x:is>
          <x:t xml:space="preserve"/>
        </x:is>
      </x:c>
      <x:c r="M499" s="5" t="inlineStr">
        <x:is>
          <x:t xml:space="preserve"/>
        </x:is>
      </x:c>
      <x:c r="N499" s="5" t="inlineStr">
        <x:is>
          <x:t xml:space="preserve"/>
        </x:is>
      </x:c>
      <x:c r="O499" s="5" t="inlineStr">
        <x:is>
          <x:t xml:space="preserve"/>
        </x:is>
      </x:c>
      <x:c r="P499" s="5" t="inlineStr">
        <x:is>
          <x:t xml:space="preserve"/>
        </x:is>
      </x:c>
      <x:c r="Q499" s="5" t="inlineStr">
        <x:is>
          <x:t xml:space="preserve"/>
        </x:is>
      </x:c>
      <x:c r="R499" s="5">
        <x:f>IF(OR(F499="",G499=""),"",IF(F499&gt;=0.95*G499,1,0))</x:f>
      </x:c>
      <x:c r="S499" s="7">
        <x:f>IFERROR((I499+J499+K499)/F499,"")</x:f>
      </x:c>
      <x:c r="T499" s="5">
        <x:f>IFERROR(I499+J499+K499,"")</x:f>
        <x:v>0</x:v>
      </x:c>
    </x:row>
    <x:row r="500" ht="22" customHeight="1">
      <x:c r="A500" s="5" t="inlineStr">
        <x:is>
          <x:t xml:space="preserve">P042</x:t>
        </x:is>
      </x:c>
      <x:c r="B500" s="5" t="inlineStr">
        <x:is>
          <x:t xml:space="preserve">4</x:t>
        </x:is>
      </x:c>
      <x:c r="C500" s="5" t="inlineStr">
        <x:is>
          <x:t xml:space="preserve">V11_story_burnout</x:t>
        </x:is>
      </x:c>
      <x:c r="D500" s="5" t="inlineStr">
        <x:is>
          <x:t xml:space="preserve">semantic_compression</x:t>
        </x:is>
      </x:c>
      <x:c r="E500" s="5" t="inlineStr">
        <x:is>
          <x:t xml:space="preserve">muted</x:t>
        </x:is>
      </x:c>
      <x:c r="F500" s="6" t="inlineStr">
        <x:is>
          <x:t xml:space="preserve"/>
        </x:is>
      </x:c>
      <x:c r="G500" s="6" t="inlineStr">
        <x:is>
          <x:t xml:space="preserve">6</x:t>
        </x:is>
      </x:c>
      <x:c r="H500" s="5" t="inlineStr">
        <x:is>
          <x:t xml:space="preserve"/>
        </x:is>
      </x:c>
      <x:c r="I500" s="5" t="inlineStr">
        <x:is>
          <x:t xml:space="preserve"/>
        </x:is>
      </x:c>
      <x:c r="J500" s="5" t="inlineStr">
        <x:is>
          <x:t xml:space="preserve"/>
        </x:is>
      </x:c>
      <x:c r="K500" s="5" t="inlineStr">
        <x:is>
          <x:t xml:space="preserve"/>
        </x:is>
      </x:c>
      <x:c r="L500" s="5" t="inlineStr">
        <x:is>
          <x:t xml:space="preserve"/>
        </x:is>
      </x:c>
      <x:c r="M500" s="5" t="inlineStr">
        <x:is>
          <x:t xml:space="preserve"/>
        </x:is>
      </x:c>
      <x:c r="N500" s="5" t="inlineStr">
        <x:is>
          <x:t xml:space="preserve"/>
        </x:is>
      </x:c>
      <x:c r="O500" s="5" t="inlineStr">
        <x:is>
          <x:t xml:space="preserve"/>
        </x:is>
      </x:c>
      <x:c r="P500" s="5" t="inlineStr">
        <x:is>
          <x:t xml:space="preserve"/>
        </x:is>
      </x:c>
      <x:c r="Q500" s="5" t="inlineStr">
        <x:is>
          <x:t xml:space="preserve"/>
        </x:is>
      </x:c>
      <x:c r="R500" s="5">
        <x:f>IF(OR(F500="",G500=""),"",IF(F500&gt;=0.95*G500,1,0))</x:f>
      </x:c>
      <x:c r="S500" s="7">
        <x:f>IFERROR((I500+J500+K500)/F500,"")</x:f>
      </x:c>
      <x:c r="T500" s="5">
        <x:f>IFERROR(I500+J500+K500,"")</x:f>
        <x:v>0</x:v>
      </x:c>
    </x:row>
    <x:row r="501" ht="22" customHeight="1">
      <x:c r="A501" s="5" t="inlineStr">
        <x:is>
          <x:t xml:space="preserve">P042</x:t>
        </x:is>
      </x:c>
      <x:c r="B501" s="5" t="inlineStr">
        <x:is>
          <x:t xml:space="preserve">5</x:t>
        </x:is>
      </x:c>
      <x:c r="C501" s="5" t="inlineStr">
        <x:is>
          <x:t xml:space="preserve">V04_money_visibility</x:t>
        </x:is>
      </x:c>
      <x:c r="D501" s="5" t="inlineStr">
        <x:is>
          <x:t xml:space="preserve">bcc</x:t>
        </x:is>
      </x:c>
      <x:c r="E501" s="5" t="inlineStr">
        <x:is>
          <x:t xml:space="preserve">audio_on</x:t>
        </x:is>
      </x:c>
      <x:c r="F501" s="6" t="inlineStr">
        <x:is>
          <x:t xml:space="preserve"/>
        </x:is>
      </x:c>
      <x:c r="G501" s="6" t="inlineStr">
        <x:is>
          <x:t xml:space="preserve">6</x:t>
        </x:is>
      </x:c>
      <x:c r="H501" s="5" t="inlineStr">
        <x:is>
          <x:t xml:space="preserve"/>
        </x:is>
      </x:c>
      <x:c r="I501" s="5" t="inlineStr">
        <x:is>
          <x:t xml:space="preserve"/>
        </x:is>
      </x:c>
      <x:c r="J501" s="5" t="inlineStr">
        <x:is>
          <x:t xml:space="preserve"/>
        </x:is>
      </x:c>
      <x:c r="K501" s="5" t="inlineStr">
        <x:is>
          <x:t xml:space="preserve"/>
        </x:is>
      </x:c>
      <x:c r="L501" s="5" t="inlineStr">
        <x:is>
          <x:t xml:space="preserve"/>
        </x:is>
      </x:c>
      <x:c r="M501" s="5" t="inlineStr">
        <x:is>
          <x:t xml:space="preserve"/>
        </x:is>
      </x:c>
      <x:c r="N501" s="5" t="inlineStr">
        <x:is>
          <x:t xml:space="preserve"/>
        </x:is>
      </x:c>
      <x:c r="O501" s="5" t="inlineStr">
        <x:is>
          <x:t xml:space="preserve"/>
        </x:is>
      </x:c>
      <x:c r="P501" s="5" t="inlineStr">
        <x:is>
          <x:t xml:space="preserve"/>
        </x:is>
      </x:c>
      <x:c r="Q501" s="5" t="inlineStr">
        <x:is>
          <x:t xml:space="preserve"/>
        </x:is>
      </x:c>
      <x:c r="R501" s="5">
        <x:f>IF(OR(F501="",G501=""),"",IF(F501&gt;=0.95*G501,1,0))</x:f>
      </x:c>
      <x:c r="S501" s="7">
        <x:f>IFERROR((I501+J501+K501)/F501,"")</x:f>
      </x:c>
      <x:c r="T501" s="5">
        <x:f>IFERROR(I501+J501+K501,"")</x:f>
        <x:v>0</x:v>
      </x:c>
    </x:row>
    <x:row r="502" ht="22" customHeight="1">
      <x:c r="A502" s="5" t="inlineStr">
        <x:is>
          <x:t xml:space="preserve">P042</x:t>
        </x:is>
      </x:c>
      <x:c r="B502" s="5" t="inlineStr">
        <x:is>
          <x:t xml:space="preserve">6</x:t>
        </x:is>
      </x:c>
      <x:c r="C502" s="5" t="inlineStr">
        <x:is>
          <x:t xml:space="preserve">V06_overload_open_loops</x:t>
        </x:is>
      </x:c>
      <x:c r="D502" s="5" t="inlineStr">
        <x:is>
          <x:t xml:space="preserve">bcc_plus</x:t>
        </x:is>
      </x:c>
      <x:c r="E502" s="5" t="inlineStr">
        <x:is>
          <x:t xml:space="preserve">muted</x:t>
        </x:is>
      </x:c>
      <x:c r="F502" s="6" t="inlineStr">
        <x:is>
          <x:t xml:space="preserve"/>
        </x:is>
      </x:c>
      <x:c r="G502" s="6" t="inlineStr">
        <x:is>
          <x:t xml:space="preserve">6</x:t>
        </x:is>
      </x:c>
      <x:c r="H502" s="5" t="inlineStr">
        <x:is>
          <x:t xml:space="preserve"/>
        </x:is>
      </x:c>
      <x:c r="I502" s="5" t="inlineStr">
        <x:is>
          <x:t xml:space="preserve"/>
        </x:is>
      </x:c>
      <x:c r="J502" s="5" t="inlineStr">
        <x:is>
          <x:t xml:space="preserve"/>
        </x:is>
      </x:c>
      <x:c r="K502" s="5" t="inlineStr">
        <x:is>
          <x:t xml:space="preserve"/>
        </x:is>
      </x:c>
      <x:c r="L502" s="5" t="inlineStr">
        <x:is>
          <x:t xml:space="preserve"/>
        </x:is>
      </x:c>
      <x:c r="M502" s="5" t="inlineStr">
        <x:is>
          <x:t xml:space="preserve"/>
        </x:is>
      </x:c>
      <x:c r="N502" s="5" t="inlineStr">
        <x:is>
          <x:t xml:space="preserve"/>
        </x:is>
      </x:c>
      <x:c r="O502" s="5" t="inlineStr">
        <x:is>
          <x:t xml:space="preserve"/>
        </x:is>
      </x:c>
      <x:c r="P502" s="5" t="inlineStr">
        <x:is>
          <x:t xml:space="preserve"/>
        </x:is>
      </x:c>
      <x:c r="Q502" s="5" t="inlineStr">
        <x:is>
          <x:t xml:space="preserve"/>
        </x:is>
      </x:c>
      <x:c r="R502" s="5">
        <x:f>IF(OR(F502="",G502=""),"",IF(F502&gt;=0.95*G502,1,0))</x:f>
      </x:c>
      <x:c r="S502" s="7">
        <x:f>IFERROR((I502+J502+K502)/F502,"")</x:f>
      </x:c>
      <x:c r="T502" s="5">
        <x:f>IFERROR(I502+J502+K502,"")</x:f>
        <x:v>0</x:v>
      </x:c>
    </x:row>
    <x:row r="503" ht="22" customHeight="1">
      <x:c r="A503" s="5" t="inlineStr">
        <x:is>
          <x:t xml:space="preserve">P042</x:t>
        </x:is>
      </x:c>
      <x:c r="B503" s="5" t="inlineStr">
        <x:is>
          <x:t xml:space="preserve">7</x:t>
        </x:is>
      </x:c>
      <x:c r="C503" s="5" t="inlineStr">
        <x:is>
          <x:t xml:space="preserve">V05_coding_assumptions</x:t>
        </x:is>
      </x:c>
      <x:c r="D503" s="5" t="inlineStr">
        <x:is>
          <x:t xml:space="preserve">heavy_bionic</x:t>
        </x:is>
      </x:c>
      <x:c r="E503" s="5" t="inlineStr">
        <x:is>
          <x:t xml:space="preserve">audio_on</x:t>
        </x:is>
      </x:c>
      <x:c r="F503" s="6" t="inlineStr">
        <x:is>
          <x:t xml:space="preserve"/>
        </x:is>
      </x:c>
      <x:c r="G503" s="6" t="inlineStr">
        <x:is>
          <x:t xml:space="preserve">6</x:t>
        </x:is>
      </x:c>
      <x:c r="H503" s="5" t="inlineStr">
        <x:is>
          <x:t xml:space="preserve"/>
        </x:is>
      </x:c>
      <x:c r="I503" s="5" t="inlineStr">
        <x:is>
          <x:t xml:space="preserve"/>
        </x:is>
      </x:c>
      <x:c r="J503" s="5" t="inlineStr">
        <x:is>
          <x:t xml:space="preserve"/>
        </x:is>
      </x:c>
      <x:c r="K503" s="5" t="inlineStr">
        <x:is>
          <x:t xml:space="preserve"/>
        </x:is>
      </x:c>
      <x:c r="L503" s="5" t="inlineStr">
        <x:is>
          <x:t xml:space="preserve"/>
        </x:is>
      </x:c>
      <x:c r="M503" s="5" t="inlineStr">
        <x:is>
          <x:t xml:space="preserve"/>
        </x:is>
      </x:c>
      <x:c r="N503" s="5" t="inlineStr">
        <x:is>
          <x:t xml:space="preserve"/>
        </x:is>
      </x:c>
      <x:c r="O503" s="5" t="inlineStr">
        <x:is>
          <x:t xml:space="preserve"/>
        </x:is>
      </x:c>
      <x:c r="P503" s="5" t="inlineStr">
        <x:is>
          <x:t xml:space="preserve"/>
        </x:is>
      </x:c>
      <x:c r="Q503" s="5" t="inlineStr">
        <x:is>
          <x:t xml:space="preserve"/>
        </x:is>
      </x:c>
      <x:c r="R503" s="5">
        <x:f>IF(OR(F503="",G503=""),"",IF(F503&gt;=0.95*G503,1,0))</x:f>
      </x:c>
      <x:c r="S503" s="7">
        <x:f>IFERROR((I503+J503+K503)/F503,"")</x:f>
      </x:c>
      <x:c r="T503" s="5">
        <x:f>IFERROR(I503+J503+K503,"")</x:f>
        <x:v>0</x:v>
      </x:c>
    </x:row>
    <x:row r="504" ht="22" customHeight="1">
      <x:c r="A504" s="5" t="inlineStr">
        <x:is>
          <x:t xml:space="preserve">P042</x:t>
        </x:is>
      </x:c>
      <x:c r="B504" s="5" t="inlineStr">
        <x:is>
          <x:t xml:space="preserve">8</x:t>
        </x:is>
      </x:c>
      <x:c r="C504" s="5" t="inlineStr">
        <x:is>
          <x:t xml:space="preserve">V03_fitness_setup</x:t>
        </x:is>
      </x:c>
      <x:c r="D504" s="5" t="inlineStr">
        <x:is>
          <x:t xml:space="preserve">full_transcript</x:t>
        </x:is>
      </x:c>
      <x:c r="E504" s="5" t="inlineStr">
        <x:is>
          <x:t xml:space="preserve">muted</x:t>
        </x:is>
      </x:c>
      <x:c r="F504" s="6" t="inlineStr">
        <x:is>
          <x:t xml:space="preserve"/>
        </x:is>
      </x:c>
      <x:c r="G504" s="6" t="inlineStr">
        <x:is>
          <x:t xml:space="preserve">6</x:t>
        </x:is>
      </x:c>
      <x:c r="H504" s="5" t="inlineStr">
        <x:is>
          <x:t xml:space="preserve"/>
        </x:is>
      </x:c>
      <x:c r="I504" s="5" t="inlineStr">
        <x:is>
          <x:t xml:space="preserve"/>
        </x:is>
      </x:c>
      <x:c r="J504" s="5" t="inlineStr">
        <x:is>
          <x:t xml:space="preserve"/>
        </x:is>
      </x:c>
      <x:c r="K504" s="5" t="inlineStr">
        <x:is>
          <x:t xml:space="preserve"/>
        </x:is>
      </x:c>
      <x:c r="L504" s="5" t="inlineStr">
        <x:is>
          <x:t xml:space="preserve"/>
        </x:is>
      </x:c>
      <x:c r="M504" s="5" t="inlineStr">
        <x:is>
          <x:t xml:space="preserve"/>
        </x:is>
      </x:c>
      <x:c r="N504" s="5" t="inlineStr">
        <x:is>
          <x:t xml:space="preserve"/>
        </x:is>
      </x:c>
      <x:c r="O504" s="5" t="inlineStr">
        <x:is>
          <x:t xml:space="preserve"/>
        </x:is>
      </x:c>
      <x:c r="P504" s="5" t="inlineStr">
        <x:is>
          <x:t xml:space="preserve"/>
        </x:is>
      </x:c>
      <x:c r="Q504" s="5" t="inlineStr">
        <x:is>
          <x:t xml:space="preserve"/>
        </x:is>
      </x:c>
      <x:c r="R504" s="5">
        <x:f>IF(OR(F504="",G504=""),"",IF(F504&gt;=0.95*G504,1,0))</x:f>
      </x:c>
      <x:c r="S504" s="7">
        <x:f>IFERROR((I504+J504+K504)/F504,"")</x:f>
      </x:c>
      <x:c r="T504" s="5">
        <x:f>IFERROR(I504+J504+K504,"")</x:f>
        <x:v>0</x:v>
      </x:c>
    </x:row>
    <x:row r="505" ht="22" customHeight="1">
      <x:c r="A505" s="5" t="inlineStr">
        <x:is>
          <x:t xml:space="preserve">P042</x:t>
        </x:is>
      </x:c>
      <x:c r="B505" s="5" t="inlineStr">
        <x:is>
          <x:t xml:space="preserve">9</x:t>
        </x:is>
      </x:c>
      <x:c r="C505" s="5" t="inlineStr">
        <x:is>
          <x:t xml:space="preserve">V08_calendar_system</x:t>
        </x:is>
      </x:c>
      <x:c r="D505" s="5" t="inlineStr">
        <x:is>
          <x:t xml:space="preserve">keyword_highlight</x:t>
        </x:is>
      </x:c>
      <x:c r="E505" s="5" t="inlineStr">
        <x:is>
          <x:t xml:space="preserve">audio_on</x:t>
        </x:is>
      </x:c>
      <x:c r="F505" s="6" t="inlineStr">
        <x:is>
          <x:t xml:space="preserve"/>
        </x:is>
      </x:c>
      <x:c r="G505" s="6" t="inlineStr">
        <x:is>
          <x:t xml:space="preserve">6</x:t>
        </x:is>
      </x:c>
      <x:c r="H505" s="5" t="inlineStr">
        <x:is>
          <x:t xml:space="preserve"/>
        </x:is>
      </x:c>
      <x:c r="I505" s="5" t="inlineStr">
        <x:is>
          <x:t xml:space="preserve"/>
        </x:is>
      </x:c>
      <x:c r="J505" s="5" t="inlineStr">
        <x:is>
          <x:t xml:space="preserve"/>
        </x:is>
      </x:c>
      <x:c r="K505" s="5" t="inlineStr">
        <x:is>
          <x:t xml:space="preserve"/>
        </x:is>
      </x:c>
      <x:c r="L505" s="5" t="inlineStr">
        <x:is>
          <x:t xml:space="preserve"/>
        </x:is>
      </x:c>
      <x:c r="M505" s="5" t="inlineStr">
        <x:is>
          <x:t xml:space="preserve"/>
        </x:is>
      </x:c>
      <x:c r="N505" s="5" t="inlineStr">
        <x:is>
          <x:t xml:space="preserve"/>
        </x:is>
      </x:c>
      <x:c r="O505" s="5" t="inlineStr">
        <x:is>
          <x:t xml:space="preserve"/>
        </x:is>
      </x:c>
      <x:c r="P505" s="5" t="inlineStr">
        <x:is>
          <x:t xml:space="preserve"/>
        </x:is>
      </x:c>
      <x:c r="Q505" s="5" t="inlineStr">
        <x:is>
          <x:t xml:space="preserve"/>
        </x:is>
      </x:c>
      <x:c r="R505" s="5">
        <x:f>IF(OR(F505="",G505=""),"",IF(F505&gt;=0.95*G505,1,0))</x:f>
      </x:c>
      <x:c r="S505" s="7">
        <x:f>IFERROR((I505+J505+K505)/F505,"")</x:f>
      </x:c>
      <x:c r="T505" s="5">
        <x:f>IFERROR(I505+J505+K505,"")</x:f>
        <x:v>0</x:v>
      </x:c>
    </x:row>
    <x:row r="506" ht="22" customHeight="1">
      <x:c r="A506" s="5" t="inlineStr">
        <x:is>
          <x:t xml:space="preserve">P042</x:t>
        </x:is>
      </x:c>
      <x:c r="B506" s="5" t="inlineStr">
        <x:is>
          <x:t xml:space="preserve">10</x:t>
        </x:is>
      </x:c>
      <x:c r="C506" s="5" t="inlineStr">
        <x:is>
          <x:t xml:space="preserve">V10_tutorial_ui</x:t>
        </x:is>
      </x:c>
      <x:c r="D506" s="5" t="inlineStr">
        <x:is>
          <x:t xml:space="preserve">semantic_compression</x:t>
        </x:is>
      </x:c>
      <x:c r="E506" s="5" t="inlineStr">
        <x:is>
          <x:t xml:space="preserve">muted</x:t>
        </x:is>
      </x:c>
      <x:c r="F506" s="6" t="inlineStr">
        <x:is>
          <x:t xml:space="preserve"/>
        </x:is>
      </x:c>
      <x:c r="G506" s="6" t="inlineStr">
        <x:is>
          <x:t xml:space="preserve">6</x:t>
        </x:is>
      </x:c>
      <x:c r="H506" s="5" t="inlineStr">
        <x:is>
          <x:t xml:space="preserve"/>
        </x:is>
      </x:c>
      <x:c r="I506" s="5" t="inlineStr">
        <x:is>
          <x:t xml:space="preserve"/>
        </x:is>
      </x:c>
      <x:c r="J506" s="5" t="inlineStr">
        <x:is>
          <x:t xml:space="preserve"/>
        </x:is>
      </x:c>
      <x:c r="K506" s="5" t="inlineStr">
        <x:is>
          <x:t xml:space="preserve"/>
        </x:is>
      </x:c>
      <x:c r="L506" s="5" t="inlineStr">
        <x:is>
          <x:t xml:space="preserve"/>
        </x:is>
      </x:c>
      <x:c r="M506" s="5" t="inlineStr">
        <x:is>
          <x:t xml:space="preserve"/>
        </x:is>
      </x:c>
      <x:c r="N506" s="5" t="inlineStr">
        <x:is>
          <x:t xml:space="preserve"/>
        </x:is>
      </x:c>
      <x:c r="O506" s="5" t="inlineStr">
        <x:is>
          <x:t xml:space="preserve"/>
        </x:is>
      </x:c>
      <x:c r="P506" s="5" t="inlineStr">
        <x:is>
          <x:t xml:space="preserve"/>
        </x:is>
      </x:c>
      <x:c r="Q506" s="5" t="inlineStr">
        <x:is>
          <x:t xml:space="preserve"/>
        </x:is>
      </x:c>
      <x:c r="R506" s="5">
        <x:f>IF(OR(F506="",G506=""),"",IF(F506&gt;=0.95*G506,1,0))</x:f>
      </x:c>
      <x:c r="S506" s="7">
        <x:f>IFERROR((I506+J506+K506)/F506,"")</x:f>
      </x:c>
      <x:c r="T506" s="5">
        <x:f>IFERROR(I506+J506+K506,"")</x:f>
        <x:v>0</x:v>
      </x:c>
    </x:row>
    <x:row r="507" ht="22" customHeight="1">
      <x:c r="A507" s="5" t="inlineStr">
        <x:is>
          <x:t xml:space="preserve">P042</x:t>
        </x:is>
      </x:c>
      <x:c r="B507" s="5" t="inlineStr">
        <x:is>
          <x:t xml:space="preserve">11</x:t>
        </x:is>
      </x:c>
      <x:c r="C507" s="5" t="inlineStr">
        <x:is>
          <x:t xml:space="preserve">V01_productivity_friction</x:t>
        </x:is>
      </x:c>
      <x:c r="D507" s="5" t="inlineStr">
        <x:is>
          <x:t xml:space="preserve">bcc</x:t>
        </x:is>
      </x:c>
      <x:c r="E507" s="5" t="inlineStr">
        <x:is>
          <x:t xml:space="preserve">audio_on</x:t>
        </x:is>
      </x:c>
      <x:c r="F507" s="6" t="inlineStr">
        <x:is>
          <x:t xml:space="preserve"/>
        </x:is>
      </x:c>
      <x:c r="G507" s="6" t="inlineStr">
        <x:is>
          <x:t xml:space="preserve">6</x:t>
        </x:is>
      </x:c>
      <x:c r="H507" s="5" t="inlineStr">
        <x:is>
          <x:t xml:space="preserve"/>
        </x:is>
      </x:c>
      <x:c r="I507" s="5" t="inlineStr">
        <x:is>
          <x:t xml:space="preserve"/>
        </x:is>
      </x:c>
      <x:c r="J507" s="5" t="inlineStr">
        <x:is>
          <x:t xml:space="preserve"/>
        </x:is>
      </x:c>
      <x:c r="K507" s="5" t="inlineStr">
        <x:is>
          <x:t xml:space="preserve"/>
        </x:is>
      </x:c>
      <x:c r="L507" s="5" t="inlineStr">
        <x:is>
          <x:t xml:space="preserve"/>
        </x:is>
      </x:c>
      <x:c r="M507" s="5" t="inlineStr">
        <x:is>
          <x:t xml:space="preserve"/>
        </x:is>
      </x:c>
      <x:c r="N507" s="5" t="inlineStr">
        <x:is>
          <x:t xml:space="preserve"/>
        </x:is>
      </x:c>
      <x:c r="O507" s="5" t="inlineStr">
        <x:is>
          <x:t xml:space="preserve"/>
        </x:is>
      </x:c>
      <x:c r="P507" s="5" t="inlineStr">
        <x:is>
          <x:t xml:space="preserve"/>
        </x:is>
      </x:c>
      <x:c r="Q507" s="5" t="inlineStr">
        <x:is>
          <x:t xml:space="preserve"/>
        </x:is>
      </x:c>
      <x:c r="R507" s="5">
        <x:f>IF(OR(F507="",G507=""),"",IF(F507&gt;=0.95*G507,1,0))</x:f>
      </x:c>
      <x:c r="S507" s="7">
        <x:f>IFERROR((I507+J507+K507)/F507,"")</x:f>
      </x:c>
      <x:c r="T507" s="5">
        <x:f>IFERROR(I507+J507+K507,"")</x:f>
        <x:v>0</x:v>
      </x:c>
    </x:row>
    <x:row r="508" ht="22" customHeight="1">
      <x:c r="A508" s="5" t="inlineStr">
        <x:is>
          <x:t xml:space="preserve">P042</x:t>
        </x:is>
      </x:c>
      <x:c r="B508" s="5" t="inlineStr">
        <x:is>
          <x:t xml:space="preserve">12</x:t>
        </x:is>
      </x:c>
      <x:c r="C508" s="5" t="inlineStr">
        <x:is>
          <x:t xml:space="preserve">V09_nutrition_satiety</x:t>
        </x:is>
      </x:c>
      <x:c r="D508" s="5" t="inlineStr">
        <x:is>
          <x:t xml:space="preserve">bcc_plus</x:t>
        </x:is>
      </x:c>
      <x:c r="E508" s="5" t="inlineStr">
        <x:is>
          <x:t xml:space="preserve">muted</x:t>
        </x:is>
      </x:c>
      <x:c r="F508" s="6" t="inlineStr">
        <x:is>
          <x:t xml:space="preserve"/>
        </x:is>
      </x:c>
      <x:c r="G508" s="6" t="inlineStr">
        <x:is>
          <x:t xml:space="preserve">6</x:t>
        </x:is>
      </x:c>
      <x:c r="H508" s="5" t="inlineStr">
        <x:is>
          <x:t xml:space="preserve"/>
        </x:is>
      </x:c>
      <x:c r="I508" s="5" t="inlineStr">
        <x:is>
          <x:t xml:space="preserve"/>
        </x:is>
      </x:c>
      <x:c r="J508" s="5" t="inlineStr">
        <x:is>
          <x:t xml:space="preserve"/>
        </x:is>
      </x:c>
      <x:c r="K508" s="5" t="inlineStr">
        <x:is>
          <x:t xml:space="preserve"/>
        </x:is>
      </x:c>
      <x:c r="L508" s="5" t="inlineStr">
        <x:is>
          <x:t xml:space="preserve"/>
        </x:is>
      </x:c>
      <x:c r="M508" s="5" t="inlineStr">
        <x:is>
          <x:t xml:space="preserve"/>
        </x:is>
      </x:c>
      <x:c r="N508" s="5" t="inlineStr">
        <x:is>
          <x:t xml:space="preserve"/>
        </x:is>
      </x:c>
      <x:c r="O508" s="5" t="inlineStr">
        <x:is>
          <x:t xml:space="preserve"/>
        </x:is>
      </x:c>
      <x:c r="P508" s="5" t="inlineStr">
        <x:is>
          <x:t xml:space="preserve"/>
        </x:is>
      </x:c>
      <x:c r="Q508" s="5" t="inlineStr">
        <x:is>
          <x:t xml:space="preserve"/>
        </x:is>
      </x:c>
      <x:c r="R508" s="5">
        <x:f>IF(OR(F508="",G508=""),"",IF(F508&gt;=0.95*G508,1,0))</x:f>
      </x:c>
      <x:c r="S508" s="7">
        <x:f>IFERROR((I508+J508+K508)/F508,"")</x:f>
      </x:c>
      <x:c r="T508" s="5">
        <x:f>IFERROR(I508+J508+K508,"")</x:f>
        <x:v>0</x:v>
      </x:c>
    </x:row>
    <x:row r="509" ht="22" customHeight="1">
      <x:c r="A509" s="5" t="inlineStr">
        <x:is>
          <x:t xml:space="preserve">P043</x:t>
        </x:is>
      </x:c>
      <x:c r="B509" s="5" t="inlineStr">
        <x:is>
          <x:t xml:space="preserve">1</x:t>
        </x:is>
      </x:c>
      <x:c r="C509" s="5" t="inlineStr">
        <x:is>
          <x:t xml:space="preserve">V02_study_recall</x:t>
        </x:is>
      </x:c>
      <x:c r="D509" s="5" t="inlineStr">
        <x:is>
          <x:t xml:space="preserve">full_transcript</x:t>
        </x:is>
      </x:c>
      <x:c r="E509" s="5" t="inlineStr">
        <x:is>
          <x:t xml:space="preserve">muted</x:t>
        </x:is>
      </x:c>
      <x:c r="F509" s="6" t="inlineStr">
        <x:is>
          <x:t xml:space="preserve"/>
        </x:is>
      </x:c>
      <x:c r="G509" s="6" t="inlineStr">
        <x:is>
          <x:t xml:space="preserve">6</x:t>
        </x:is>
      </x:c>
      <x:c r="H509" s="5" t="inlineStr">
        <x:is>
          <x:t xml:space="preserve"/>
        </x:is>
      </x:c>
      <x:c r="I509" s="5" t="inlineStr">
        <x:is>
          <x:t xml:space="preserve"/>
        </x:is>
      </x:c>
      <x:c r="J509" s="5" t="inlineStr">
        <x:is>
          <x:t xml:space="preserve"/>
        </x:is>
      </x:c>
      <x:c r="K509" s="5" t="inlineStr">
        <x:is>
          <x:t xml:space="preserve"/>
        </x:is>
      </x:c>
      <x:c r="L509" s="5" t="inlineStr">
        <x:is>
          <x:t xml:space="preserve"/>
        </x:is>
      </x:c>
      <x:c r="M509" s="5" t="inlineStr">
        <x:is>
          <x:t xml:space="preserve"/>
        </x:is>
      </x:c>
      <x:c r="N509" s="5" t="inlineStr">
        <x:is>
          <x:t xml:space="preserve"/>
        </x:is>
      </x:c>
      <x:c r="O509" s="5" t="inlineStr">
        <x:is>
          <x:t xml:space="preserve"/>
        </x:is>
      </x:c>
      <x:c r="P509" s="5" t="inlineStr">
        <x:is>
          <x:t xml:space="preserve"/>
        </x:is>
      </x:c>
      <x:c r="Q509" s="5" t="inlineStr">
        <x:is>
          <x:t xml:space="preserve"/>
        </x:is>
      </x:c>
      <x:c r="R509" s="5">
        <x:f>IF(OR(F509="",G509=""),"",IF(F509&gt;=0.95*G509,1,0))</x:f>
      </x:c>
      <x:c r="S509" s="7">
        <x:f>IFERROR((I509+J509+K509)/F509,"")</x:f>
      </x:c>
      <x:c r="T509" s="5">
        <x:f>IFERROR(I509+J509+K509,"")</x:f>
        <x:v>0</x:v>
      </x:c>
    </x:row>
    <x:row r="510" ht="22" customHeight="1">
      <x:c r="A510" s="5" t="inlineStr">
        <x:is>
          <x:t xml:space="preserve">P043</x:t>
        </x:is>
      </x:c>
      <x:c r="B510" s="5" t="inlineStr">
        <x:is>
          <x:t xml:space="preserve">2</x:t>
        </x:is>
      </x:c>
      <x:c r="C510" s="5" t="inlineStr">
        <x:is>
          <x:t xml:space="preserve">V04_money_visibility</x:t>
        </x:is>
      </x:c>
      <x:c r="D510" s="5" t="inlineStr">
        <x:is>
          <x:t xml:space="preserve">keyword_highlight</x:t>
        </x:is>
      </x:c>
      <x:c r="E510" s="5" t="inlineStr">
        <x:is>
          <x:t xml:space="preserve">audio_on</x:t>
        </x:is>
      </x:c>
      <x:c r="F510" s="6" t="inlineStr">
        <x:is>
          <x:t xml:space="preserve"/>
        </x:is>
      </x:c>
      <x:c r="G510" s="6" t="inlineStr">
        <x:is>
          <x:t xml:space="preserve">6</x:t>
        </x:is>
      </x:c>
      <x:c r="H510" s="5" t="inlineStr">
        <x:is>
          <x:t xml:space="preserve"/>
        </x:is>
      </x:c>
      <x:c r="I510" s="5" t="inlineStr">
        <x:is>
          <x:t xml:space="preserve"/>
        </x:is>
      </x:c>
      <x:c r="J510" s="5" t="inlineStr">
        <x:is>
          <x:t xml:space="preserve"/>
        </x:is>
      </x:c>
      <x:c r="K510" s="5" t="inlineStr">
        <x:is>
          <x:t xml:space="preserve"/>
        </x:is>
      </x:c>
      <x:c r="L510" s="5" t="inlineStr">
        <x:is>
          <x:t xml:space="preserve"/>
        </x:is>
      </x:c>
      <x:c r="M510" s="5" t="inlineStr">
        <x:is>
          <x:t xml:space="preserve"/>
        </x:is>
      </x:c>
      <x:c r="N510" s="5" t="inlineStr">
        <x:is>
          <x:t xml:space="preserve"/>
        </x:is>
      </x:c>
      <x:c r="O510" s="5" t="inlineStr">
        <x:is>
          <x:t xml:space="preserve"/>
        </x:is>
      </x:c>
      <x:c r="P510" s="5" t="inlineStr">
        <x:is>
          <x:t xml:space="preserve"/>
        </x:is>
      </x:c>
      <x:c r="Q510" s="5" t="inlineStr">
        <x:is>
          <x:t xml:space="preserve"/>
        </x:is>
      </x:c>
      <x:c r="R510" s="5">
        <x:f>IF(OR(F510="",G510=""),"",IF(F510&gt;=0.95*G510,1,0))</x:f>
      </x:c>
      <x:c r="S510" s="7">
        <x:f>IFERROR((I510+J510+K510)/F510,"")</x:f>
      </x:c>
      <x:c r="T510" s="5">
        <x:f>IFERROR(I510+J510+K510,"")</x:f>
        <x:v>0</x:v>
      </x:c>
    </x:row>
    <x:row r="511" ht="22" customHeight="1">
      <x:c r="A511" s="5" t="inlineStr">
        <x:is>
          <x:t xml:space="preserve">P043</x:t>
        </x:is>
      </x:c>
      <x:c r="B511" s="5" t="inlineStr">
        <x:is>
          <x:t xml:space="preserve">3</x:t>
        </x:is>
      </x:c>
      <x:c r="C511" s="5" t="inlineStr">
        <x:is>
          <x:t xml:space="preserve">V01_productivity_friction</x:t>
        </x:is>
      </x:c>
      <x:c r="D511" s="5" t="inlineStr">
        <x:is>
          <x:t xml:space="preserve">semantic_compression</x:t>
        </x:is>
      </x:c>
      <x:c r="E511" s="5" t="inlineStr">
        <x:is>
          <x:t xml:space="preserve">muted</x:t>
        </x:is>
      </x:c>
      <x:c r="F511" s="6" t="inlineStr">
        <x:is>
          <x:t xml:space="preserve"/>
        </x:is>
      </x:c>
      <x:c r="G511" s="6" t="inlineStr">
        <x:is>
          <x:t xml:space="preserve">6</x:t>
        </x:is>
      </x:c>
      <x:c r="H511" s="5" t="inlineStr">
        <x:is>
          <x:t xml:space="preserve"/>
        </x:is>
      </x:c>
      <x:c r="I511" s="5" t="inlineStr">
        <x:is>
          <x:t xml:space="preserve"/>
        </x:is>
      </x:c>
      <x:c r="J511" s="5" t="inlineStr">
        <x:is>
          <x:t xml:space="preserve"/>
        </x:is>
      </x:c>
      <x:c r="K511" s="5" t="inlineStr">
        <x:is>
          <x:t xml:space="preserve"/>
        </x:is>
      </x:c>
      <x:c r="L511" s="5" t="inlineStr">
        <x:is>
          <x:t xml:space="preserve"/>
        </x:is>
      </x:c>
      <x:c r="M511" s="5" t="inlineStr">
        <x:is>
          <x:t xml:space="preserve"/>
        </x:is>
      </x:c>
      <x:c r="N511" s="5" t="inlineStr">
        <x:is>
          <x:t xml:space="preserve"/>
        </x:is>
      </x:c>
      <x:c r="O511" s="5" t="inlineStr">
        <x:is>
          <x:t xml:space="preserve"/>
        </x:is>
      </x:c>
      <x:c r="P511" s="5" t="inlineStr">
        <x:is>
          <x:t xml:space="preserve"/>
        </x:is>
      </x:c>
      <x:c r="Q511" s="5" t="inlineStr">
        <x:is>
          <x:t xml:space="preserve"/>
        </x:is>
      </x:c>
      <x:c r="R511" s="5">
        <x:f>IF(OR(F511="",G511=""),"",IF(F511&gt;=0.95*G511,1,0))</x:f>
      </x:c>
      <x:c r="S511" s="7">
        <x:f>IFERROR((I511+J511+K511)/F511,"")</x:f>
      </x:c>
      <x:c r="T511" s="5">
        <x:f>IFERROR(I511+J511+K511,"")</x:f>
        <x:v>0</x:v>
      </x:c>
    </x:row>
    <x:row r="512" ht="22" customHeight="1">
      <x:c r="A512" s="5" t="inlineStr">
        <x:is>
          <x:t xml:space="preserve">P043</x:t>
        </x:is>
      </x:c>
      <x:c r="B512" s="5" t="inlineStr">
        <x:is>
          <x:t xml:space="preserve">4</x:t>
        </x:is>
      </x:c>
      <x:c r="C512" s="5" t="inlineStr">
        <x:is>
          <x:t xml:space="preserve">V05_coding_assumptions</x:t>
        </x:is>
      </x:c>
      <x:c r="D512" s="5" t="inlineStr">
        <x:is>
          <x:t xml:space="preserve">bcc</x:t>
        </x:is>
      </x:c>
      <x:c r="E512" s="5" t="inlineStr">
        <x:is>
          <x:t xml:space="preserve">audio_on</x:t>
        </x:is>
      </x:c>
      <x:c r="F512" s="6" t="inlineStr">
        <x:is>
          <x:t xml:space="preserve"/>
        </x:is>
      </x:c>
      <x:c r="G512" s="6" t="inlineStr">
        <x:is>
          <x:t xml:space="preserve">6</x:t>
        </x:is>
      </x:c>
      <x:c r="H512" s="5" t="inlineStr">
        <x:is>
          <x:t xml:space="preserve"/>
        </x:is>
      </x:c>
      <x:c r="I512" s="5" t="inlineStr">
        <x:is>
          <x:t xml:space="preserve"/>
        </x:is>
      </x:c>
      <x:c r="J512" s="5" t="inlineStr">
        <x:is>
          <x:t xml:space="preserve"/>
        </x:is>
      </x:c>
      <x:c r="K512" s="5" t="inlineStr">
        <x:is>
          <x:t xml:space="preserve"/>
        </x:is>
      </x:c>
      <x:c r="L512" s="5" t="inlineStr">
        <x:is>
          <x:t xml:space="preserve"/>
        </x:is>
      </x:c>
      <x:c r="M512" s="5" t="inlineStr">
        <x:is>
          <x:t xml:space="preserve"/>
        </x:is>
      </x:c>
      <x:c r="N512" s="5" t="inlineStr">
        <x:is>
          <x:t xml:space="preserve"/>
        </x:is>
      </x:c>
      <x:c r="O512" s="5" t="inlineStr">
        <x:is>
          <x:t xml:space="preserve"/>
        </x:is>
      </x:c>
      <x:c r="P512" s="5" t="inlineStr">
        <x:is>
          <x:t xml:space="preserve"/>
        </x:is>
      </x:c>
      <x:c r="Q512" s="5" t="inlineStr">
        <x:is>
          <x:t xml:space="preserve"/>
        </x:is>
      </x:c>
      <x:c r="R512" s="5">
        <x:f>IF(OR(F512="",G512=""),"",IF(F512&gt;=0.95*G512,1,0))</x:f>
      </x:c>
      <x:c r="S512" s="7">
        <x:f>IFERROR((I512+J512+K512)/F512,"")</x:f>
      </x:c>
      <x:c r="T512" s="5">
        <x:f>IFERROR(I512+J512+K512,"")</x:f>
        <x:v>0</x:v>
      </x:c>
    </x:row>
    <x:row r="513" ht="22" customHeight="1">
      <x:c r="A513" s="5" t="inlineStr">
        <x:is>
          <x:t xml:space="preserve">P043</x:t>
        </x:is>
      </x:c>
      <x:c r="B513" s="5" t="inlineStr">
        <x:is>
          <x:t xml:space="preserve">5</x:t>
        </x:is>
      </x:c>
      <x:c r="C513" s="5" t="inlineStr">
        <x:is>
          <x:t xml:space="preserve">V06_overload_open_loops</x:t>
        </x:is>
      </x:c>
      <x:c r="D513" s="5" t="inlineStr">
        <x:is>
          <x:t xml:space="preserve">bcc_plus</x:t>
        </x:is>
      </x:c>
      <x:c r="E513" s="5" t="inlineStr">
        <x:is>
          <x:t xml:space="preserve">muted</x:t>
        </x:is>
      </x:c>
      <x:c r="F513" s="6" t="inlineStr">
        <x:is>
          <x:t xml:space="preserve"/>
        </x:is>
      </x:c>
      <x:c r="G513" s="6" t="inlineStr">
        <x:is>
          <x:t xml:space="preserve">6</x:t>
        </x:is>
      </x:c>
      <x:c r="H513" s="5" t="inlineStr">
        <x:is>
          <x:t xml:space="preserve"/>
        </x:is>
      </x:c>
      <x:c r="I513" s="5" t="inlineStr">
        <x:is>
          <x:t xml:space="preserve"/>
        </x:is>
      </x:c>
      <x:c r="J513" s="5" t="inlineStr">
        <x:is>
          <x:t xml:space="preserve"/>
        </x:is>
      </x:c>
      <x:c r="K513" s="5" t="inlineStr">
        <x:is>
          <x:t xml:space="preserve"/>
        </x:is>
      </x:c>
      <x:c r="L513" s="5" t="inlineStr">
        <x:is>
          <x:t xml:space="preserve"/>
        </x:is>
      </x:c>
      <x:c r="M513" s="5" t="inlineStr">
        <x:is>
          <x:t xml:space="preserve"/>
        </x:is>
      </x:c>
      <x:c r="N513" s="5" t="inlineStr">
        <x:is>
          <x:t xml:space="preserve"/>
        </x:is>
      </x:c>
      <x:c r="O513" s="5" t="inlineStr">
        <x:is>
          <x:t xml:space="preserve"/>
        </x:is>
      </x:c>
      <x:c r="P513" s="5" t="inlineStr">
        <x:is>
          <x:t xml:space="preserve"/>
        </x:is>
      </x:c>
      <x:c r="Q513" s="5" t="inlineStr">
        <x:is>
          <x:t xml:space="preserve"/>
        </x:is>
      </x:c>
      <x:c r="R513" s="5">
        <x:f>IF(OR(F513="",G513=""),"",IF(F513&gt;=0.95*G513,1,0))</x:f>
      </x:c>
      <x:c r="S513" s="7">
        <x:f>IFERROR((I513+J513+K513)/F513,"")</x:f>
      </x:c>
      <x:c r="T513" s="5">
        <x:f>IFERROR(I513+J513+K513,"")</x:f>
        <x:v>0</x:v>
      </x:c>
    </x:row>
    <x:row r="514" ht="22" customHeight="1">
      <x:c r="A514" s="5" t="inlineStr">
        <x:is>
          <x:t xml:space="preserve">P043</x:t>
        </x:is>
      </x:c>
      <x:c r="B514" s="5" t="inlineStr">
        <x:is>
          <x:t xml:space="preserve">6</x:t>
        </x:is>
      </x:c>
      <x:c r="C514" s="5" t="inlineStr">
        <x:is>
          <x:t xml:space="preserve">V07_business_clarity</x:t>
        </x:is>
      </x:c>
      <x:c r="D514" s="5" t="inlineStr">
        <x:is>
          <x:t xml:space="preserve">heavy_bionic</x:t>
        </x:is>
      </x:c>
      <x:c r="E514" s="5" t="inlineStr">
        <x:is>
          <x:t xml:space="preserve">audio_on</x:t>
        </x:is>
      </x:c>
      <x:c r="F514" s="6" t="inlineStr">
        <x:is>
          <x:t xml:space="preserve"/>
        </x:is>
      </x:c>
      <x:c r="G514" s="6" t="inlineStr">
        <x:is>
          <x:t xml:space="preserve">6</x:t>
        </x:is>
      </x:c>
      <x:c r="H514" s="5" t="inlineStr">
        <x:is>
          <x:t xml:space="preserve"/>
        </x:is>
      </x:c>
      <x:c r="I514" s="5" t="inlineStr">
        <x:is>
          <x:t xml:space="preserve"/>
        </x:is>
      </x:c>
      <x:c r="J514" s="5" t="inlineStr">
        <x:is>
          <x:t xml:space="preserve"/>
        </x:is>
      </x:c>
      <x:c r="K514" s="5" t="inlineStr">
        <x:is>
          <x:t xml:space="preserve"/>
        </x:is>
      </x:c>
      <x:c r="L514" s="5" t="inlineStr">
        <x:is>
          <x:t xml:space="preserve"/>
        </x:is>
      </x:c>
      <x:c r="M514" s="5" t="inlineStr">
        <x:is>
          <x:t xml:space="preserve"/>
        </x:is>
      </x:c>
      <x:c r="N514" s="5" t="inlineStr">
        <x:is>
          <x:t xml:space="preserve"/>
        </x:is>
      </x:c>
      <x:c r="O514" s="5" t="inlineStr">
        <x:is>
          <x:t xml:space="preserve"/>
        </x:is>
      </x:c>
      <x:c r="P514" s="5" t="inlineStr">
        <x:is>
          <x:t xml:space="preserve"/>
        </x:is>
      </x:c>
      <x:c r="Q514" s="5" t="inlineStr">
        <x:is>
          <x:t xml:space="preserve"/>
        </x:is>
      </x:c>
      <x:c r="R514" s="5">
        <x:f>IF(OR(F514="",G514=""),"",IF(F514&gt;=0.95*G514,1,0))</x:f>
      </x:c>
      <x:c r="S514" s="7">
        <x:f>IFERROR((I514+J514+K514)/F514,"")</x:f>
      </x:c>
      <x:c r="T514" s="5">
        <x:f>IFERROR(I514+J514+K514,"")</x:f>
        <x:v>0</x:v>
      </x:c>
    </x:row>
    <x:row r="515" ht="22" customHeight="1">
      <x:c r="A515" s="5" t="inlineStr">
        <x:is>
          <x:t xml:space="preserve">P043</x:t>
        </x:is>
      </x:c>
      <x:c r="B515" s="5" t="inlineStr">
        <x:is>
          <x:t xml:space="preserve">7</x:t>
        </x:is>
      </x:c>
      <x:c r="C515" s="5" t="inlineStr">
        <x:is>
          <x:t xml:space="preserve">V09_nutrition_satiety</x:t>
        </x:is>
      </x:c>
      <x:c r="D515" s="5" t="inlineStr">
        <x:is>
          <x:t xml:space="preserve">full_transcript</x:t>
        </x:is>
      </x:c>
      <x:c r="E515" s="5" t="inlineStr">
        <x:is>
          <x:t xml:space="preserve">muted</x:t>
        </x:is>
      </x:c>
      <x:c r="F515" s="6" t="inlineStr">
        <x:is>
          <x:t xml:space="preserve"/>
        </x:is>
      </x:c>
      <x:c r="G515" s="6" t="inlineStr">
        <x:is>
          <x:t xml:space="preserve">6</x:t>
        </x:is>
      </x:c>
      <x:c r="H515" s="5" t="inlineStr">
        <x:is>
          <x:t xml:space="preserve"/>
        </x:is>
      </x:c>
      <x:c r="I515" s="5" t="inlineStr">
        <x:is>
          <x:t xml:space="preserve"/>
        </x:is>
      </x:c>
      <x:c r="J515" s="5" t="inlineStr">
        <x:is>
          <x:t xml:space="preserve"/>
        </x:is>
      </x:c>
      <x:c r="K515" s="5" t="inlineStr">
        <x:is>
          <x:t xml:space="preserve"/>
        </x:is>
      </x:c>
      <x:c r="L515" s="5" t="inlineStr">
        <x:is>
          <x:t xml:space="preserve"/>
        </x:is>
      </x:c>
      <x:c r="M515" s="5" t="inlineStr">
        <x:is>
          <x:t xml:space="preserve"/>
        </x:is>
      </x:c>
      <x:c r="N515" s="5" t="inlineStr">
        <x:is>
          <x:t xml:space="preserve"/>
        </x:is>
      </x:c>
      <x:c r="O515" s="5" t="inlineStr">
        <x:is>
          <x:t xml:space="preserve"/>
        </x:is>
      </x:c>
      <x:c r="P515" s="5" t="inlineStr">
        <x:is>
          <x:t xml:space="preserve"/>
        </x:is>
      </x:c>
      <x:c r="Q515" s="5" t="inlineStr">
        <x:is>
          <x:t xml:space="preserve"/>
        </x:is>
      </x:c>
      <x:c r="R515" s="5">
        <x:f>IF(OR(F515="",G515=""),"",IF(F515&gt;=0.95*G515,1,0))</x:f>
      </x:c>
      <x:c r="S515" s="7">
        <x:f>IFERROR((I515+J515+K515)/F515,"")</x:f>
      </x:c>
      <x:c r="T515" s="5">
        <x:f>IFERROR(I515+J515+K515,"")</x:f>
        <x:v>0</x:v>
      </x:c>
    </x:row>
    <x:row r="516" ht="22" customHeight="1">
      <x:c r="A516" s="5" t="inlineStr">
        <x:is>
          <x:t xml:space="preserve">P043</x:t>
        </x:is>
      </x:c>
      <x:c r="B516" s="5" t="inlineStr">
        <x:is>
          <x:t xml:space="preserve">8</x:t>
        </x:is>
      </x:c>
      <x:c r="C516" s="5" t="inlineStr">
        <x:is>
          <x:t xml:space="preserve">V12_creativity_constraints</x:t>
        </x:is>
      </x:c>
      <x:c r="D516" s="5" t="inlineStr">
        <x:is>
          <x:t xml:space="preserve">keyword_highlight</x:t>
        </x:is>
      </x:c>
      <x:c r="E516" s="5" t="inlineStr">
        <x:is>
          <x:t xml:space="preserve">audio_on</x:t>
        </x:is>
      </x:c>
      <x:c r="F516" s="6" t="inlineStr">
        <x:is>
          <x:t xml:space="preserve"/>
        </x:is>
      </x:c>
      <x:c r="G516" s="6" t="inlineStr">
        <x:is>
          <x:t xml:space="preserve">6</x:t>
        </x:is>
      </x:c>
      <x:c r="H516" s="5" t="inlineStr">
        <x:is>
          <x:t xml:space="preserve"/>
        </x:is>
      </x:c>
      <x:c r="I516" s="5" t="inlineStr">
        <x:is>
          <x:t xml:space="preserve"/>
        </x:is>
      </x:c>
      <x:c r="J516" s="5" t="inlineStr">
        <x:is>
          <x:t xml:space="preserve"/>
        </x:is>
      </x:c>
      <x:c r="K516" s="5" t="inlineStr">
        <x:is>
          <x:t xml:space="preserve"/>
        </x:is>
      </x:c>
      <x:c r="L516" s="5" t="inlineStr">
        <x:is>
          <x:t xml:space="preserve"/>
        </x:is>
      </x:c>
      <x:c r="M516" s="5" t="inlineStr">
        <x:is>
          <x:t xml:space="preserve"/>
        </x:is>
      </x:c>
      <x:c r="N516" s="5" t="inlineStr">
        <x:is>
          <x:t xml:space="preserve"/>
        </x:is>
      </x:c>
      <x:c r="O516" s="5" t="inlineStr">
        <x:is>
          <x:t xml:space="preserve"/>
        </x:is>
      </x:c>
      <x:c r="P516" s="5" t="inlineStr">
        <x:is>
          <x:t xml:space="preserve"/>
        </x:is>
      </x:c>
      <x:c r="Q516" s="5" t="inlineStr">
        <x:is>
          <x:t xml:space="preserve"/>
        </x:is>
      </x:c>
      <x:c r="R516" s="5">
        <x:f>IF(OR(F516="",G516=""),"",IF(F516&gt;=0.95*G516,1,0))</x:f>
      </x:c>
      <x:c r="S516" s="7">
        <x:f>IFERROR((I516+J516+K516)/F516,"")</x:f>
      </x:c>
      <x:c r="T516" s="5">
        <x:f>IFERROR(I516+J516+K516,"")</x:f>
        <x:v>0</x:v>
      </x:c>
    </x:row>
    <x:row r="517" ht="22" customHeight="1">
      <x:c r="A517" s="5" t="inlineStr">
        <x:is>
          <x:t xml:space="preserve">P043</x:t>
        </x:is>
      </x:c>
      <x:c r="B517" s="5" t="inlineStr">
        <x:is>
          <x:t xml:space="preserve">9</x:t>
        </x:is>
      </x:c>
      <x:c r="C517" s="5" t="inlineStr">
        <x:is>
          <x:t xml:space="preserve">V03_fitness_setup</x:t>
        </x:is>
      </x:c>
      <x:c r="D517" s="5" t="inlineStr">
        <x:is>
          <x:t xml:space="preserve">semantic_compression</x:t>
        </x:is>
      </x:c>
      <x:c r="E517" s="5" t="inlineStr">
        <x:is>
          <x:t xml:space="preserve">muted</x:t>
        </x:is>
      </x:c>
      <x:c r="F517" s="6" t="inlineStr">
        <x:is>
          <x:t xml:space="preserve"/>
        </x:is>
      </x:c>
      <x:c r="G517" s="6" t="inlineStr">
        <x:is>
          <x:t xml:space="preserve">6</x:t>
        </x:is>
      </x:c>
      <x:c r="H517" s="5" t="inlineStr">
        <x:is>
          <x:t xml:space="preserve"/>
        </x:is>
      </x:c>
      <x:c r="I517" s="5" t="inlineStr">
        <x:is>
          <x:t xml:space="preserve"/>
        </x:is>
      </x:c>
      <x:c r="J517" s="5" t="inlineStr">
        <x:is>
          <x:t xml:space="preserve"/>
        </x:is>
      </x:c>
      <x:c r="K517" s="5" t="inlineStr">
        <x:is>
          <x:t xml:space="preserve"/>
        </x:is>
      </x:c>
      <x:c r="L517" s="5" t="inlineStr">
        <x:is>
          <x:t xml:space="preserve"/>
        </x:is>
      </x:c>
      <x:c r="M517" s="5" t="inlineStr">
        <x:is>
          <x:t xml:space="preserve"/>
        </x:is>
      </x:c>
      <x:c r="N517" s="5" t="inlineStr">
        <x:is>
          <x:t xml:space="preserve"/>
        </x:is>
      </x:c>
      <x:c r="O517" s="5" t="inlineStr">
        <x:is>
          <x:t xml:space="preserve"/>
        </x:is>
      </x:c>
      <x:c r="P517" s="5" t="inlineStr">
        <x:is>
          <x:t xml:space="preserve"/>
        </x:is>
      </x:c>
      <x:c r="Q517" s="5" t="inlineStr">
        <x:is>
          <x:t xml:space="preserve"/>
        </x:is>
      </x:c>
      <x:c r="R517" s="5">
        <x:f>IF(OR(F517="",G517=""),"",IF(F517&gt;=0.95*G517,1,0))</x:f>
      </x:c>
      <x:c r="S517" s="7">
        <x:f>IFERROR((I517+J517+K517)/F517,"")</x:f>
      </x:c>
      <x:c r="T517" s="5">
        <x:f>IFERROR(I517+J517+K517,"")</x:f>
        <x:v>0</x:v>
      </x:c>
    </x:row>
    <x:row r="518" ht="22" customHeight="1">
      <x:c r="A518" s="5" t="inlineStr">
        <x:is>
          <x:t xml:space="preserve">P043</x:t>
        </x:is>
      </x:c>
      <x:c r="B518" s="5" t="inlineStr">
        <x:is>
          <x:t xml:space="preserve">10</x:t>
        </x:is>
      </x:c>
      <x:c r="C518" s="5" t="inlineStr">
        <x:is>
          <x:t xml:space="preserve">V08_calendar_system</x:t>
        </x:is>
      </x:c>
      <x:c r="D518" s="5" t="inlineStr">
        <x:is>
          <x:t xml:space="preserve">bcc</x:t>
        </x:is>
      </x:c>
      <x:c r="E518" s="5" t="inlineStr">
        <x:is>
          <x:t xml:space="preserve">audio_on</x:t>
        </x:is>
      </x:c>
      <x:c r="F518" s="6" t="inlineStr">
        <x:is>
          <x:t xml:space="preserve"/>
        </x:is>
      </x:c>
      <x:c r="G518" s="6" t="inlineStr">
        <x:is>
          <x:t xml:space="preserve">6</x:t>
        </x:is>
      </x:c>
      <x:c r="H518" s="5" t="inlineStr">
        <x:is>
          <x:t xml:space="preserve"/>
        </x:is>
      </x:c>
      <x:c r="I518" s="5" t="inlineStr">
        <x:is>
          <x:t xml:space="preserve"/>
        </x:is>
      </x:c>
      <x:c r="J518" s="5" t="inlineStr">
        <x:is>
          <x:t xml:space="preserve"/>
        </x:is>
      </x:c>
      <x:c r="K518" s="5" t="inlineStr">
        <x:is>
          <x:t xml:space="preserve"/>
        </x:is>
      </x:c>
      <x:c r="L518" s="5" t="inlineStr">
        <x:is>
          <x:t xml:space="preserve"/>
        </x:is>
      </x:c>
      <x:c r="M518" s="5" t="inlineStr">
        <x:is>
          <x:t xml:space="preserve"/>
        </x:is>
      </x:c>
      <x:c r="N518" s="5" t="inlineStr">
        <x:is>
          <x:t xml:space="preserve"/>
        </x:is>
      </x:c>
      <x:c r="O518" s="5" t="inlineStr">
        <x:is>
          <x:t xml:space="preserve"/>
        </x:is>
      </x:c>
      <x:c r="P518" s="5" t="inlineStr">
        <x:is>
          <x:t xml:space="preserve"/>
        </x:is>
      </x:c>
      <x:c r="Q518" s="5" t="inlineStr">
        <x:is>
          <x:t xml:space="preserve"/>
        </x:is>
      </x:c>
      <x:c r="R518" s="5">
        <x:f>IF(OR(F518="",G518=""),"",IF(F518&gt;=0.95*G518,1,0))</x:f>
      </x:c>
      <x:c r="S518" s="7">
        <x:f>IFERROR((I518+J518+K518)/F518,"")</x:f>
      </x:c>
      <x:c r="T518" s="5">
        <x:f>IFERROR(I518+J518+K518,"")</x:f>
        <x:v>0</x:v>
      </x:c>
    </x:row>
    <x:row r="519" ht="22" customHeight="1">
      <x:c r="A519" s="5" t="inlineStr">
        <x:is>
          <x:t xml:space="preserve">P043</x:t>
        </x:is>
      </x:c>
      <x:c r="B519" s="5" t="inlineStr">
        <x:is>
          <x:t xml:space="preserve">11</x:t>
        </x:is>
      </x:c>
      <x:c r="C519" s="5" t="inlineStr">
        <x:is>
          <x:t xml:space="preserve">V11_story_burnout</x:t>
        </x:is>
      </x:c>
      <x:c r="D519" s="5" t="inlineStr">
        <x:is>
          <x:t xml:space="preserve">bcc_plus</x:t>
        </x:is>
      </x:c>
      <x:c r="E519" s="5" t="inlineStr">
        <x:is>
          <x:t xml:space="preserve">muted</x:t>
        </x:is>
      </x:c>
      <x:c r="F519" s="6" t="inlineStr">
        <x:is>
          <x:t xml:space="preserve"/>
        </x:is>
      </x:c>
      <x:c r="G519" s="6" t="inlineStr">
        <x:is>
          <x:t xml:space="preserve">6</x:t>
        </x:is>
      </x:c>
      <x:c r="H519" s="5" t="inlineStr">
        <x:is>
          <x:t xml:space="preserve"/>
        </x:is>
      </x:c>
      <x:c r="I519" s="5" t="inlineStr">
        <x:is>
          <x:t xml:space="preserve"/>
        </x:is>
      </x:c>
      <x:c r="J519" s="5" t="inlineStr">
        <x:is>
          <x:t xml:space="preserve"/>
        </x:is>
      </x:c>
      <x:c r="K519" s="5" t="inlineStr">
        <x:is>
          <x:t xml:space="preserve"/>
        </x:is>
      </x:c>
      <x:c r="L519" s="5" t="inlineStr">
        <x:is>
          <x:t xml:space="preserve"/>
        </x:is>
      </x:c>
      <x:c r="M519" s="5" t="inlineStr">
        <x:is>
          <x:t xml:space="preserve"/>
        </x:is>
      </x:c>
      <x:c r="N519" s="5" t="inlineStr">
        <x:is>
          <x:t xml:space="preserve"/>
        </x:is>
      </x:c>
      <x:c r="O519" s="5" t="inlineStr">
        <x:is>
          <x:t xml:space="preserve"/>
        </x:is>
      </x:c>
      <x:c r="P519" s="5" t="inlineStr">
        <x:is>
          <x:t xml:space="preserve"/>
        </x:is>
      </x:c>
      <x:c r="Q519" s="5" t="inlineStr">
        <x:is>
          <x:t xml:space="preserve"/>
        </x:is>
      </x:c>
      <x:c r="R519" s="5">
        <x:f>IF(OR(F519="",G519=""),"",IF(F519&gt;=0.95*G519,1,0))</x:f>
      </x:c>
      <x:c r="S519" s="7">
        <x:f>IFERROR((I519+J519+K519)/F519,"")</x:f>
      </x:c>
      <x:c r="T519" s="5">
        <x:f>IFERROR(I519+J519+K519,"")</x:f>
        <x:v>0</x:v>
      </x:c>
    </x:row>
    <x:row r="520" ht="22" customHeight="1">
      <x:c r="A520" s="5" t="inlineStr">
        <x:is>
          <x:t xml:space="preserve">P043</x:t>
        </x:is>
      </x:c>
      <x:c r="B520" s="5" t="inlineStr">
        <x:is>
          <x:t xml:space="preserve">12</x:t>
        </x:is>
      </x:c>
      <x:c r="C520" s="5" t="inlineStr">
        <x:is>
          <x:t xml:space="preserve">V10_tutorial_ui</x:t>
        </x:is>
      </x:c>
      <x:c r="D520" s="5" t="inlineStr">
        <x:is>
          <x:t xml:space="preserve">heavy_bionic</x:t>
        </x:is>
      </x:c>
      <x:c r="E520" s="5" t="inlineStr">
        <x:is>
          <x:t xml:space="preserve">audio_on</x:t>
        </x:is>
      </x:c>
      <x:c r="F520" s="6" t="inlineStr">
        <x:is>
          <x:t xml:space="preserve"/>
        </x:is>
      </x:c>
      <x:c r="G520" s="6" t="inlineStr">
        <x:is>
          <x:t xml:space="preserve">6</x:t>
        </x:is>
      </x:c>
      <x:c r="H520" s="5" t="inlineStr">
        <x:is>
          <x:t xml:space="preserve"/>
        </x:is>
      </x:c>
      <x:c r="I520" s="5" t="inlineStr">
        <x:is>
          <x:t xml:space="preserve"/>
        </x:is>
      </x:c>
      <x:c r="J520" s="5" t="inlineStr">
        <x:is>
          <x:t xml:space="preserve"/>
        </x:is>
      </x:c>
      <x:c r="K520" s="5" t="inlineStr">
        <x:is>
          <x:t xml:space="preserve"/>
        </x:is>
      </x:c>
      <x:c r="L520" s="5" t="inlineStr">
        <x:is>
          <x:t xml:space="preserve"/>
        </x:is>
      </x:c>
      <x:c r="M520" s="5" t="inlineStr">
        <x:is>
          <x:t xml:space="preserve"/>
        </x:is>
      </x:c>
      <x:c r="N520" s="5" t="inlineStr">
        <x:is>
          <x:t xml:space="preserve"/>
        </x:is>
      </x:c>
      <x:c r="O520" s="5" t="inlineStr">
        <x:is>
          <x:t xml:space="preserve"/>
        </x:is>
      </x:c>
      <x:c r="P520" s="5" t="inlineStr">
        <x:is>
          <x:t xml:space="preserve"/>
        </x:is>
      </x:c>
      <x:c r="Q520" s="5" t="inlineStr">
        <x:is>
          <x:t xml:space="preserve"/>
        </x:is>
      </x:c>
      <x:c r="R520" s="5">
        <x:f>IF(OR(F520="",G520=""),"",IF(F520&gt;=0.95*G520,1,0))</x:f>
      </x:c>
      <x:c r="S520" s="7">
        <x:f>IFERROR((I520+J520+K520)/F520,"")</x:f>
      </x:c>
      <x:c r="T520" s="5">
        <x:f>IFERROR(I520+J520+K520,"")</x:f>
        <x:v>0</x:v>
      </x:c>
    </x:row>
    <x:row r="521" ht="22" customHeight="1">
      <x:c r="A521" s="5" t="inlineStr">
        <x:is>
          <x:t xml:space="preserve">P044</x:t>
        </x:is>
      </x:c>
      <x:c r="B521" s="5" t="inlineStr">
        <x:is>
          <x:t xml:space="preserve">1</x:t>
        </x:is>
      </x:c>
      <x:c r="C521" s="5" t="inlineStr">
        <x:is>
          <x:t xml:space="preserve">V07_business_clarity</x:t>
        </x:is>
      </x:c>
      <x:c r="D521" s="5" t="inlineStr">
        <x:is>
          <x:t xml:space="preserve">keyword_highlight</x:t>
        </x:is>
      </x:c>
      <x:c r="E521" s="5" t="inlineStr">
        <x:is>
          <x:t xml:space="preserve">audio_on</x:t>
        </x:is>
      </x:c>
      <x:c r="F521" s="6" t="inlineStr">
        <x:is>
          <x:t xml:space="preserve"/>
        </x:is>
      </x:c>
      <x:c r="G521" s="6" t="inlineStr">
        <x:is>
          <x:t xml:space="preserve">6</x:t>
        </x:is>
      </x:c>
      <x:c r="H521" s="5" t="inlineStr">
        <x:is>
          <x:t xml:space="preserve"/>
        </x:is>
      </x:c>
      <x:c r="I521" s="5" t="inlineStr">
        <x:is>
          <x:t xml:space="preserve"/>
        </x:is>
      </x:c>
      <x:c r="J521" s="5" t="inlineStr">
        <x:is>
          <x:t xml:space="preserve"/>
        </x:is>
      </x:c>
      <x:c r="K521" s="5" t="inlineStr">
        <x:is>
          <x:t xml:space="preserve"/>
        </x:is>
      </x:c>
      <x:c r="L521" s="5" t="inlineStr">
        <x:is>
          <x:t xml:space="preserve"/>
        </x:is>
      </x:c>
      <x:c r="M521" s="5" t="inlineStr">
        <x:is>
          <x:t xml:space="preserve"/>
        </x:is>
      </x:c>
      <x:c r="N521" s="5" t="inlineStr">
        <x:is>
          <x:t xml:space="preserve"/>
        </x:is>
      </x:c>
      <x:c r="O521" s="5" t="inlineStr">
        <x:is>
          <x:t xml:space="preserve"/>
        </x:is>
      </x:c>
      <x:c r="P521" s="5" t="inlineStr">
        <x:is>
          <x:t xml:space="preserve"/>
        </x:is>
      </x:c>
      <x:c r="Q521" s="5" t="inlineStr">
        <x:is>
          <x:t xml:space="preserve"/>
        </x:is>
      </x:c>
      <x:c r="R521" s="5">
        <x:f>IF(OR(F521="",G521=""),"",IF(F521&gt;=0.95*G521,1,0))</x:f>
      </x:c>
      <x:c r="S521" s="7">
        <x:f>IFERROR((I521+J521+K521)/F521,"")</x:f>
      </x:c>
      <x:c r="T521" s="5">
        <x:f>IFERROR(I521+J521+K521,"")</x:f>
        <x:v>0</x:v>
      </x:c>
    </x:row>
    <x:row r="522" ht="22" customHeight="1">
      <x:c r="A522" s="5" t="inlineStr">
        <x:is>
          <x:t xml:space="preserve">P044</x:t>
        </x:is>
      </x:c>
      <x:c r="B522" s="5" t="inlineStr">
        <x:is>
          <x:t xml:space="preserve">2</x:t>
        </x:is>
      </x:c>
      <x:c r="C522" s="5" t="inlineStr">
        <x:is>
          <x:t xml:space="preserve">V08_calendar_system</x:t>
        </x:is>
      </x:c>
      <x:c r="D522" s="5" t="inlineStr">
        <x:is>
          <x:t xml:space="preserve">semantic_compression</x:t>
        </x:is>
      </x:c>
      <x:c r="E522" s="5" t="inlineStr">
        <x:is>
          <x:t xml:space="preserve">muted</x:t>
        </x:is>
      </x:c>
      <x:c r="F522" s="6" t="inlineStr">
        <x:is>
          <x:t xml:space="preserve"/>
        </x:is>
      </x:c>
      <x:c r="G522" s="6" t="inlineStr">
        <x:is>
          <x:t xml:space="preserve">6</x:t>
        </x:is>
      </x:c>
      <x:c r="H522" s="5" t="inlineStr">
        <x:is>
          <x:t xml:space="preserve"/>
        </x:is>
      </x:c>
      <x:c r="I522" s="5" t="inlineStr">
        <x:is>
          <x:t xml:space="preserve"/>
        </x:is>
      </x:c>
      <x:c r="J522" s="5" t="inlineStr">
        <x:is>
          <x:t xml:space="preserve"/>
        </x:is>
      </x:c>
      <x:c r="K522" s="5" t="inlineStr">
        <x:is>
          <x:t xml:space="preserve"/>
        </x:is>
      </x:c>
      <x:c r="L522" s="5" t="inlineStr">
        <x:is>
          <x:t xml:space="preserve"/>
        </x:is>
      </x:c>
      <x:c r="M522" s="5" t="inlineStr">
        <x:is>
          <x:t xml:space="preserve"/>
        </x:is>
      </x:c>
      <x:c r="N522" s="5" t="inlineStr">
        <x:is>
          <x:t xml:space="preserve"/>
        </x:is>
      </x:c>
      <x:c r="O522" s="5" t="inlineStr">
        <x:is>
          <x:t xml:space="preserve"/>
        </x:is>
      </x:c>
      <x:c r="P522" s="5" t="inlineStr">
        <x:is>
          <x:t xml:space="preserve"/>
        </x:is>
      </x:c>
      <x:c r="Q522" s="5" t="inlineStr">
        <x:is>
          <x:t xml:space="preserve"/>
        </x:is>
      </x:c>
      <x:c r="R522" s="5">
        <x:f>IF(OR(F522="",G522=""),"",IF(F522&gt;=0.95*G522,1,0))</x:f>
      </x:c>
      <x:c r="S522" s="7">
        <x:f>IFERROR((I522+J522+K522)/F522,"")</x:f>
      </x:c>
      <x:c r="T522" s="5">
        <x:f>IFERROR(I522+J522+K522,"")</x:f>
        <x:v>0</x:v>
      </x:c>
    </x:row>
    <x:row r="523" ht="22" customHeight="1">
      <x:c r="A523" s="5" t="inlineStr">
        <x:is>
          <x:t xml:space="preserve">P044</x:t>
        </x:is>
      </x:c>
      <x:c r="B523" s="5" t="inlineStr">
        <x:is>
          <x:t xml:space="preserve">3</x:t>
        </x:is>
      </x:c>
      <x:c r="C523" s="5" t="inlineStr">
        <x:is>
          <x:t xml:space="preserve">V06_overload_open_loops</x:t>
        </x:is>
      </x:c>
      <x:c r="D523" s="5" t="inlineStr">
        <x:is>
          <x:t xml:space="preserve">bcc</x:t>
        </x:is>
      </x:c>
      <x:c r="E523" s="5" t="inlineStr">
        <x:is>
          <x:t xml:space="preserve">audio_on</x:t>
        </x:is>
      </x:c>
      <x:c r="F523" s="6" t="inlineStr">
        <x:is>
          <x:t xml:space="preserve"/>
        </x:is>
      </x:c>
      <x:c r="G523" s="6" t="inlineStr">
        <x:is>
          <x:t xml:space="preserve">6</x:t>
        </x:is>
      </x:c>
      <x:c r="H523" s="5" t="inlineStr">
        <x:is>
          <x:t xml:space="preserve"/>
        </x:is>
      </x:c>
      <x:c r="I523" s="5" t="inlineStr">
        <x:is>
          <x:t xml:space="preserve"/>
        </x:is>
      </x:c>
      <x:c r="J523" s="5" t="inlineStr">
        <x:is>
          <x:t xml:space="preserve"/>
        </x:is>
      </x:c>
      <x:c r="K523" s="5" t="inlineStr">
        <x:is>
          <x:t xml:space="preserve"/>
        </x:is>
      </x:c>
      <x:c r="L523" s="5" t="inlineStr">
        <x:is>
          <x:t xml:space="preserve"/>
        </x:is>
      </x:c>
      <x:c r="M523" s="5" t="inlineStr">
        <x:is>
          <x:t xml:space="preserve"/>
        </x:is>
      </x:c>
      <x:c r="N523" s="5" t="inlineStr">
        <x:is>
          <x:t xml:space="preserve"/>
        </x:is>
      </x:c>
      <x:c r="O523" s="5" t="inlineStr">
        <x:is>
          <x:t xml:space="preserve"/>
        </x:is>
      </x:c>
      <x:c r="P523" s="5" t="inlineStr">
        <x:is>
          <x:t xml:space="preserve"/>
        </x:is>
      </x:c>
      <x:c r="Q523" s="5" t="inlineStr">
        <x:is>
          <x:t xml:space="preserve"/>
        </x:is>
      </x:c>
      <x:c r="R523" s="5">
        <x:f>IF(OR(F523="",G523=""),"",IF(F523&gt;=0.95*G523,1,0))</x:f>
      </x:c>
      <x:c r="S523" s="7">
        <x:f>IFERROR((I523+J523+K523)/F523,"")</x:f>
      </x:c>
      <x:c r="T523" s="5">
        <x:f>IFERROR(I523+J523+K523,"")</x:f>
        <x:v>0</x:v>
      </x:c>
    </x:row>
    <x:row r="524" ht="22" customHeight="1">
      <x:c r="A524" s="5" t="inlineStr">
        <x:is>
          <x:t xml:space="preserve">P044</x:t>
        </x:is>
      </x:c>
      <x:c r="B524" s="5" t="inlineStr">
        <x:is>
          <x:t xml:space="preserve">4</x:t>
        </x:is>
      </x:c>
      <x:c r="C524" s="5" t="inlineStr">
        <x:is>
          <x:t xml:space="preserve">V05_coding_assumptions</x:t>
        </x:is>
      </x:c>
      <x:c r="D524" s="5" t="inlineStr">
        <x:is>
          <x:t xml:space="preserve">bcc_plus</x:t>
        </x:is>
      </x:c>
      <x:c r="E524" s="5" t="inlineStr">
        <x:is>
          <x:t xml:space="preserve">muted</x:t>
        </x:is>
      </x:c>
      <x:c r="F524" s="6" t="inlineStr">
        <x:is>
          <x:t xml:space="preserve"/>
        </x:is>
      </x:c>
      <x:c r="G524" s="6" t="inlineStr">
        <x:is>
          <x:t xml:space="preserve">6</x:t>
        </x:is>
      </x:c>
      <x:c r="H524" s="5" t="inlineStr">
        <x:is>
          <x:t xml:space="preserve"/>
        </x:is>
      </x:c>
      <x:c r="I524" s="5" t="inlineStr">
        <x:is>
          <x:t xml:space="preserve"/>
        </x:is>
      </x:c>
      <x:c r="J524" s="5" t="inlineStr">
        <x:is>
          <x:t xml:space="preserve"/>
        </x:is>
      </x:c>
      <x:c r="K524" s="5" t="inlineStr">
        <x:is>
          <x:t xml:space="preserve"/>
        </x:is>
      </x:c>
      <x:c r="L524" s="5" t="inlineStr">
        <x:is>
          <x:t xml:space="preserve"/>
        </x:is>
      </x:c>
      <x:c r="M524" s="5" t="inlineStr">
        <x:is>
          <x:t xml:space="preserve"/>
        </x:is>
      </x:c>
      <x:c r="N524" s="5" t="inlineStr">
        <x:is>
          <x:t xml:space="preserve"/>
        </x:is>
      </x:c>
      <x:c r="O524" s="5" t="inlineStr">
        <x:is>
          <x:t xml:space="preserve"/>
        </x:is>
      </x:c>
      <x:c r="P524" s="5" t="inlineStr">
        <x:is>
          <x:t xml:space="preserve"/>
        </x:is>
      </x:c>
      <x:c r="Q524" s="5" t="inlineStr">
        <x:is>
          <x:t xml:space="preserve"/>
        </x:is>
      </x:c>
      <x:c r="R524" s="5">
        <x:f>IF(OR(F524="",G524=""),"",IF(F524&gt;=0.95*G524,1,0))</x:f>
      </x:c>
      <x:c r="S524" s="7">
        <x:f>IFERROR((I524+J524+K524)/F524,"")</x:f>
      </x:c>
      <x:c r="T524" s="5">
        <x:f>IFERROR(I524+J524+K524,"")</x:f>
        <x:v>0</x:v>
      </x:c>
    </x:row>
    <x:row r="525" ht="22" customHeight="1">
      <x:c r="A525" s="5" t="inlineStr">
        <x:is>
          <x:t xml:space="preserve">P044</x:t>
        </x:is>
      </x:c>
      <x:c r="B525" s="5" t="inlineStr">
        <x:is>
          <x:t xml:space="preserve">5</x:t>
        </x:is>
      </x:c>
      <x:c r="C525" s="5" t="inlineStr">
        <x:is>
          <x:t xml:space="preserve">V09_nutrition_satiety</x:t>
        </x:is>
      </x:c>
      <x:c r="D525" s="5" t="inlineStr">
        <x:is>
          <x:t xml:space="preserve">heavy_bionic</x:t>
        </x:is>
      </x:c>
      <x:c r="E525" s="5" t="inlineStr">
        <x:is>
          <x:t xml:space="preserve">audio_on</x:t>
        </x:is>
      </x:c>
      <x:c r="F525" s="6" t="inlineStr">
        <x:is>
          <x:t xml:space="preserve"/>
        </x:is>
      </x:c>
      <x:c r="G525" s="6" t="inlineStr">
        <x:is>
          <x:t xml:space="preserve">6</x:t>
        </x:is>
      </x:c>
      <x:c r="H525" s="5" t="inlineStr">
        <x:is>
          <x:t xml:space="preserve"/>
        </x:is>
      </x:c>
      <x:c r="I525" s="5" t="inlineStr">
        <x:is>
          <x:t xml:space="preserve"/>
        </x:is>
      </x:c>
      <x:c r="J525" s="5" t="inlineStr">
        <x:is>
          <x:t xml:space="preserve"/>
        </x:is>
      </x:c>
      <x:c r="K525" s="5" t="inlineStr">
        <x:is>
          <x:t xml:space="preserve"/>
        </x:is>
      </x:c>
      <x:c r="L525" s="5" t="inlineStr">
        <x:is>
          <x:t xml:space="preserve"/>
        </x:is>
      </x:c>
      <x:c r="M525" s="5" t="inlineStr">
        <x:is>
          <x:t xml:space="preserve"/>
        </x:is>
      </x:c>
      <x:c r="N525" s="5" t="inlineStr">
        <x:is>
          <x:t xml:space="preserve"/>
        </x:is>
      </x:c>
      <x:c r="O525" s="5" t="inlineStr">
        <x:is>
          <x:t xml:space="preserve"/>
        </x:is>
      </x:c>
      <x:c r="P525" s="5" t="inlineStr">
        <x:is>
          <x:t xml:space="preserve"/>
        </x:is>
      </x:c>
      <x:c r="Q525" s="5" t="inlineStr">
        <x:is>
          <x:t xml:space="preserve"/>
        </x:is>
      </x:c>
      <x:c r="R525" s="5">
        <x:f>IF(OR(F525="",G525=""),"",IF(F525&gt;=0.95*G525,1,0))</x:f>
      </x:c>
      <x:c r="S525" s="7">
        <x:f>IFERROR((I525+J525+K525)/F525,"")</x:f>
      </x:c>
      <x:c r="T525" s="5">
        <x:f>IFERROR(I525+J525+K525,"")</x:f>
        <x:v>0</x:v>
      </x:c>
    </x:row>
    <x:row r="526" ht="22" customHeight="1">
      <x:c r="A526" s="5" t="inlineStr">
        <x:is>
          <x:t xml:space="preserve">P044</x:t>
        </x:is>
      </x:c>
      <x:c r="B526" s="5" t="inlineStr">
        <x:is>
          <x:t xml:space="preserve">6</x:t>
        </x:is>
      </x:c>
      <x:c r="C526" s="5" t="inlineStr">
        <x:is>
          <x:t xml:space="preserve">V10_tutorial_ui</x:t>
        </x:is>
      </x:c>
      <x:c r="D526" s="5" t="inlineStr">
        <x:is>
          <x:t xml:space="preserve">full_transcript</x:t>
        </x:is>
      </x:c>
      <x:c r="E526" s="5" t="inlineStr">
        <x:is>
          <x:t xml:space="preserve">muted</x:t>
        </x:is>
      </x:c>
      <x:c r="F526" s="6" t="inlineStr">
        <x:is>
          <x:t xml:space="preserve"/>
        </x:is>
      </x:c>
      <x:c r="G526" s="6" t="inlineStr">
        <x:is>
          <x:t xml:space="preserve">6</x:t>
        </x:is>
      </x:c>
      <x:c r="H526" s="5" t="inlineStr">
        <x:is>
          <x:t xml:space="preserve"/>
        </x:is>
      </x:c>
      <x:c r="I526" s="5" t="inlineStr">
        <x:is>
          <x:t xml:space="preserve"/>
        </x:is>
      </x:c>
      <x:c r="J526" s="5" t="inlineStr">
        <x:is>
          <x:t xml:space="preserve"/>
        </x:is>
      </x:c>
      <x:c r="K526" s="5" t="inlineStr">
        <x:is>
          <x:t xml:space="preserve"/>
        </x:is>
      </x:c>
      <x:c r="L526" s="5" t="inlineStr">
        <x:is>
          <x:t xml:space="preserve"/>
        </x:is>
      </x:c>
      <x:c r="M526" s="5" t="inlineStr">
        <x:is>
          <x:t xml:space="preserve"/>
        </x:is>
      </x:c>
      <x:c r="N526" s="5" t="inlineStr">
        <x:is>
          <x:t xml:space="preserve"/>
        </x:is>
      </x:c>
      <x:c r="O526" s="5" t="inlineStr">
        <x:is>
          <x:t xml:space="preserve"/>
        </x:is>
      </x:c>
      <x:c r="P526" s="5" t="inlineStr">
        <x:is>
          <x:t xml:space="preserve"/>
        </x:is>
      </x:c>
      <x:c r="Q526" s="5" t="inlineStr">
        <x:is>
          <x:t xml:space="preserve"/>
        </x:is>
      </x:c>
      <x:c r="R526" s="5">
        <x:f>IF(OR(F526="",G526=""),"",IF(F526&gt;=0.95*G526,1,0))</x:f>
      </x:c>
      <x:c r="S526" s="7">
        <x:f>IFERROR((I526+J526+K526)/F526,"")</x:f>
      </x:c>
      <x:c r="T526" s="5">
        <x:f>IFERROR(I526+J526+K526,"")</x:f>
        <x:v>0</x:v>
      </x:c>
    </x:row>
    <x:row r="527" ht="22" customHeight="1">
      <x:c r="A527" s="5" t="inlineStr">
        <x:is>
          <x:t xml:space="preserve">P044</x:t>
        </x:is>
      </x:c>
      <x:c r="B527" s="5" t="inlineStr">
        <x:is>
          <x:t xml:space="preserve">7</x:t>
        </x:is>
      </x:c>
      <x:c r="C527" s="5" t="inlineStr">
        <x:is>
          <x:t xml:space="preserve">V02_study_recall</x:t>
        </x:is>
      </x:c>
      <x:c r="D527" s="5" t="inlineStr">
        <x:is>
          <x:t xml:space="preserve">keyword_highlight</x:t>
        </x:is>
      </x:c>
      <x:c r="E527" s="5" t="inlineStr">
        <x:is>
          <x:t xml:space="preserve">audio_on</x:t>
        </x:is>
      </x:c>
      <x:c r="F527" s="6" t="inlineStr">
        <x:is>
          <x:t xml:space="preserve"/>
        </x:is>
      </x:c>
      <x:c r="G527" s="6" t="inlineStr">
        <x:is>
          <x:t xml:space="preserve">6</x:t>
        </x:is>
      </x:c>
      <x:c r="H527" s="5" t="inlineStr">
        <x:is>
          <x:t xml:space="preserve"/>
        </x:is>
      </x:c>
      <x:c r="I527" s="5" t="inlineStr">
        <x:is>
          <x:t xml:space="preserve"/>
        </x:is>
      </x:c>
      <x:c r="J527" s="5" t="inlineStr">
        <x:is>
          <x:t xml:space="preserve"/>
        </x:is>
      </x:c>
      <x:c r="K527" s="5" t="inlineStr">
        <x:is>
          <x:t xml:space="preserve"/>
        </x:is>
      </x:c>
      <x:c r="L527" s="5" t="inlineStr">
        <x:is>
          <x:t xml:space="preserve"/>
        </x:is>
      </x:c>
      <x:c r="M527" s="5" t="inlineStr">
        <x:is>
          <x:t xml:space="preserve"/>
        </x:is>
      </x:c>
      <x:c r="N527" s="5" t="inlineStr">
        <x:is>
          <x:t xml:space="preserve"/>
        </x:is>
      </x:c>
      <x:c r="O527" s="5" t="inlineStr">
        <x:is>
          <x:t xml:space="preserve"/>
        </x:is>
      </x:c>
      <x:c r="P527" s="5" t="inlineStr">
        <x:is>
          <x:t xml:space="preserve"/>
        </x:is>
      </x:c>
      <x:c r="Q527" s="5" t="inlineStr">
        <x:is>
          <x:t xml:space="preserve"/>
        </x:is>
      </x:c>
      <x:c r="R527" s="5">
        <x:f>IF(OR(F527="",G527=""),"",IF(F527&gt;=0.95*G527,1,0))</x:f>
      </x:c>
      <x:c r="S527" s="7">
        <x:f>IFERROR((I527+J527+K527)/F527,"")</x:f>
      </x:c>
      <x:c r="T527" s="5">
        <x:f>IFERROR(I527+J527+K527,"")</x:f>
        <x:v>0</x:v>
      </x:c>
    </x:row>
    <x:row r="528" ht="22" customHeight="1">
      <x:c r="A528" s="5" t="inlineStr">
        <x:is>
          <x:t xml:space="preserve">P044</x:t>
        </x:is>
      </x:c>
      <x:c r="B528" s="5" t="inlineStr">
        <x:is>
          <x:t xml:space="preserve">8</x:t>
        </x:is>
      </x:c>
      <x:c r="C528" s="5" t="inlineStr">
        <x:is>
          <x:t xml:space="preserve">V12_creativity_constraints</x:t>
        </x:is>
      </x:c>
      <x:c r="D528" s="5" t="inlineStr">
        <x:is>
          <x:t xml:space="preserve">semantic_compression</x:t>
        </x:is>
      </x:c>
      <x:c r="E528" s="5" t="inlineStr">
        <x:is>
          <x:t xml:space="preserve">muted</x:t>
        </x:is>
      </x:c>
      <x:c r="F528" s="6" t="inlineStr">
        <x:is>
          <x:t xml:space="preserve"/>
        </x:is>
      </x:c>
      <x:c r="G528" s="6" t="inlineStr">
        <x:is>
          <x:t xml:space="preserve">6</x:t>
        </x:is>
      </x:c>
      <x:c r="H528" s="5" t="inlineStr">
        <x:is>
          <x:t xml:space="preserve"/>
        </x:is>
      </x:c>
      <x:c r="I528" s="5" t="inlineStr">
        <x:is>
          <x:t xml:space="preserve"/>
        </x:is>
      </x:c>
      <x:c r="J528" s="5" t="inlineStr">
        <x:is>
          <x:t xml:space="preserve"/>
        </x:is>
      </x:c>
      <x:c r="K528" s="5" t="inlineStr">
        <x:is>
          <x:t xml:space="preserve"/>
        </x:is>
      </x:c>
      <x:c r="L528" s="5" t="inlineStr">
        <x:is>
          <x:t xml:space="preserve"/>
        </x:is>
      </x:c>
      <x:c r="M528" s="5" t="inlineStr">
        <x:is>
          <x:t xml:space="preserve"/>
        </x:is>
      </x:c>
      <x:c r="N528" s="5" t="inlineStr">
        <x:is>
          <x:t xml:space="preserve"/>
        </x:is>
      </x:c>
      <x:c r="O528" s="5" t="inlineStr">
        <x:is>
          <x:t xml:space="preserve"/>
        </x:is>
      </x:c>
      <x:c r="P528" s="5" t="inlineStr">
        <x:is>
          <x:t xml:space="preserve"/>
        </x:is>
      </x:c>
      <x:c r="Q528" s="5" t="inlineStr">
        <x:is>
          <x:t xml:space="preserve"/>
        </x:is>
      </x:c>
      <x:c r="R528" s="5">
        <x:f>IF(OR(F528="",G528=""),"",IF(F528&gt;=0.95*G528,1,0))</x:f>
      </x:c>
      <x:c r="S528" s="7">
        <x:f>IFERROR((I528+J528+K528)/F528,"")</x:f>
      </x:c>
      <x:c r="T528" s="5">
        <x:f>IFERROR(I528+J528+K528,"")</x:f>
        <x:v>0</x:v>
      </x:c>
    </x:row>
    <x:row r="529" ht="22" customHeight="1">
      <x:c r="A529" s="5" t="inlineStr">
        <x:is>
          <x:t xml:space="preserve">P044</x:t>
        </x:is>
      </x:c>
      <x:c r="B529" s="5" t="inlineStr">
        <x:is>
          <x:t xml:space="preserve">9</x:t>
        </x:is>
      </x:c>
      <x:c r="C529" s="5" t="inlineStr">
        <x:is>
          <x:t xml:space="preserve">V04_money_visibility</x:t>
        </x:is>
      </x:c>
      <x:c r="D529" s="5" t="inlineStr">
        <x:is>
          <x:t xml:space="preserve">bcc</x:t>
        </x:is>
      </x:c>
      <x:c r="E529" s="5" t="inlineStr">
        <x:is>
          <x:t xml:space="preserve">audio_on</x:t>
        </x:is>
      </x:c>
      <x:c r="F529" s="6" t="inlineStr">
        <x:is>
          <x:t xml:space="preserve"/>
        </x:is>
      </x:c>
      <x:c r="G529" s="6" t="inlineStr">
        <x:is>
          <x:t xml:space="preserve">6</x:t>
        </x:is>
      </x:c>
      <x:c r="H529" s="5" t="inlineStr">
        <x:is>
          <x:t xml:space="preserve"/>
        </x:is>
      </x:c>
      <x:c r="I529" s="5" t="inlineStr">
        <x:is>
          <x:t xml:space="preserve"/>
        </x:is>
      </x:c>
      <x:c r="J529" s="5" t="inlineStr">
        <x:is>
          <x:t xml:space="preserve"/>
        </x:is>
      </x:c>
      <x:c r="K529" s="5" t="inlineStr">
        <x:is>
          <x:t xml:space="preserve"/>
        </x:is>
      </x:c>
      <x:c r="L529" s="5" t="inlineStr">
        <x:is>
          <x:t xml:space="preserve"/>
        </x:is>
      </x:c>
      <x:c r="M529" s="5" t="inlineStr">
        <x:is>
          <x:t xml:space="preserve"/>
        </x:is>
      </x:c>
      <x:c r="N529" s="5" t="inlineStr">
        <x:is>
          <x:t xml:space="preserve"/>
        </x:is>
      </x:c>
      <x:c r="O529" s="5" t="inlineStr">
        <x:is>
          <x:t xml:space="preserve"/>
        </x:is>
      </x:c>
      <x:c r="P529" s="5" t="inlineStr">
        <x:is>
          <x:t xml:space="preserve"/>
        </x:is>
      </x:c>
      <x:c r="Q529" s="5" t="inlineStr">
        <x:is>
          <x:t xml:space="preserve"/>
        </x:is>
      </x:c>
      <x:c r="R529" s="5">
        <x:f>IF(OR(F529="",G529=""),"",IF(F529&gt;=0.95*G529,1,0))</x:f>
      </x:c>
      <x:c r="S529" s="7">
        <x:f>IFERROR((I529+J529+K529)/F529,"")</x:f>
      </x:c>
      <x:c r="T529" s="5">
        <x:f>IFERROR(I529+J529+K529,"")</x:f>
        <x:v>0</x:v>
      </x:c>
    </x:row>
    <x:row r="530" ht="22" customHeight="1">
      <x:c r="A530" s="5" t="inlineStr">
        <x:is>
          <x:t xml:space="preserve">P044</x:t>
        </x:is>
      </x:c>
      <x:c r="B530" s="5" t="inlineStr">
        <x:is>
          <x:t xml:space="preserve">10</x:t>
        </x:is>
      </x:c>
      <x:c r="C530" s="5" t="inlineStr">
        <x:is>
          <x:t xml:space="preserve">V11_story_burnout</x:t>
        </x:is>
      </x:c>
      <x:c r="D530" s="5" t="inlineStr">
        <x:is>
          <x:t xml:space="preserve">bcc_plus</x:t>
        </x:is>
      </x:c>
      <x:c r="E530" s="5" t="inlineStr">
        <x:is>
          <x:t xml:space="preserve">muted</x:t>
        </x:is>
      </x:c>
      <x:c r="F530" s="6" t="inlineStr">
        <x:is>
          <x:t xml:space="preserve"/>
        </x:is>
      </x:c>
      <x:c r="G530" s="6" t="inlineStr">
        <x:is>
          <x:t xml:space="preserve">6</x:t>
        </x:is>
      </x:c>
      <x:c r="H530" s="5" t="inlineStr">
        <x:is>
          <x:t xml:space="preserve"/>
        </x:is>
      </x:c>
      <x:c r="I530" s="5" t="inlineStr">
        <x:is>
          <x:t xml:space="preserve"/>
        </x:is>
      </x:c>
      <x:c r="J530" s="5" t="inlineStr">
        <x:is>
          <x:t xml:space="preserve"/>
        </x:is>
      </x:c>
      <x:c r="K530" s="5" t="inlineStr">
        <x:is>
          <x:t xml:space="preserve"/>
        </x:is>
      </x:c>
      <x:c r="L530" s="5" t="inlineStr">
        <x:is>
          <x:t xml:space="preserve"/>
        </x:is>
      </x:c>
      <x:c r="M530" s="5" t="inlineStr">
        <x:is>
          <x:t xml:space="preserve"/>
        </x:is>
      </x:c>
      <x:c r="N530" s="5" t="inlineStr">
        <x:is>
          <x:t xml:space="preserve"/>
        </x:is>
      </x:c>
      <x:c r="O530" s="5" t="inlineStr">
        <x:is>
          <x:t xml:space="preserve"/>
        </x:is>
      </x:c>
      <x:c r="P530" s="5" t="inlineStr">
        <x:is>
          <x:t xml:space="preserve"/>
        </x:is>
      </x:c>
      <x:c r="Q530" s="5" t="inlineStr">
        <x:is>
          <x:t xml:space="preserve"/>
        </x:is>
      </x:c>
      <x:c r="R530" s="5">
        <x:f>IF(OR(F530="",G530=""),"",IF(F530&gt;=0.95*G530,1,0))</x:f>
      </x:c>
      <x:c r="S530" s="7">
        <x:f>IFERROR((I530+J530+K530)/F530,"")</x:f>
      </x:c>
      <x:c r="T530" s="5">
        <x:f>IFERROR(I530+J530+K530,"")</x:f>
        <x:v>0</x:v>
      </x:c>
    </x:row>
    <x:row r="531" ht="22" customHeight="1">
      <x:c r="A531" s="5" t="inlineStr">
        <x:is>
          <x:t xml:space="preserve">P044</x:t>
        </x:is>
      </x:c>
      <x:c r="B531" s="5" t="inlineStr">
        <x:is>
          <x:t xml:space="preserve">11</x:t>
        </x:is>
      </x:c>
      <x:c r="C531" s="5" t="inlineStr">
        <x:is>
          <x:t xml:space="preserve">V01_productivity_friction</x:t>
        </x:is>
      </x:c>
      <x:c r="D531" s="5" t="inlineStr">
        <x:is>
          <x:t xml:space="preserve">heavy_bionic</x:t>
        </x:is>
      </x:c>
      <x:c r="E531" s="5" t="inlineStr">
        <x:is>
          <x:t xml:space="preserve">audio_on</x:t>
        </x:is>
      </x:c>
      <x:c r="F531" s="6" t="inlineStr">
        <x:is>
          <x:t xml:space="preserve"/>
        </x:is>
      </x:c>
      <x:c r="G531" s="6" t="inlineStr">
        <x:is>
          <x:t xml:space="preserve">6</x:t>
        </x:is>
      </x:c>
      <x:c r="H531" s="5" t="inlineStr">
        <x:is>
          <x:t xml:space="preserve"/>
        </x:is>
      </x:c>
      <x:c r="I531" s="5" t="inlineStr">
        <x:is>
          <x:t xml:space="preserve"/>
        </x:is>
      </x:c>
      <x:c r="J531" s="5" t="inlineStr">
        <x:is>
          <x:t xml:space="preserve"/>
        </x:is>
      </x:c>
      <x:c r="K531" s="5" t="inlineStr">
        <x:is>
          <x:t xml:space="preserve"/>
        </x:is>
      </x:c>
      <x:c r="L531" s="5" t="inlineStr">
        <x:is>
          <x:t xml:space="preserve"/>
        </x:is>
      </x:c>
      <x:c r="M531" s="5" t="inlineStr">
        <x:is>
          <x:t xml:space="preserve"/>
        </x:is>
      </x:c>
      <x:c r="N531" s="5" t="inlineStr">
        <x:is>
          <x:t xml:space="preserve"/>
        </x:is>
      </x:c>
      <x:c r="O531" s="5" t="inlineStr">
        <x:is>
          <x:t xml:space="preserve"/>
        </x:is>
      </x:c>
      <x:c r="P531" s="5" t="inlineStr">
        <x:is>
          <x:t xml:space="preserve"/>
        </x:is>
      </x:c>
      <x:c r="Q531" s="5" t="inlineStr">
        <x:is>
          <x:t xml:space="preserve"/>
        </x:is>
      </x:c>
      <x:c r="R531" s="5">
        <x:f>IF(OR(F531="",G531=""),"",IF(F531&gt;=0.95*G531,1,0))</x:f>
      </x:c>
      <x:c r="S531" s="7">
        <x:f>IFERROR((I531+J531+K531)/F531,"")</x:f>
      </x:c>
      <x:c r="T531" s="5">
        <x:f>IFERROR(I531+J531+K531,"")</x:f>
        <x:v>0</x:v>
      </x:c>
    </x:row>
    <x:row r="532" ht="22" customHeight="1">
      <x:c r="A532" s="5" t="inlineStr">
        <x:is>
          <x:t xml:space="preserve">P044</x:t>
        </x:is>
      </x:c>
      <x:c r="B532" s="5" t="inlineStr">
        <x:is>
          <x:t xml:space="preserve">12</x:t>
        </x:is>
      </x:c>
      <x:c r="C532" s="5" t="inlineStr">
        <x:is>
          <x:t xml:space="preserve">V03_fitness_setup</x:t>
        </x:is>
      </x:c>
      <x:c r="D532" s="5" t="inlineStr">
        <x:is>
          <x:t xml:space="preserve">full_transcript</x:t>
        </x:is>
      </x:c>
      <x:c r="E532" s="5" t="inlineStr">
        <x:is>
          <x:t xml:space="preserve">muted</x:t>
        </x:is>
      </x:c>
      <x:c r="F532" s="6" t="inlineStr">
        <x:is>
          <x:t xml:space="preserve"/>
        </x:is>
      </x:c>
      <x:c r="G532" s="6" t="inlineStr">
        <x:is>
          <x:t xml:space="preserve">6</x:t>
        </x:is>
      </x:c>
      <x:c r="H532" s="5" t="inlineStr">
        <x:is>
          <x:t xml:space="preserve"/>
        </x:is>
      </x:c>
      <x:c r="I532" s="5" t="inlineStr">
        <x:is>
          <x:t xml:space="preserve"/>
        </x:is>
      </x:c>
      <x:c r="J532" s="5" t="inlineStr">
        <x:is>
          <x:t xml:space="preserve"/>
        </x:is>
      </x:c>
      <x:c r="K532" s="5" t="inlineStr">
        <x:is>
          <x:t xml:space="preserve"/>
        </x:is>
      </x:c>
      <x:c r="L532" s="5" t="inlineStr">
        <x:is>
          <x:t xml:space="preserve"/>
        </x:is>
      </x:c>
      <x:c r="M532" s="5" t="inlineStr">
        <x:is>
          <x:t xml:space="preserve"/>
        </x:is>
      </x:c>
      <x:c r="N532" s="5" t="inlineStr">
        <x:is>
          <x:t xml:space="preserve"/>
        </x:is>
      </x:c>
      <x:c r="O532" s="5" t="inlineStr">
        <x:is>
          <x:t xml:space="preserve"/>
        </x:is>
      </x:c>
      <x:c r="P532" s="5" t="inlineStr">
        <x:is>
          <x:t xml:space="preserve"/>
        </x:is>
      </x:c>
      <x:c r="Q532" s="5" t="inlineStr">
        <x:is>
          <x:t xml:space="preserve"/>
        </x:is>
      </x:c>
      <x:c r="R532" s="5">
        <x:f>IF(OR(F532="",G532=""),"",IF(F532&gt;=0.95*G532,1,0))</x:f>
      </x:c>
      <x:c r="S532" s="7">
        <x:f>IFERROR((I532+J532+K532)/F532,"")</x:f>
      </x:c>
      <x:c r="T532" s="5">
        <x:f>IFERROR(I532+J532+K532,"")</x:f>
        <x:v>0</x:v>
      </x:c>
    </x:row>
    <x:row r="533" ht="22" customHeight="1">
      <x:c r="A533" s="5" t="inlineStr">
        <x:is>
          <x:t xml:space="preserve">P045</x:t>
        </x:is>
      </x:c>
      <x:c r="B533" s="5" t="inlineStr">
        <x:is>
          <x:t xml:space="preserve">1</x:t>
        </x:is>
      </x:c>
      <x:c r="C533" s="5" t="inlineStr">
        <x:is>
          <x:t xml:space="preserve">V10_tutorial_ui</x:t>
        </x:is>
      </x:c>
      <x:c r="D533" s="5" t="inlineStr">
        <x:is>
          <x:t xml:space="preserve">semantic_compression</x:t>
        </x:is>
      </x:c>
      <x:c r="E533" s="5" t="inlineStr">
        <x:is>
          <x:t xml:space="preserve">muted</x:t>
        </x:is>
      </x:c>
      <x:c r="F533" s="6" t="inlineStr">
        <x:is>
          <x:t xml:space="preserve"/>
        </x:is>
      </x:c>
      <x:c r="G533" s="6" t="inlineStr">
        <x:is>
          <x:t xml:space="preserve">6</x:t>
        </x:is>
      </x:c>
      <x:c r="H533" s="5" t="inlineStr">
        <x:is>
          <x:t xml:space="preserve"/>
        </x:is>
      </x:c>
      <x:c r="I533" s="5" t="inlineStr">
        <x:is>
          <x:t xml:space="preserve"/>
        </x:is>
      </x:c>
      <x:c r="J533" s="5" t="inlineStr">
        <x:is>
          <x:t xml:space="preserve"/>
        </x:is>
      </x:c>
      <x:c r="K533" s="5" t="inlineStr">
        <x:is>
          <x:t xml:space="preserve"/>
        </x:is>
      </x:c>
      <x:c r="L533" s="5" t="inlineStr">
        <x:is>
          <x:t xml:space="preserve"/>
        </x:is>
      </x:c>
      <x:c r="M533" s="5" t="inlineStr">
        <x:is>
          <x:t xml:space="preserve"/>
        </x:is>
      </x:c>
      <x:c r="N533" s="5" t="inlineStr">
        <x:is>
          <x:t xml:space="preserve"/>
        </x:is>
      </x:c>
      <x:c r="O533" s="5" t="inlineStr">
        <x:is>
          <x:t xml:space="preserve"/>
        </x:is>
      </x:c>
      <x:c r="P533" s="5" t="inlineStr">
        <x:is>
          <x:t xml:space="preserve"/>
        </x:is>
      </x:c>
      <x:c r="Q533" s="5" t="inlineStr">
        <x:is>
          <x:t xml:space="preserve"/>
        </x:is>
      </x:c>
      <x:c r="R533" s="5">
        <x:f>IF(OR(F533="",G533=""),"",IF(F533&gt;=0.95*G533,1,0))</x:f>
      </x:c>
      <x:c r="S533" s="7">
        <x:f>IFERROR((I533+J533+K533)/F533,"")</x:f>
      </x:c>
      <x:c r="T533" s="5">
        <x:f>IFERROR(I533+J533+K533,"")</x:f>
        <x:v>0</x:v>
      </x:c>
    </x:row>
    <x:row r="534" ht="22" customHeight="1">
      <x:c r="A534" s="5" t="inlineStr">
        <x:is>
          <x:t xml:space="preserve">P045</x:t>
        </x:is>
      </x:c>
      <x:c r="B534" s="5" t="inlineStr">
        <x:is>
          <x:t xml:space="preserve">2</x:t>
        </x:is>
      </x:c>
      <x:c r="C534" s="5" t="inlineStr">
        <x:is>
          <x:t xml:space="preserve">V05_coding_assumptions</x:t>
        </x:is>
      </x:c>
      <x:c r="D534" s="5" t="inlineStr">
        <x:is>
          <x:t xml:space="preserve">bcc</x:t>
        </x:is>
      </x:c>
      <x:c r="E534" s="5" t="inlineStr">
        <x:is>
          <x:t xml:space="preserve">audio_on</x:t>
        </x:is>
      </x:c>
      <x:c r="F534" s="6" t="inlineStr">
        <x:is>
          <x:t xml:space="preserve"/>
        </x:is>
      </x:c>
      <x:c r="G534" s="6" t="inlineStr">
        <x:is>
          <x:t xml:space="preserve">6</x:t>
        </x:is>
      </x:c>
      <x:c r="H534" s="5" t="inlineStr">
        <x:is>
          <x:t xml:space="preserve"/>
        </x:is>
      </x:c>
      <x:c r="I534" s="5" t="inlineStr">
        <x:is>
          <x:t xml:space="preserve"/>
        </x:is>
      </x:c>
      <x:c r="J534" s="5" t="inlineStr">
        <x:is>
          <x:t xml:space="preserve"/>
        </x:is>
      </x:c>
      <x:c r="K534" s="5" t="inlineStr">
        <x:is>
          <x:t xml:space="preserve"/>
        </x:is>
      </x:c>
      <x:c r="L534" s="5" t="inlineStr">
        <x:is>
          <x:t xml:space="preserve"/>
        </x:is>
      </x:c>
      <x:c r="M534" s="5" t="inlineStr">
        <x:is>
          <x:t xml:space="preserve"/>
        </x:is>
      </x:c>
      <x:c r="N534" s="5" t="inlineStr">
        <x:is>
          <x:t xml:space="preserve"/>
        </x:is>
      </x:c>
      <x:c r="O534" s="5" t="inlineStr">
        <x:is>
          <x:t xml:space="preserve"/>
        </x:is>
      </x:c>
      <x:c r="P534" s="5" t="inlineStr">
        <x:is>
          <x:t xml:space="preserve"/>
        </x:is>
      </x:c>
      <x:c r="Q534" s="5" t="inlineStr">
        <x:is>
          <x:t xml:space="preserve"/>
        </x:is>
      </x:c>
      <x:c r="R534" s="5">
        <x:f>IF(OR(F534="",G534=""),"",IF(F534&gt;=0.95*G534,1,0))</x:f>
      </x:c>
      <x:c r="S534" s="7">
        <x:f>IFERROR((I534+J534+K534)/F534,"")</x:f>
      </x:c>
      <x:c r="T534" s="5">
        <x:f>IFERROR(I534+J534+K534,"")</x:f>
        <x:v>0</x:v>
      </x:c>
    </x:row>
    <x:row r="535" ht="22" customHeight="1">
      <x:c r="A535" s="5" t="inlineStr">
        <x:is>
          <x:t xml:space="preserve">P045</x:t>
        </x:is>
      </x:c>
      <x:c r="B535" s="5" t="inlineStr">
        <x:is>
          <x:t xml:space="preserve">3</x:t>
        </x:is>
      </x:c>
      <x:c r="C535" s="5" t="inlineStr">
        <x:is>
          <x:t xml:space="preserve">V09_nutrition_satiety</x:t>
        </x:is>
      </x:c>
      <x:c r="D535" s="5" t="inlineStr">
        <x:is>
          <x:t xml:space="preserve">bcc_plus</x:t>
        </x:is>
      </x:c>
      <x:c r="E535" s="5" t="inlineStr">
        <x:is>
          <x:t xml:space="preserve">muted</x:t>
        </x:is>
      </x:c>
      <x:c r="F535" s="6" t="inlineStr">
        <x:is>
          <x:t xml:space="preserve"/>
        </x:is>
      </x:c>
      <x:c r="G535" s="6" t="inlineStr">
        <x:is>
          <x:t xml:space="preserve">6</x:t>
        </x:is>
      </x:c>
      <x:c r="H535" s="5" t="inlineStr">
        <x:is>
          <x:t xml:space="preserve"/>
        </x:is>
      </x:c>
      <x:c r="I535" s="5" t="inlineStr">
        <x:is>
          <x:t xml:space="preserve"/>
        </x:is>
      </x:c>
      <x:c r="J535" s="5" t="inlineStr">
        <x:is>
          <x:t xml:space="preserve"/>
        </x:is>
      </x:c>
      <x:c r="K535" s="5" t="inlineStr">
        <x:is>
          <x:t xml:space="preserve"/>
        </x:is>
      </x:c>
      <x:c r="L535" s="5" t="inlineStr">
        <x:is>
          <x:t xml:space="preserve"/>
        </x:is>
      </x:c>
      <x:c r="M535" s="5" t="inlineStr">
        <x:is>
          <x:t xml:space="preserve"/>
        </x:is>
      </x:c>
      <x:c r="N535" s="5" t="inlineStr">
        <x:is>
          <x:t xml:space="preserve"/>
        </x:is>
      </x:c>
      <x:c r="O535" s="5" t="inlineStr">
        <x:is>
          <x:t xml:space="preserve"/>
        </x:is>
      </x:c>
      <x:c r="P535" s="5" t="inlineStr">
        <x:is>
          <x:t xml:space="preserve"/>
        </x:is>
      </x:c>
      <x:c r="Q535" s="5" t="inlineStr">
        <x:is>
          <x:t xml:space="preserve"/>
        </x:is>
      </x:c>
      <x:c r="R535" s="5">
        <x:f>IF(OR(F535="",G535=""),"",IF(F535&gt;=0.95*G535,1,0))</x:f>
      </x:c>
      <x:c r="S535" s="7">
        <x:f>IFERROR((I535+J535+K535)/F535,"")</x:f>
      </x:c>
      <x:c r="T535" s="5">
        <x:f>IFERROR(I535+J535+K535,"")</x:f>
        <x:v>0</x:v>
      </x:c>
    </x:row>
    <x:row r="536" ht="22" customHeight="1">
      <x:c r="A536" s="5" t="inlineStr">
        <x:is>
          <x:t xml:space="preserve">P045</x:t>
        </x:is>
      </x:c>
      <x:c r="B536" s="5" t="inlineStr">
        <x:is>
          <x:t xml:space="preserve">4</x:t>
        </x:is>
      </x:c>
      <x:c r="C536" s="5" t="inlineStr">
        <x:is>
          <x:t xml:space="preserve">V06_overload_open_loops</x:t>
        </x:is>
      </x:c>
      <x:c r="D536" s="5" t="inlineStr">
        <x:is>
          <x:t xml:space="preserve">heavy_bionic</x:t>
        </x:is>
      </x:c>
      <x:c r="E536" s="5" t="inlineStr">
        <x:is>
          <x:t xml:space="preserve">audio_on</x:t>
        </x:is>
      </x:c>
      <x:c r="F536" s="6" t="inlineStr">
        <x:is>
          <x:t xml:space="preserve"/>
        </x:is>
      </x:c>
      <x:c r="G536" s="6" t="inlineStr">
        <x:is>
          <x:t xml:space="preserve">6</x:t>
        </x:is>
      </x:c>
      <x:c r="H536" s="5" t="inlineStr">
        <x:is>
          <x:t xml:space="preserve"/>
        </x:is>
      </x:c>
      <x:c r="I536" s="5" t="inlineStr">
        <x:is>
          <x:t xml:space="preserve"/>
        </x:is>
      </x:c>
      <x:c r="J536" s="5" t="inlineStr">
        <x:is>
          <x:t xml:space="preserve"/>
        </x:is>
      </x:c>
      <x:c r="K536" s="5" t="inlineStr">
        <x:is>
          <x:t xml:space="preserve"/>
        </x:is>
      </x:c>
      <x:c r="L536" s="5" t="inlineStr">
        <x:is>
          <x:t xml:space="preserve"/>
        </x:is>
      </x:c>
      <x:c r="M536" s="5" t="inlineStr">
        <x:is>
          <x:t xml:space="preserve"/>
        </x:is>
      </x:c>
      <x:c r="N536" s="5" t="inlineStr">
        <x:is>
          <x:t xml:space="preserve"/>
        </x:is>
      </x:c>
      <x:c r="O536" s="5" t="inlineStr">
        <x:is>
          <x:t xml:space="preserve"/>
        </x:is>
      </x:c>
      <x:c r="P536" s="5" t="inlineStr">
        <x:is>
          <x:t xml:space="preserve"/>
        </x:is>
      </x:c>
      <x:c r="Q536" s="5" t="inlineStr">
        <x:is>
          <x:t xml:space="preserve"/>
        </x:is>
      </x:c>
      <x:c r="R536" s="5">
        <x:f>IF(OR(F536="",G536=""),"",IF(F536&gt;=0.95*G536,1,0))</x:f>
      </x:c>
      <x:c r="S536" s="7">
        <x:f>IFERROR((I536+J536+K536)/F536,"")</x:f>
      </x:c>
      <x:c r="T536" s="5">
        <x:f>IFERROR(I536+J536+K536,"")</x:f>
        <x:v>0</x:v>
      </x:c>
    </x:row>
    <x:row r="537" ht="22" customHeight="1">
      <x:c r="A537" s="5" t="inlineStr">
        <x:is>
          <x:t xml:space="preserve">P045</x:t>
        </x:is>
      </x:c>
      <x:c r="B537" s="5" t="inlineStr">
        <x:is>
          <x:t xml:space="preserve">5</x:t>
        </x:is>
      </x:c>
      <x:c r="C537" s="5" t="inlineStr">
        <x:is>
          <x:t xml:space="preserve">V11_story_burnout</x:t>
        </x:is>
      </x:c>
      <x:c r="D537" s="5" t="inlineStr">
        <x:is>
          <x:t xml:space="preserve">full_transcript</x:t>
        </x:is>
      </x:c>
      <x:c r="E537" s="5" t="inlineStr">
        <x:is>
          <x:t xml:space="preserve">muted</x:t>
        </x:is>
      </x:c>
      <x:c r="F537" s="6" t="inlineStr">
        <x:is>
          <x:t xml:space="preserve"/>
        </x:is>
      </x:c>
      <x:c r="G537" s="6" t="inlineStr">
        <x:is>
          <x:t xml:space="preserve">6</x:t>
        </x:is>
      </x:c>
      <x:c r="H537" s="5" t="inlineStr">
        <x:is>
          <x:t xml:space="preserve"/>
        </x:is>
      </x:c>
      <x:c r="I537" s="5" t="inlineStr">
        <x:is>
          <x:t xml:space="preserve"/>
        </x:is>
      </x:c>
      <x:c r="J537" s="5" t="inlineStr">
        <x:is>
          <x:t xml:space="preserve"/>
        </x:is>
      </x:c>
      <x:c r="K537" s="5" t="inlineStr">
        <x:is>
          <x:t xml:space="preserve"/>
        </x:is>
      </x:c>
      <x:c r="L537" s="5" t="inlineStr">
        <x:is>
          <x:t xml:space="preserve"/>
        </x:is>
      </x:c>
      <x:c r="M537" s="5" t="inlineStr">
        <x:is>
          <x:t xml:space="preserve"/>
        </x:is>
      </x:c>
      <x:c r="N537" s="5" t="inlineStr">
        <x:is>
          <x:t xml:space="preserve"/>
        </x:is>
      </x:c>
      <x:c r="O537" s="5" t="inlineStr">
        <x:is>
          <x:t xml:space="preserve"/>
        </x:is>
      </x:c>
      <x:c r="P537" s="5" t="inlineStr">
        <x:is>
          <x:t xml:space="preserve"/>
        </x:is>
      </x:c>
      <x:c r="Q537" s="5" t="inlineStr">
        <x:is>
          <x:t xml:space="preserve"/>
        </x:is>
      </x:c>
      <x:c r="R537" s="5">
        <x:f>IF(OR(F537="",G537=""),"",IF(F537&gt;=0.95*G537,1,0))</x:f>
      </x:c>
      <x:c r="S537" s="7">
        <x:f>IFERROR((I537+J537+K537)/F537,"")</x:f>
      </x:c>
      <x:c r="T537" s="5">
        <x:f>IFERROR(I537+J537+K537,"")</x:f>
        <x:v>0</x:v>
      </x:c>
    </x:row>
    <x:row r="538" ht="22" customHeight="1">
      <x:c r="A538" s="5" t="inlineStr">
        <x:is>
          <x:t xml:space="preserve">P045</x:t>
        </x:is>
      </x:c>
      <x:c r="B538" s="5" t="inlineStr">
        <x:is>
          <x:t xml:space="preserve">6</x:t>
        </x:is>
      </x:c>
      <x:c r="C538" s="5" t="inlineStr">
        <x:is>
          <x:t xml:space="preserve">V04_money_visibility</x:t>
        </x:is>
      </x:c>
      <x:c r="D538" s="5" t="inlineStr">
        <x:is>
          <x:t xml:space="preserve">keyword_highlight</x:t>
        </x:is>
      </x:c>
      <x:c r="E538" s="5" t="inlineStr">
        <x:is>
          <x:t xml:space="preserve">audio_on</x:t>
        </x:is>
      </x:c>
      <x:c r="F538" s="6" t="inlineStr">
        <x:is>
          <x:t xml:space="preserve"/>
        </x:is>
      </x:c>
      <x:c r="G538" s="6" t="inlineStr">
        <x:is>
          <x:t xml:space="preserve">6</x:t>
        </x:is>
      </x:c>
      <x:c r="H538" s="5" t="inlineStr">
        <x:is>
          <x:t xml:space="preserve"/>
        </x:is>
      </x:c>
      <x:c r="I538" s="5" t="inlineStr">
        <x:is>
          <x:t xml:space="preserve"/>
        </x:is>
      </x:c>
      <x:c r="J538" s="5" t="inlineStr">
        <x:is>
          <x:t xml:space="preserve"/>
        </x:is>
      </x:c>
      <x:c r="K538" s="5" t="inlineStr">
        <x:is>
          <x:t xml:space="preserve"/>
        </x:is>
      </x:c>
      <x:c r="L538" s="5" t="inlineStr">
        <x:is>
          <x:t xml:space="preserve"/>
        </x:is>
      </x:c>
      <x:c r="M538" s="5" t="inlineStr">
        <x:is>
          <x:t xml:space="preserve"/>
        </x:is>
      </x:c>
      <x:c r="N538" s="5" t="inlineStr">
        <x:is>
          <x:t xml:space="preserve"/>
        </x:is>
      </x:c>
      <x:c r="O538" s="5" t="inlineStr">
        <x:is>
          <x:t xml:space="preserve"/>
        </x:is>
      </x:c>
      <x:c r="P538" s="5" t="inlineStr">
        <x:is>
          <x:t xml:space="preserve"/>
        </x:is>
      </x:c>
      <x:c r="Q538" s="5" t="inlineStr">
        <x:is>
          <x:t xml:space="preserve"/>
        </x:is>
      </x:c>
      <x:c r="R538" s="5">
        <x:f>IF(OR(F538="",G538=""),"",IF(F538&gt;=0.95*G538,1,0))</x:f>
      </x:c>
      <x:c r="S538" s="7">
        <x:f>IFERROR((I538+J538+K538)/F538,"")</x:f>
      </x:c>
      <x:c r="T538" s="5">
        <x:f>IFERROR(I538+J538+K538,"")</x:f>
        <x:v>0</x:v>
      </x:c>
    </x:row>
    <x:row r="539" ht="22" customHeight="1">
      <x:c r="A539" s="5" t="inlineStr">
        <x:is>
          <x:t xml:space="preserve">P045</x:t>
        </x:is>
      </x:c>
      <x:c r="B539" s="5" t="inlineStr">
        <x:is>
          <x:t xml:space="preserve">7</x:t>
        </x:is>
      </x:c>
      <x:c r="C539" s="5" t="inlineStr">
        <x:is>
          <x:t xml:space="preserve">V07_business_clarity</x:t>
        </x:is>
      </x:c>
      <x:c r="D539" s="5" t="inlineStr">
        <x:is>
          <x:t xml:space="preserve">semantic_compression</x:t>
        </x:is>
      </x:c>
      <x:c r="E539" s="5" t="inlineStr">
        <x:is>
          <x:t xml:space="preserve">muted</x:t>
        </x:is>
      </x:c>
      <x:c r="F539" s="6" t="inlineStr">
        <x:is>
          <x:t xml:space="preserve"/>
        </x:is>
      </x:c>
      <x:c r="G539" s="6" t="inlineStr">
        <x:is>
          <x:t xml:space="preserve">6</x:t>
        </x:is>
      </x:c>
      <x:c r="H539" s="5" t="inlineStr">
        <x:is>
          <x:t xml:space="preserve"/>
        </x:is>
      </x:c>
      <x:c r="I539" s="5" t="inlineStr">
        <x:is>
          <x:t xml:space="preserve"/>
        </x:is>
      </x:c>
      <x:c r="J539" s="5" t="inlineStr">
        <x:is>
          <x:t xml:space="preserve"/>
        </x:is>
      </x:c>
      <x:c r="K539" s="5" t="inlineStr">
        <x:is>
          <x:t xml:space="preserve"/>
        </x:is>
      </x:c>
      <x:c r="L539" s="5" t="inlineStr">
        <x:is>
          <x:t xml:space="preserve"/>
        </x:is>
      </x:c>
      <x:c r="M539" s="5" t="inlineStr">
        <x:is>
          <x:t xml:space="preserve"/>
        </x:is>
      </x:c>
      <x:c r="N539" s="5" t="inlineStr">
        <x:is>
          <x:t xml:space="preserve"/>
        </x:is>
      </x:c>
      <x:c r="O539" s="5" t="inlineStr">
        <x:is>
          <x:t xml:space="preserve"/>
        </x:is>
      </x:c>
      <x:c r="P539" s="5" t="inlineStr">
        <x:is>
          <x:t xml:space="preserve"/>
        </x:is>
      </x:c>
      <x:c r="Q539" s="5" t="inlineStr">
        <x:is>
          <x:t xml:space="preserve"/>
        </x:is>
      </x:c>
      <x:c r="R539" s="5">
        <x:f>IF(OR(F539="",G539=""),"",IF(F539&gt;=0.95*G539,1,0))</x:f>
      </x:c>
      <x:c r="S539" s="7">
        <x:f>IFERROR((I539+J539+K539)/F539,"")</x:f>
      </x:c>
      <x:c r="T539" s="5">
        <x:f>IFERROR(I539+J539+K539,"")</x:f>
        <x:v>0</x:v>
      </x:c>
    </x:row>
    <x:row r="540" ht="22" customHeight="1">
      <x:c r="A540" s="5" t="inlineStr">
        <x:is>
          <x:t xml:space="preserve">P045</x:t>
        </x:is>
      </x:c>
      <x:c r="B540" s="5" t="inlineStr">
        <x:is>
          <x:t xml:space="preserve">8</x:t>
        </x:is>
      </x:c>
      <x:c r="C540" s="5" t="inlineStr">
        <x:is>
          <x:t xml:space="preserve">V03_fitness_setup</x:t>
        </x:is>
      </x:c>
      <x:c r="D540" s="5" t="inlineStr">
        <x:is>
          <x:t xml:space="preserve">bcc</x:t>
        </x:is>
      </x:c>
      <x:c r="E540" s="5" t="inlineStr">
        <x:is>
          <x:t xml:space="preserve">audio_on</x:t>
        </x:is>
      </x:c>
      <x:c r="F540" s="6" t="inlineStr">
        <x:is>
          <x:t xml:space="preserve"/>
        </x:is>
      </x:c>
      <x:c r="G540" s="6" t="inlineStr">
        <x:is>
          <x:t xml:space="preserve">6</x:t>
        </x:is>
      </x:c>
      <x:c r="H540" s="5" t="inlineStr">
        <x:is>
          <x:t xml:space="preserve"/>
        </x:is>
      </x:c>
      <x:c r="I540" s="5" t="inlineStr">
        <x:is>
          <x:t xml:space="preserve"/>
        </x:is>
      </x:c>
      <x:c r="J540" s="5" t="inlineStr">
        <x:is>
          <x:t xml:space="preserve"/>
        </x:is>
      </x:c>
      <x:c r="K540" s="5" t="inlineStr">
        <x:is>
          <x:t xml:space="preserve"/>
        </x:is>
      </x:c>
      <x:c r="L540" s="5" t="inlineStr">
        <x:is>
          <x:t xml:space="preserve"/>
        </x:is>
      </x:c>
      <x:c r="M540" s="5" t="inlineStr">
        <x:is>
          <x:t xml:space="preserve"/>
        </x:is>
      </x:c>
      <x:c r="N540" s="5" t="inlineStr">
        <x:is>
          <x:t xml:space="preserve"/>
        </x:is>
      </x:c>
      <x:c r="O540" s="5" t="inlineStr">
        <x:is>
          <x:t xml:space="preserve"/>
        </x:is>
      </x:c>
      <x:c r="P540" s="5" t="inlineStr">
        <x:is>
          <x:t xml:space="preserve"/>
        </x:is>
      </x:c>
      <x:c r="Q540" s="5" t="inlineStr">
        <x:is>
          <x:t xml:space="preserve"/>
        </x:is>
      </x:c>
      <x:c r="R540" s="5">
        <x:f>IF(OR(F540="",G540=""),"",IF(F540&gt;=0.95*G540,1,0))</x:f>
      </x:c>
      <x:c r="S540" s="7">
        <x:f>IFERROR((I540+J540+K540)/F540,"")</x:f>
      </x:c>
      <x:c r="T540" s="5">
        <x:f>IFERROR(I540+J540+K540,"")</x:f>
        <x:v>0</x:v>
      </x:c>
    </x:row>
    <x:row r="541" ht="22" customHeight="1">
      <x:c r="A541" s="5" t="inlineStr">
        <x:is>
          <x:t xml:space="preserve">P045</x:t>
        </x:is>
      </x:c>
      <x:c r="B541" s="5" t="inlineStr">
        <x:is>
          <x:t xml:space="preserve">9</x:t>
        </x:is>
      </x:c>
      <x:c r="C541" s="5" t="inlineStr">
        <x:is>
          <x:t xml:space="preserve">V02_study_recall</x:t>
        </x:is>
      </x:c>
      <x:c r="D541" s="5" t="inlineStr">
        <x:is>
          <x:t xml:space="preserve">bcc_plus</x:t>
        </x:is>
      </x:c>
      <x:c r="E541" s="5" t="inlineStr">
        <x:is>
          <x:t xml:space="preserve">muted</x:t>
        </x:is>
      </x:c>
      <x:c r="F541" s="6" t="inlineStr">
        <x:is>
          <x:t xml:space="preserve"/>
        </x:is>
      </x:c>
      <x:c r="G541" s="6" t="inlineStr">
        <x:is>
          <x:t xml:space="preserve">6</x:t>
        </x:is>
      </x:c>
      <x:c r="H541" s="5" t="inlineStr">
        <x:is>
          <x:t xml:space="preserve"/>
        </x:is>
      </x:c>
      <x:c r="I541" s="5" t="inlineStr">
        <x:is>
          <x:t xml:space="preserve"/>
        </x:is>
      </x:c>
      <x:c r="J541" s="5" t="inlineStr">
        <x:is>
          <x:t xml:space="preserve"/>
        </x:is>
      </x:c>
      <x:c r="K541" s="5" t="inlineStr">
        <x:is>
          <x:t xml:space="preserve"/>
        </x:is>
      </x:c>
      <x:c r="L541" s="5" t="inlineStr">
        <x:is>
          <x:t xml:space="preserve"/>
        </x:is>
      </x:c>
      <x:c r="M541" s="5" t="inlineStr">
        <x:is>
          <x:t xml:space="preserve"/>
        </x:is>
      </x:c>
      <x:c r="N541" s="5" t="inlineStr">
        <x:is>
          <x:t xml:space="preserve"/>
        </x:is>
      </x:c>
      <x:c r="O541" s="5" t="inlineStr">
        <x:is>
          <x:t xml:space="preserve"/>
        </x:is>
      </x:c>
      <x:c r="P541" s="5" t="inlineStr">
        <x:is>
          <x:t xml:space="preserve"/>
        </x:is>
      </x:c>
      <x:c r="Q541" s="5" t="inlineStr">
        <x:is>
          <x:t xml:space="preserve"/>
        </x:is>
      </x:c>
      <x:c r="R541" s="5">
        <x:f>IF(OR(F541="",G541=""),"",IF(F541&gt;=0.95*G541,1,0))</x:f>
      </x:c>
      <x:c r="S541" s="7">
        <x:f>IFERROR((I541+J541+K541)/F541,"")</x:f>
      </x:c>
      <x:c r="T541" s="5">
        <x:f>IFERROR(I541+J541+K541,"")</x:f>
        <x:v>0</x:v>
      </x:c>
    </x:row>
    <x:row r="542" ht="22" customHeight="1">
      <x:c r="A542" s="5" t="inlineStr">
        <x:is>
          <x:t xml:space="preserve">P045</x:t>
        </x:is>
      </x:c>
      <x:c r="B542" s="5" t="inlineStr">
        <x:is>
          <x:t xml:space="preserve">10</x:t>
        </x:is>
      </x:c>
      <x:c r="C542" s="5" t="inlineStr">
        <x:is>
          <x:t xml:space="preserve">V12_creativity_constraints</x:t>
        </x:is>
      </x:c>
      <x:c r="D542" s="5" t="inlineStr">
        <x:is>
          <x:t xml:space="preserve">heavy_bionic</x:t>
        </x:is>
      </x:c>
      <x:c r="E542" s="5" t="inlineStr">
        <x:is>
          <x:t xml:space="preserve">audio_on</x:t>
        </x:is>
      </x:c>
      <x:c r="F542" s="6" t="inlineStr">
        <x:is>
          <x:t xml:space="preserve"/>
        </x:is>
      </x:c>
      <x:c r="G542" s="6" t="inlineStr">
        <x:is>
          <x:t xml:space="preserve">6</x:t>
        </x:is>
      </x:c>
      <x:c r="H542" s="5" t="inlineStr">
        <x:is>
          <x:t xml:space="preserve"/>
        </x:is>
      </x:c>
      <x:c r="I542" s="5" t="inlineStr">
        <x:is>
          <x:t xml:space="preserve"/>
        </x:is>
      </x:c>
      <x:c r="J542" s="5" t="inlineStr">
        <x:is>
          <x:t xml:space="preserve"/>
        </x:is>
      </x:c>
      <x:c r="K542" s="5" t="inlineStr">
        <x:is>
          <x:t xml:space="preserve"/>
        </x:is>
      </x:c>
      <x:c r="L542" s="5" t="inlineStr">
        <x:is>
          <x:t xml:space="preserve"/>
        </x:is>
      </x:c>
      <x:c r="M542" s="5" t="inlineStr">
        <x:is>
          <x:t xml:space="preserve"/>
        </x:is>
      </x:c>
      <x:c r="N542" s="5" t="inlineStr">
        <x:is>
          <x:t xml:space="preserve"/>
        </x:is>
      </x:c>
      <x:c r="O542" s="5" t="inlineStr">
        <x:is>
          <x:t xml:space="preserve"/>
        </x:is>
      </x:c>
      <x:c r="P542" s="5" t="inlineStr">
        <x:is>
          <x:t xml:space="preserve"/>
        </x:is>
      </x:c>
      <x:c r="Q542" s="5" t="inlineStr">
        <x:is>
          <x:t xml:space="preserve"/>
        </x:is>
      </x:c>
      <x:c r="R542" s="5">
        <x:f>IF(OR(F542="",G542=""),"",IF(F542&gt;=0.95*G542,1,0))</x:f>
      </x:c>
      <x:c r="S542" s="7">
        <x:f>IFERROR((I542+J542+K542)/F542,"")</x:f>
      </x:c>
      <x:c r="T542" s="5">
        <x:f>IFERROR(I542+J542+K542,"")</x:f>
        <x:v>0</x:v>
      </x:c>
    </x:row>
    <x:row r="543" ht="22" customHeight="1">
      <x:c r="A543" s="5" t="inlineStr">
        <x:is>
          <x:t xml:space="preserve">P045</x:t>
        </x:is>
      </x:c>
      <x:c r="B543" s="5" t="inlineStr">
        <x:is>
          <x:t xml:space="preserve">11</x:t>
        </x:is>
      </x:c>
      <x:c r="C543" s="5" t="inlineStr">
        <x:is>
          <x:t xml:space="preserve">V01_productivity_friction</x:t>
        </x:is>
      </x:c>
      <x:c r="D543" s="5" t="inlineStr">
        <x:is>
          <x:t xml:space="preserve">full_transcript</x:t>
        </x:is>
      </x:c>
      <x:c r="E543" s="5" t="inlineStr">
        <x:is>
          <x:t xml:space="preserve">muted</x:t>
        </x:is>
      </x:c>
      <x:c r="F543" s="6" t="inlineStr">
        <x:is>
          <x:t xml:space="preserve"/>
        </x:is>
      </x:c>
      <x:c r="G543" s="6" t="inlineStr">
        <x:is>
          <x:t xml:space="preserve">6</x:t>
        </x:is>
      </x:c>
      <x:c r="H543" s="5" t="inlineStr">
        <x:is>
          <x:t xml:space="preserve"/>
        </x:is>
      </x:c>
      <x:c r="I543" s="5" t="inlineStr">
        <x:is>
          <x:t xml:space="preserve"/>
        </x:is>
      </x:c>
      <x:c r="J543" s="5" t="inlineStr">
        <x:is>
          <x:t xml:space="preserve"/>
        </x:is>
      </x:c>
      <x:c r="K543" s="5" t="inlineStr">
        <x:is>
          <x:t xml:space="preserve"/>
        </x:is>
      </x:c>
      <x:c r="L543" s="5" t="inlineStr">
        <x:is>
          <x:t xml:space="preserve"/>
        </x:is>
      </x:c>
      <x:c r="M543" s="5" t="inlineStr">
        <x:is>
          <x:t xml:space="preserve"/>
        </x:is>
      </x:c>
      <x:c r="N543" s="5" t="inlineStr">
        <x:is>
          <x:t xml:space="preserve"/>
        </x:is>
      </x:c>
      <x:c r="O543" s="5" t="inlineStr">
        <x:is>
          <x:t xml:space="preserve"/>
        </x:is>
      </x:c>
      <x:c r="P543" s="5" t="inlineStr">
        <x:is>
          <x:t xml:space="preserve"/>
        </x:is>
      </x:c>
      <x:c r="Q543" s="5" t="inlineStr">
        <x:is>
          <x:t xml:space="preserve"/>
        </x:is>
      </x:c>
      <x:c r="R543" s="5">
        <x:f>IF(OR(F543="",G543=""),"",IF(F543&gt;=0.95*G543,1,0))</x:f>
      </x:c>
      <x:c r="S543" s="7">
        <x:f>IFERROR((I543+J543+K543)/F543,"")</x:f>
      </x:c>
      <x:c r="T543" s="5">
        <x:f>IFERROR(I543+J543+K543,"")</x:f>
        <x:v>0</x:v>
      </x:c>
    </x:row>
    <x:row r="544" ht="22" customHeight="1">
      <x:c r="A544" s="5" t="inlineStr">
        <x:is>
          <x:t xml:space="preserve">P045</x:t>
        </x:is>
      </x:c>
      <x:c r="B544" s="5" t="inlineStr">
        <x:is>
          <x:t xml:space="preserve">12</x:t>
        </x:is>
      </x:c>
      <x:c r="C544" s="5" t="inlineStr">
        <x:is>
          <x:t xml:space="preserve">V08_calendar_system</x:t>
        </x:is>
      </x:c>
      <x:c r="D544" s="5" t="inlineStr">
        <x:is>
          <x:t xml:space="preserve">keyword_highlight</x:t>
        </x:is>
      </x:c>
      <x:c r="E544" s="5" t="inlineStr">
        <x:is>
          <x:t xml:space="preserve">audio_on</x:t>
        </x:is>
      </x:c>
      <x:c r="F544" s="6" t="inlineStr">
        <x:is>
          <x:t xml:space="preserve"/>
        </x:is>
      </x:c>
      <x:c r="G544" s="6" t="inlineStr">
        <x:is>
          <x:t xml:space="preserve">6</x:t>
        </x:is>
      </x:c>
      <x:c r="H544" s="5" t="inlineStr">
        <x:is>
          <x:t xml:space="preserve"/>
        </x:is>
      </x:c>
      <x:c r="I544" s="5" t="inlineStr">
        <x:is>
          <x:t xml:space="preserve"/>
        </x:is>
      </x:c>
      <x:c r="J544" s="5" t="inlineStr">
        <x:is>
          <x:t xml:space="preserve"/>
        </x:is>
      </x:c>
      <x:c r="K544" s="5" t="inlineStr">
        <x:is>
          <x:t xml:space="preserve"/>
        </x:is>
      </x:c>
      <x:c r="L544" s="5" t="inlineStr">
        <x:is>
          <x:t xml:space="preserve"/>
        </x:is>
      </x:c>
      <x:c r="M544" s="5" t="inlineStr">
        <x:is>
          <x:t xml:space="preserve"/>
        </x:is>
      </x:c>
      <x:c r="N544" s="5" t="inlineStr">
        <x:is>
          <x:t xml:space="preserve"/>
        </x:is>
      </x:c>
      <x:c r="O544" s="5" t="inlineStr">
        <x:is>
          <x:t xml:space="preserve"/>
        </x:is>
      </x:c>
      <x:c r="P544" s="5" t="inlineStr">
        <x:is>
          <x:t xml:space="preserve"/>
        </x:is>
      </x:c>
      <x:c r="Q544" s="5" t="inlineStr">
        <x:is>
          <x:t xml:space="preserve"/>
        </x:is>
      </x:c>
      <x:c r="R544" s="5">
        <x:f>IF(OR(F544="",G544=""),"",IF(F544&gt;=0.95*G544,1,0))</x:f>
      </x:c>
      <x:c r="S544" s="7">
        <x:f>IFERROR((I544+J544+K544)/F544,"")</x:f>
      </x:c>
      <x:c r="T544" s="5">
        <x:f>IFERROR(I544+J544+K544,"")</x:f>
        <x:v>0</x:v>
      </x:c>
    </x:row>
    <x:row r="545" ht="22" customHeight="1">
      <x:c r="A545" s="5" t="inlineStr">
        <x:is>
          <x:t xml:space="preserve">P046</x:t>
        </x:is>
      </x:c>
      <x:c r="B545" s="5" t="inlineStr">
        <x:is>
          <x:t xml:space="preserve">1</x:t>
        </x:is>
      </x:c>
      <x:c r="C545" s="5" t="inlineStr">
        <x:is>
          <x:t xml:space="preserve">V05_coding_assumptions</x:t>
        </x:is>
      </x:c>
      <x:c r="D545" s="5" t="inlineStr">
        <x:is>
          <x:t xml:space="preserve">bcc</x:t>
        </x:is>
      </x:c>
      <x:c r="E545" s="5" t="inlineStr">
        <x:is>
          <x:t xml:space="preserve">audio_on</x:t>
        </x:is>
      </x:c>
      <x:c r="F545" s="6" t="inlineStr">
        <x:is>
          <x:t xml:space="preserve"/>
        </x:is>
      </x:c>
      <x:c r="G545" s="6" t="inlineStr">
        <x:is>
          <x:t xml:space="preserve">6</x:t>
        </x:is>
      </x:c>
      <x:c r="H545" s="5" t="inlineStr">
        <x:is>
          <x:t xml:space="preserve"/>
        </x:is>
      </x:c>
      <x:c r="I545" s="5" t="inlineStr">
        <x:is>
          <x:t xml:space="preserve"/>
        </x:is>
      </x:c>
      <x:c r="J545" s="5" t="inlineStr">
        <x:is>
          <x:t xml:space="preserve"/>
        </x:is>
      </x:c>
      <x:c r="K545" s="5" t="inlineStr">
        <x:is>
          <x:t xml:space="preserve"/>
        </x:is>
      </x:c>
      <x:c r="L545" s="5" t="inlineStr">
        <x:is>
          <x:t xml:space="preserve"/>
        </x:is>
      </x:c>
      <x:c r="M545" s="5" t="inlineStr">
        <x:is>
          <x:t xml:space="preserve"/>
        </x:is>
      </x:c>
      <x:c r="N545" s="5" t="inlineStr">
        <x:is>
          <x:t xml:space="preserve"/>
        </x:is>
      </x:c>
      <x:c r="O545" s="5" t="inlineStr">
        <x:is>
          <x:t xml:space="preserve"/>
        </x:is>
      </x:c>
      <x:c r="P545" s="5" t="inlineStr">
        <x:is>
          <x:t xml:space="preserve"/>
        </x:is>
      </x:c>
      <x:c r="Q545" s="5" t="inlineStr">
        <x:is>
          <x:t xml:space="preserve"/>
        </x:is>
      </x:c>
      <x:c r="R545" s="5">
        <x:f>IF(OR(F545="",G545=""),"",IF(F545&gt;=0.95*G545,1,0))</x:f>
      </x:c>
      <x:c r="S545" s="7">
        <x:f>IFERROR((I545+J545+K545)/F545,"")</x:f>
      </x:c>
      <x:c r="T545" s="5">
        <x:f>IFERROR(I545+J545+K545,"")</x:f>
        <x:v>0</x:v>
      </x:c>
    </x:row>
    <x:row r="546" ht="22" customHeight="1">
      <x:c r="A546" s="5" t="inlineStr">
        <x:is>
          <x:t xml:space="preserve">P046</x:t>
        </x:is>
      </x:c>
      <x:c r="B546" s="5" t="inlineStr">
        <x:is>
          <x:t xml:space="preserve">2</x:t>
        </x:is>
      </x:c>
      <x:c r="C546" s="5" t="inlineStr">
        <x:is>
          <x:t xml:space="preserve">V02_study_recall</x:t>
        </x:is>
      </x:c>
      <x:c r="D546" s="5" t="inlineStr">
        <x:is>
          <x:t xml:space="preserve">bcc_plus</x:t>
        </x:is>
      </x:c>
      <x:c r="E546" s="5" t="inlineStr">
        <x:is>
          <x:t xml:space="preserve">muted</x:t>
        </x:is>
      </x:c>
      <x:c r="F546" s="6" t="inlineStr">
        <x:is>
          <x:t xml:space="preserve"/>
        </x:is>
      </x:c>
      <x:c r="G546" s="6" t="inlineStr">
        <x:is>
          <x:t xml:space="preserve">6</x:t>
        </x:is>
      </x:c>
      <x:c r="H546" s="5" t="inlineStr">
        <x:is>
          <x:t xml:space="preserve"/>
        </x:is>
      </x:c>
      <x:c r="I546" s="5" t="inlineStr">
        <x:is>
          <x:t xml:space="preserve"/>
        </x:is>
      </x:c>
      <x:c r="J546" s="5" t="inlineStr">
        <x:is>
          <x:t xml:space="preserve"/>
        </x:is>
      </x:c>
      <x:c r="K546" s="5" t="inlineStr">
        <x:is>
          <x:t xml:space="preserve"/>
        </x:is>
      </x:c>
      <x:c r="L546" s="5" t="inlineStr">
        <x:is>
          <x:t xml:space="preserve"/>
        </x:is>
      </x:c>
      <x:c r="M546" s="5" t="inlineStr">
        <x:is>
          <x:t xml:space="preserve"/>
        </x:is>
      </x:c>
      <x:c r="N546" s="5" t="inlineStr">
        <x:is>
          <x:t xml:space="preserve"/>
        </x:is>
      </x:c>
      <x:c r="O546" s="5" t="inlineStr">
        <x:is>
          <x:t xml:space="preserve"/>
        </x:is>
      </x:c>
      <x:c r="P546" s="5" t="inlineStr">
        <x:is>
          <x:t xml:space="preserve"/>
        </x:is>
      </x:c>
      <x:c r="Q546" s="5" t="inlineStr">
        <x:is>
          <x:t xml:space="preserve"/>
        </x:is>
      </x:c>
      <x:c r="R546" s="5">
        <x:f>IF(OR(F546="",G546=""),"",IF(F546&gt;=0.95*G546,1,0))</x:f>
      </x:c>
      <x:c r="S546" s="7">
        <x:f>IFERROR((I546+J546+K546)/F546,"")</x:f>
      </x:c>
      <x:c r="T546" s="5">
        <x:f>IFERROR(I546+J546+K546,"")</x:f>
        <x:v>0</x:v>
      </x:c>
    </x:row>
    <x:row r="547" ht="22" customHeight="1">
      <x:c r="A547" s="5" t="inlineStr">
        <x:is>
          <x:t xml:space="preserve">P046</x:t>
        </x:is>
      </x:c>
      <x:c r="B547" s="5" t="inlineStr">
        <x:is>
          <x:t xml:space="preserve">3</x:t>
        </x:is>
      </x:c>
      <x:c r="C547" s="5" t="inlineStr">
        <x:is>
          <x:t xml:space="preserve">V11_story_burnout</x:t>
        </x:is>
      </x:c>
      <x:c r="D547" s="5" t="inlineStr">
        <x:is>
          <x:t xml:space="preserve">heavy_bionic</x:t>
        </x:is>
      </x:c>
      <x:c r="E547" s="5" t="inlineStr">
        <x:is>
          <x:t xml:space="preserve">audio_on</x:t>
        </x:is>
      </x:c>
      <x:c r="F547" s="6" t="inlineStr">
        <x:is>
          <x:t xml:space="preserve"/>
        </x:is>
      </x:c>
      <x:c r="G547" s="6" t="inlineStr">
        <x:is>
          <x:t xml:space="preserve">6</x:t>
        </x:is>
      </x:c>
      <x:c r="H547" s="5" t="inlineStr">
        <x:is>
          <x:t xml:space="preserve"/>
        </x:is>
      </x:c>
      <x:c r="I547" s="5" t="inlineStr">
        <x:is>
          <x:t xml:space="preserve"/>
        </x:is>
      </x:c>
      <x:c r="J547" s="5" t="inlineStr">
        <x:is>
          <x:t xml:space="preserve"/>
        </x:is>
      </x:c>
      <x:c r="K547" s="5" t="inlineStr">
        <x:is>
          <x:t xml:space="preserve"/>
        </x:is>
      </x:c>
      <x:c r="L547" s="5" t="inlineStr">
        <x:is>
          <x:t xml:space="preserve"/>
        </x:is>
      </x:c>
      <x:c r="M547" s="5" t="inlineStr">
        <x:is>
          <x:t xml:space="preserve"/>
        </x:is>
      </x:c>
      <x:c r="N547" s="5" t="inlineStr">
        <x:is>
          <x:t xml:space="preserve"/>
        </x:is>
      </x:c>
      <x:c r="O547" s="5" t="inlineStr">
        <x:is>
          <x:t xml:space="preserve"/>
        </x:is>
      </x:c>
      <x:c r="P547" s="5" t="inlineStr">
        <x:is>
          <x:t xml:space="preserve"/>
        </x:is>
      </x:c>
      <x:c r="Q547" s="5" t="inlineStr">
        <x:is>
          <x:t xml:space="preserve"/>
        </x:is>
      </x:c>
      <x:c r="R547" s="5">
        <x:f>IF(OR(F547="",G547=""),"",IF(F547&gt;=0.95*G547,1,0))</x:f>
      </x:c>
      <x:c r="S547" s="7">
        <x:f>IFERROR((I547+J547+K547)/F547,"")</x:f>
      </x:c>
      <x:c r="T547" s="5">
        <x:f>IFERROR(I547+J547+K547,"")</x:f>
        <x:v>0</x:v>
      </x:c>
    </x:row>
    <x:row r="548" ht="22" customHeight="1">
      <x:c r="A548" s="5" t="inlineStr">
        <x:is>
          <x:t xml:space="preserve">P046</x:t>
        </x:is>
      </x:c>
      <x:c r="B548" s="5" t="inlineStr">
        <x:is>
          <x:t xml:space="preserve">4</x:t>
        </x:is>
      </x:c>
      <x:c r="C548" s="5" t="inlineStr">
        <x:is>
          <x:t xml:space="preserve">V12_creativity_constraints</x:t>
        </x:is>
      </x:c>
      <x:c r="D548" s="5" t="inlineStr">
        <x:is>
          <x:t xml:space="preserve">full_transcript</x:t>
        </x:is>
      </x:c>
      <x:c r="E548" s="5" t="inlineStr">
        <x:is>
          <x:t xml:space="preserve">muted</x:t>
        </x:is>
      </x:c>
      <x:c r="F548" s="6" t="inlineStr">
        <x:is>
          <x:t xml:space="preserve"/>
        </x:is>
      </x:c>
      <x:c r="G548" s="6" t="inlineStr">
        <x:is>
          <x:t xml:space="preserve">6</x:t>
        </x:is>
      </x:c>
      <x:c r="H548" s="5" t="inlineStr">
        <x:is>
          <x:t xml:space="preserve"/>
        </x:is>
      </x:c>
      <x:c r="I548" s="5" t="inlineStr">
        <x:is>
          <x:t xml:space="preserve"/>
        </x:is>
      </x:c>
      <x:c r="J548" s="5" t="inlineStr">
        <x:is>
          <x:t xml:space="preserve"/>
        </x:is>
      </x:c>
      <x:c r="K548" s="5" t="inlineStr">
        <x:is>
          <x:t xml:space="preserve"/>
        </x:is>
      </x:c>
      <x:c r="L548" s="5" t="inlineStr">
        <x:is>
          <x:t xml:space="preserve"/>
        </x:is>
      </x:c>
      <x:c r="M548" s="5" t="inlineStr">
        <x:is>
          <x:t xml:space="preserve"/>
        </x:is>
      </x:c>
      <x:c r="N548" s="5" t="inlineStr">
        <x:is>
          <x:t xml:space="preserve"/>
        </x:is>
      </x:c>
      <x:c r="O548" s="5" t="inlineStr">
        <x:is>
          <x:t xml:space="preserve"/>
        </x:is>
      </x:c>
      <x:c r="P548" s="5" t="inlineStr">
        <x:is>
          <x:t xml:space="preserve"/>
        </x:is>
      </x:c>
      <x:c r="Q548" s="5" t="inlineStr">
        <x:is>
          <x:t xml:space="preserve"/>
        </x:is>
      </x:c>
      <x:c r="R548" s="5">
        <x:f>IF(OR(F548="",G548=""),"",IF(F548&gt;=0.95*G548,1,0))</x:f>
      </x:c>
      <x:c r="S548" s="7">
        <x:f>IFERROR((I548+J548+K548)/F548,"")</x:f>
      </x:c>
      <x:c r="T548" s="5">
        <x:f>IFERROR(I548+J548+K548,"")</x:f>
        <x:v>0</x:v>
      </x:c>
    </x:row>
    <x:row r="549" ht="22" customHeight="1">
      <x:c r="A549" s="5" t="inlineStr">
        <x:is>
          <x:t xml:space="preserve">P046</x:t>
        </x:is>
      </x:c>
      <x:c r="B549" s="5" t="inlineStr">
        <x:is>
          <x:t xml:space="preserve">5</x:t>
        </x:is>
      </x:c>
      <x:c r="C549" s="5" t="inlineStr">
        <x:is>
          <x:t xml:space="preserve">V04_money_visibility</x:t>
        </x:is>
      </x:c>
      <x:c r="D549" s="5" t="inlineStr">
        <x:is>
          <x:t xml:space="preserve">keyword_highlight</x:t>
        </x:is>
      </x:c>
      <x:c r="E549" s="5" t="inlineStr">
        <x:is>
          <x:t xml:space="preserve">audio_on</x:t>
        </x:is>
      </x:c>
      <x:c r="F549" s="6" t="inlineStr">
        <x:is>
          <x:t xml:space="preserve"/>
        </x:is>
      </x:c>
      <x:c r="G549" s="6" t="inlineStr">
        <x:is>
          <x:t xml:space="preserve">6</x:t>
        </x:is>
      </x:c>
      <x:c r="H549" s="5" t="inlineStr">
        <x:is>
          <x:t xml:space="preserve"/>
        </x:is>
      </x:c>
      <x:c r="I549" s="5" t="inlineStr">
        <x:is>
          <x:t xml:space="preserve"/>
        </x:is>
      </x:c>
      <x:c r="J549" s="5" t="inlineStr">
        <x:is>
          <x:t xml:space="preserve"/>
        </x:is>
      </x:c>
      <x:c r="K549" s="5" t="inlineStr">
        <x:is>
          <x:t xml:space="preserve"/>
        </x:is>
      </x:c>
      <x:c r="L549" s="5" t="inlineStr">
        <x:is>
          <x:t xml:space="preserve"/>
        </x:is>
      </x:c>
      <x:c r="M549" s="5" t="inlineStr">
        <x:is>
          <x:t xml:space="preserve"/>
        </x:is>
      </x:c>
      <x:c r="N549" s="5" t="inlineStr">
        <x:is>
          <x:t xml:space="preserve"/>
        </x:is>
      </x:c>
      <x:c r="O549" s="5" t="inlineStr">
        <x:is>
          <x:t xml:space="preserve"/>
        </x:is>
      </x:c>
      <x:c r="P549" s="5" t="inlineStr">
        <x:is>
          <x:t xml:space="preserve"/>
        </x:is>
      </x:c>
      <x:c r="Q549" s="5" t="inlineStr">
        <x:is>
          <x:t xml:space="preserve"/>
        </x:is>
      </x:c>
      <x:c r="R549" s="5">
        <x:f>IF(OR(F549="",G549=""),"",IF(F549&gt;=0.95*G549,1,0))</x:f>
      </x:c>
      <x:c r="S549" s="7">
        <x:f>IFERROR((I549+J549+K549)/F549,"")</x:f>
      </x:c>
      <x:c r="T549" s="5">
        <x:f>IFERROR(I549+J549+K549,"")</x:f>
        <x:v>0</x:v>
      </x:c>
    </x:row>
    <x:row r="550" ht="22" customHeight="1">
      <x:c r="A550" s="5" t="inlineStr">
        <x:is>
          <x:t xml:space="preserve">P046</x:t>
        </x:is>
      </x:c>
      <x:c r="B550" s="5" t="inlineStr">
        <x:is>
          <x:t xml:space="preserve">6</x:t>
        </x:is>
      </x:c>
      <x:c r="C550" s="5" t="inlineStr">
        <x:is>
          <x:t xml:space="preserve">V03_fitness_setup</x:t>
        </x:is>
      </x:c>
      <x:c r="D550" s="5" t="inlineStr">
        <x:is>
          <x:t xml:space="preserve">semantic_compression</x:t>
        </x:is>
      </x:c>
      <x:c r="E550" s="5" t="inlineStr">
        <x:is>
          <x:t xml:space="preserve">muted</x:t>
        </x:is>
      </x:c>
      <x:c r="F550" s="6" t="inlineStr">
        <x:is>
          <x:t xml:space="preserve"/>
        </x:is>
      </x:c>
      <x:c r="G550" s="6" t="inlineStr">
        <x:is>
          <x:t xml:space="preserve">6</x:t>
        </x:is>
      </x:c>
      <x:c r="H550" s="5" t="inlineStr">
        <x:is>
          <x:t xml:space="preserve"/>
        </x:is>
      </x:c>
      <x:c r="I550" s="5" t="inlineStr">
        <x:is>
          <x:t xml:space="preserve"/>
        </x:is>
      </x:c>
      <x:c r="J550" s="5" t="inlineStr">
        <x:is>
          <x:t xml:space="preserve"/>
        </x:is>
      </x:c>
      <x:c r="K550" s="5" t="inlineStr">
        <x:is>
          <x:t xml:space="preserve"/>
        </x:is>
      </x:c>
      <x:c r="L550" s="5" t="inlineStr">
        <x:is>
          <x:t xml:space="preserve"/>
        </x:is>
      </x:c>
      <x:c r="M550" s="5" t="inlineStr">
        <x:is>
          <x:t xml:space="preserve"/>
        </x:is>
      </x:c>
      <x:c r="N550" s="5" t="inlineStr">
        <x:is>
          <x:t xml:space="preserve"/>
        </x:is>
      </x:c>
      <x:c r="O550" s="5" t="inlineStr">
        <x:is>
          <x:t xml:space="preserve"/>
        </x:is>
      </x:c>
      <x:c r="P550" s="5" t="inlineStr">
        <x:is>
          <x:t xml:space="preserve"/>
        </x:is>
      </x:c>
      <x:c r="Q550" s="5" t="inlineStr">
        <x:is>
          <x:t xml:space="preserve"/>
        </x:is>
      </x:c>
      <x:c r="R550" s="5">
        <x:f>IF(OR(F550="",G550=""),"",IF(F550&gt;=0.95*G550,1,0))</x:f>
      </x:c>
      <x:c r="S550" s="7">
        <x:f>IFERROR((I550+J550+K550)/F550,"")</x:f>
      </x:c>
      <x:c r="T550" s="5">
        <x:f>IFERROR(I550+J550+K550,"")</x:f>
        <x:v>0</x:v>
      </x:c>
    </x:row>
    <x:row r="551" ht="22" customHeight="1">
      <x:c r="A551" s="5" t="inlineStr">
        <x:is>
          <x:t xml:space="preserve">P046</x:t>
        </x:is>
      </x:c>
      <x:c r="B551" s="5" t="inlineStr">
        <x:is>
          <x:t xml:space="preserve">7</x:t>
        </x:is>
      </x:c>
      <x:c r="C551" s="5" t="inlineStr">
        <x:is>
          <x:t xml:space="preserve">V06_overload_open_loops</x:t>
        </x:is>
      </x:c>
      <x:c r="D551" s="5" t="inlineStr">
        <x:is>
          <x:t xml:space="preserve">bcc</x:t>
        </x:is>
      </x:c>
      <x:c r="E551" s="5" t="inlineStr">
        <x:is>
          <x:t xml:space="preserve">audio_on</x:t>
        </x:is>
      </x:c>
      <x:c r="F551" s="6" t="inlineStr">
        <x:is>
          <x:t xml:space="preserve"/>
        </x:is>
      </x:c>
      <x:c r="G551" s="6" t="inlineStr">
        <x:is>
          <x:t xml:space="preserve">6</x:t>
        </x:is>
      </x:c>
      <x:c r="H551" s="5" t="inlineStr">
        <x:is>
          <x:t xml:space="preserve"/>
        </x:is>
      </x:c>
      <x:c r="I551" s="5" t="inlineStr">
        <x:is>
          <x:t xml:space="preserve"/>
        </x:is>
      </x:c>
      <x:c r="J551" s="5" t="inlineStr">
        <x:is>
          <x:t xml:space="preserve"/>
        </x:is>
      </x:c>
      <x:c r="K551" s="5" t="inlineStr">
        <x:is>
          <x:t xml:space="preserve"/>
        </x:is>
      </x:c>
      <x:c r="L551" s="5" t="inlineStr">
        <x:is>
          <x:t xml:space="preserve"/>
        </x:is>
      </x:c>
      <x:c r="M551" s="5" t="inlineStr">
        <x:is>
          <x:t xml:space="preserve"/>
        </x:is>
      </x:c>
      <x:c r="N551" s="5" t="inlineStr">
        <x:is>
          <x:t xml:space="preserve"/>
        </x:is>
      </x:c>
      <x:c r="O551" s="5" t="inlineStr">
        <x:is>
          <x:t xml:space="preserve"/>
        </x:is>
      </x:c>
      <x:c r="P551" s="5" t="inlineStr">
        <x:is>
          <x:t xml:space="preserve"/>
        </x:is>
      </x:c>
      <x:c r="Q551" s="5" t="inlineStr">
        <x:is>
          <x:t xml:space="preserve"/>
        </x:is>
      </x:c>
      <x:c r="R551" s="5">
        <x:f>IF(OR(F551="",G551=""),"",IF(F551&gt;=0.95*G551,1,0))</x:f>
      </x:c>
      <x:c r="S551" s="7">
        <x:f>IFERROR((I551+J551+K551)/F551,"")</x:f>
      </x:c>
      <x:c r="T551" s="5">
        <x:f>IFERROR(I551+J551+K551,"")</x:f>
        <x:v>0</x:v>
      </x:c>
    </x:row>
    <x:row r="552" ht="22" customHeight="1">
      <x:c r="A552" s="5" t="inlineStr">
        <x:is>
          <x:t xml:space="preserve">P046</x:t>
        </x:is>
      </x:c>
      <x:c r="B552" s="5" t="inlineStr">
        <x:is>
          <x:t xml:space="preserve">8</x:t>
        </x:is>
      </x:c>
      <x:c r="C552" s="5" t="inlineStr">
        <x:is>
          <x:t xml:space="preserve">V10_tutorial_ui</x:t>
        </x:is>
      </x:c>
      <x:c r="D552" s="5" t="inlineStr">
        <x:is>
          <x:t xml:space="preserve">bcc_plus</x:t>
        </x:is>
      </x:c>
      <x:c r="E552" s="5" t="inlineStr">
        <x:is>
          <x:t xml:space="preserve">muted</x:t>
        </x:is>
      </x:c>
      <x:c r="F552" s="6" t="inlineStr">
        <x:is>
          <x:t xml:space="preserve"/>
        </x:is>
      </x:c>
      <x:c r="G552" s="6" t="inlineStr">
        <x:is>
          <x:t xml:space="preserve">6</x:t>
        </x:is>
      </x:c>
      <x:c r="H552" s="5" t="inlineStr">
        <x:is>
          <x:t xml:space="preserve"/>
        </x:is>
      </x:c>
      <x:c r="I552" s="5" t="inlineStr">
        <x:is>
          <x:t xml:space="preserve"/>
        </x:is>
      </x:c>
      <x:c r="J552" s="5" t="inlineStr">
        <x:is>
          <x:t xml:space="preserve"/>
        </x:is>
      </x:c>
      <x:c r="K552" s="5" t="inlineStr">
        <x:is>
          <x:t xml:space="preserve"/>
        </x:is>
      </x:c>
      <x:c r="L552" s="5" t="inlineStr">
        <x:is>
          <x:t xml:space="preserve"/>
        </x:is>
      </x:c>
      <x:c r="M552" s="5" t="inlineStr">
        <x:is>
          <x:t xml:space="preserve"/>
        </x:is>
      </x:c>
      <x:c r="N552" s="5" t="inlineStr">
        <x:is>
          <x:t xml:space="preserve"/>
        </x:is>
      </x:c>
      <x:c r="O552" s="5" t="inlineStr">
        <x:is>
          <x:t xml:space="preserve"/>
        </x:is>
      </x:c>
      <x:c r="P552" s="5" t="inlineStr">
        <x:is>
          <x:t xml:space="preserve"/>
        </x:is>
      </x:c>
      <x:c r="Q552" s="5" t="inlineStr">
        <x:is>
          <x:t xml:space="preserve"/>
        </x:is>
      </x:c>
      <x:c r="R552" s="5">
        <x:f>IF(OR(F552="",G552=""),"",IF(F552&gt;=0.95*G552,1,0))</x:f>
      </x:c>
      <x:c r="S552" s="7">
        <x:f>IFERROR((I552+J552+K552)/F552,"")</x:f>
      </x:c>
      <x:c r="T552" s="5">
        <x:f>IFERROR(I552+J552+K552,"")</x:f>
        <x:v>0</x:v>
      </x:c>
    </x:row>
    <x:row r="553" ht="22" customHeight="1">
      <x:c r="A553" s="5" t="inlineStr">
        <x:is>
          <x:t xml:space="preserve">P046</x:t>
        </x:is>
      </x:c>
      <x:c r="B553" s="5" t="inlineStr">
        <x:is>
          <x:t xml:space="preserve">9</x:t>
        </x:is>
      </x:c>
      <x:c r="C553" s="5" t="inlineStr">
        <x:is>
          <x:t xml:space="preserve">V08_calendar_system</x:t>
        </x:is>
      </x:c>
      <x:c r="D553" s="5" t="inlineStr">
        <x:is>
          <x:t xml:space="preserve">heavy_bionic</x:t>
        </x:is>
      </x:c>
      <x:c r="E553" s="5" t="inlineStr">
        <x:is>
          <x:t xml:space="preserve">audio_on</x:t>
        </x:is>
      </x:c>
      <x:c r="F553" s="6" t="inlineStr">
        <x:is>
          <x:t xml:space="preserve"/>
        </x:is>
      </x:c>
      <x:c r="G553" s="6" t="inlineStr">
        <x:is>
          <x:t xml:space="preserve">6</x:t>
        </x:is>
      </x:c>
      <x:c r="H553" s="5" t="inlineStr">
        <x:is>
          <x:t xml:space="preserve"/>
        </x:is>
      </x:c>
      <x:c r="I553" s="5" t="inlineStr">
        <x:is>
          <x:t xml:space="preserve"/>
        </x:is>
      </x:c>
      <x:c r="J553" s="5" t="inlineStr">
        <x:is>
          <x:t xml:space="preserve"/>
        </x:is>
      </x:c>
      <x:c r="K553" s="5" t="inlineStr">
        <x:is>
          <x:t xml:space="preserve"/>
        </x:is>
      </x:c>
      <x:c r="L553" s="5" t="inlineStr">
        <x:is>
          <x:t xml:space="preserve"/>
        </x:is>
      </x:c>
      <x:c r="M553" s="5" t="inlineStr">
        <x:is>
          <x:t xml:space="preserve"/>
        </x:is>
      </x:c>
      <x:c r="N553" s="5" t="inlineStr">
        <x:is>
          <x:t xml:space="preserve"/>
        </x:is>
      </x:c>
      <x:c r="O553" s="5" t="inlineStr">
        <x:is>
          <x:t xml:space="preserve"/>
        </x:is>
      </x:c>
      <x:c r="P553" s="5" t="inlineStr">
        <x:is>
          <x:t xml:space="preserve"/>
        </x:is>
      </x:c>
      <x:c r="Q553" s="5" t="inlineStr">
        <x:is>
          <x:t xml:space="preserve"/>
        </x:is>
      </x:c>
      <x:c r="R553" s="5">
        <x:f>IF(OR(F553="",G553=""),"",IF(F553&gt;=0.95*G553,1,0))</x:f>
      </x:c>
      <x:c r="S553" s="7">
        <x:f>IFERROR((I553+J553+K553)/F553,"")</x:f>
      </x:c>
      <x:c r="T553" s="5">
        <x:f>IFERROR(I553+J553+K553,"")</x:f>
        <x:v>0</x:v>
      </x:c>
    </x:row>
    <x:row r="554" ht="22" customHeight="1">
      <x:c r="A554" s="5" t="inlineStr">
        <x:is>
          <x:t xml:space="preserve">P046</x:t>
        </x:is>
      </x:c>
      <x:c r="B554" s="5" t="inlineStr">
        <x:is>
          <x:t xml:space="preserve">10</x:t>
        </x:is>
      </x:c>
      <x:c r="C554" s="5" t="inlineStr">
        <x:is>
          <x:t xml:space="preserve">V01_productivity_friction</x:t>
        </x:is>
      </x:c>
      <x:c r="D554" s="5" t="inlineStr">
        <x:is>
          <x:t xml:space="preserve">full_transcript</x:t>
        </x:is>
      </x:c>
      <x:c r="E554" s="5" t="inlineStr">
        <x:is>
          <x:t xml:space="preserve">muted</x:t>
        </x:is>
      </x:c>
      <x:c r="F554" s="6" t="inlineStr">
        <x:is>
          <x:t xml:space="preserve"/>
        </x:is>
      </x:c>
      <x:c r="G554" s="6" t="inlineStr">
        <x:is>
          <x:t xml:space="preserve">6</x:t>
        </x:is>
      </x:c>
      <x:c r="H554" s="5" t="inlineStr">
        <x:is>
          <x:t xml:space="preserve"/>
        </x:is>
      </x:c>
      <x:c r="I554" s="5" t="inlineStr">
        <x:is>
          <x:t xml:space="preserve"/>
        </x:is>
      </x:c>
      <x:c r="J554" s="5" t="inlineStr">
        <x:is>
          <x:t xml:space="preserve"/>
        </x:is>
      </x:c>
      <x:c r="K554" s="5" t="inlineStr">
        <x:is>
          <x:t xml:space="preserve"/>
        </x:is>
      </x:c>
      <x:c r="L554" s="5" t="inlineStr">
        <x:is>
          <x:t xml:space="preserve"/>
        </x:is>
      </x:c>
      <x:c r="M554" s="5" t="inlineStr">
        <x:is>
          <x:t xml:space="preserve"/>
        </x:is>
      </x:c>
      <x:c r="N554" s="5" t="inlineStr">
        <x:is>
          <x:t xml:space="preserve"/>
        </x:is>
      </x:c>
      <x:c r="O554" s="5" t="inlineStr">
        <x:is>
          <x:t xml:space="preserve"/>
        </x:is>
      </x:c>
      <x:c r="P554" s="5" t="inlineStr">
        <x:is>
          <x:t xml:space="preserve"/>
        </x:is>
      </x:c>
      <x:c r="Q554" s="5" t="inlineStr">
        <x:is>
          <x:t xml:space="preserve"/>
        </x:is>
      </x:c>
      <x:c r="R554" s="5">
        <x:f>IF(OR(F554="",G554=""),"",IF(F554&gt;=0.95*G554,1,0))</x:f>
      </x:c>
      <x:c r="S554" s="7">
        <x:f>IFERROR((I554+J554+K554)/F554,"")</x:f>
      </x:c>
      <x:c r="T554" s="5">
        <x:f>IFERROR(I554+J554+K554,"")</x:f>
        <x:v>0</x:v>
      </x:c>
    </x:row>
    <x:row r="555" ht="22" customHeight="1">
      <x:c r="A555" s="5" t="inlineStr">
        <x:is>
          <x:t xml:space="preserve">P046</x:t>
        </x:is>
      </x:c>
      <x:c r="B555" s="5" t="inlineStr">
        <x:is>
          <x:t xml:space="preserve">11</x:t>
        </x:is>
      </x:c>
      <x:c r="C555" s="5" t="inlineStr">
        <x:is>
          <x:t xml:space="preserve">V09_nutrition_satiety</x:t>
        </x:is>
      </x:c>
      <x:c r="D555" s="5" t="inlineStr">
        <x:is>
          <x:t xml:space="preserve">keyword_highlight</x:t>
        </x:is>
      </x:c>
      <x:c r="E555" s="5" t="inlineStr">
        <x:is>
          <x:t xml:space="preserve">audio_on</x:t>
        </x:is>
      </x:c>
      <x:c r="F555" s="6" t="inlineStr">
        <x:is>
          <x:t xml:space="preserve"/>
        </x:is>
      </x:c>
      <x:c r="G555" s="6" t="inlineStr">
        <x:is>
          <x:t xml:space="preserve">6</x:t>
        </x:is>
      </x:c>
      <x:c r="H555" s="5" t="inlineStr">
        <x:is>
          <x:t xml:space="preserve"/>
        </x:is>
      </x:c>
      <x:c r="I555" s="5" t="inlineStr">
        <x:is>
          <x:t xml:space="preserve"/>
        </x:is>
      </x:c>
      <x:c r="J555" s="5" t="inlineStr">
        <x:is>
          <x:t xml:space="preserve"/>
        </x:is>
      </x:c>
      <x:c r="K555" s="5" t="inlineStr">
        <x:is>
          <x:t xml:space="preserve"/>
        </x:is>
      </x:c>
      <x:c r="L555" s="5" t="inlineStr">
        <x:is>
          <x:t xml:space="preserve"/>
        </x:is>
      </x:c>
      <x:c r="M555" s="5" t="inlineStr">
        <x:is>
          <x:t xml:space="preserve"/>
        </x:is>
      </x:c>
      <x:c r="N555" s="5" t="inlineStr">
        <x:is>
          <x:t xml:space="preserve"/>
        </x:is>
      </x:c>
      <x:c r="O555" s="5" t="inlineStr">
        <x:is>
          <x:t xml:space="preserve"/>
        </x:is>
      </x:c>
      <x:c r="P555" s="5" t="inlineStr">
        <x:is>
          <x:t xml:space="preserve"/>
        </x:is>
      </x:c>
      <x:c r="Q555" s="5" t="inlineStr">
        <x:is>
          <x:t xml:space="preserve"/>
        </x:is>
      </x:c>
      <x:c r="R555" s="5">
        <x:f>IF(OR(F555="",G555=""),"",IF(F555&gt;=0.95*G555,1,0))</x:f>
      </x:c>
      <x:c r="S555" s="7">
        <x:f>IFERROR((I555+J555+K555)/F555,"")</x:f>
      </x:c>
      <x:c r="T555" s="5">
        <x:f>IFERROR(I555+J555+K555,"")</x:f>
        <x:v>0</x:v>
      </x:c>
    </x:row>
    <x:row r="556" ht="22" customHeight="1">
      <x:c r="A556" s="5" t="inlineStr">
        <x:is>
          <x:t xml:space="preserve">P046</x:t>
        </x:is>
      </x:c>
      <x:c r="B556" s="5" t="inlineStr">
        <x:is>
          <x:t xml:space="preserve">12</x:t>
        </x:is>
      </x:c>
      <x:c r="C556" s="5" t="inlineStr">
        <x:is>
          <x:t xml:space="preserve">V07_business_clarity</x:t>
        </x:is>
      </x:c>
      <x:c r="D556" s="5" t="inlineStr">
        <x:is>
          <x:t xml:space="preserve">semantic_compression</x:t>
        </x:is>
      </x:c>
      <x:c r="E556" s="5" t="inlineStr">
        <x:is>
          <x:t xml:space="preserve">muted</x:t>
        </x:is>
      </x:c>
      <x:c r="F556" s="6" t="inlineStr">
        <x:is>
          <x:t xml:space="preserve"/>
        </x:is>
      </x:c>
      <x:c r="G556" s="6" t="inlineStr">
        <x:is>
          <x:t xml:space="preserve">6</x:t>
        </x:is>
      </x:c>
      <x:c r="H556" s="5" t="inlineStr">
        <x:is>
          <x:t xml:space="preserve"/>
        </x:is>
      </x:c>
      <x:c r="I556" s="5" t="inlineStr">
        <x:is>
          <x:t xml:space="preserve"/>
        </x:is>
      </x:c>
      <x:c r="J556" s="5" t="inlineStr">
        <x:is>
          <x:t xml:space="preserve"/>
        </x:is>
      </x:c>
      <x:c r="K556" s="5" t="inlineStr">
        <x:is>
          <x:t xml:space="preserve"/>
        </x:is>
      </x:c>
      <x:c r="L556" s="5" t="inlineStr">
        <x:is>
          <x:t xml:space="preserve"/>
        </x:is>
      </x:c>
      <x:c r="M556" s="5" t="inlineStr">
        <x:is>
          <x:t xml:space="preserve"/>
        </x:is>
      </x:c>
      <x:c r="N556" s="5" t="inlineStr">
        <x:is>
          <x:t xml:space="preserve"/>
        </x:is>
      </x:c>
      <x:c r="O556" s="5" t="inlineStr">
        <x:is>
          <x:t xml:space="preserve"/>
        </x:is>
      </x:c>
      <x:c r="P556" s="5" t="inlineStr">
        <x:is>
          <x:t xml:space="preserve"/>
        </x:is>
      </x:c>
      <x:c r="Q556" s="5" t="inlineStr">
        <x:is>
          <x:t xml:space="preserve"/>
        </x:is>
      </x:c>
      <x:c r="R556" s="5">
        <x:f>IF(OR(F556="",G556=""),"",IF(F556&gt;=0.95*G556,1,0))</x:f>
      </x:c>
      <x:c r="S556" s="7">
        <x:f>IFERROR((I556+J556+K556)/F556,"")</x:f>
      </x:c>
      <x:c r="T556" s="5">
        <x:f>IFERROR(I556+J556+K556,"")</x:f>
        <x:v>0</x:v>
      </x:c>
    </x:row>
    <x:row r="557" ht="22" customHeight="1">
      <x:c r="A557" s="5" t="inlineStr">
        <x:is>
          <x:t xml:space="preserve">P047</x:t>
        </x:is>
      </x:c>
      <x:c r="B557" s="5" t="inlineStr">
        <x:is>
          <x:t xml:space="preserve">1</x:t>
        </x:is>
      </x:c>
      <x:c r="C557" s="5" t="inlineStr">
        <x:is>
          <x:t xml:space="preserve">V09_nutrition_satiety</x:t>
        </x:is>
      </x:c>
      <x:c r="D557" s="5" t="inlineStr">
        <x:is>
          <x:t xml:space="preserve">bcc_plus</x:t>
        </x:is>
      </x:c>
      <x:c r="E557" s="5" t="inlineStr">
        <x:is>
          <x:t xml:space="preserve">muted</x:t>
        </x:is>
      </x:c>
      <x:c r="F557" s="6" t="inlineStr">
        <x:is>
          <x:t xml:space="preserve"/>
        </x:is>
      </x:c>
      <x:c r="G557" s="6" t="inlineStr">
        <x:is>
          <x:t xml:space="preserve">6</x:t>
        </x:is>
      </x:c>
      <x:c r="H557" s="5" t="inlineStr">
        <x:is>
          <x:t xml:space="preserve"/>
        </x:is>
      </x:c>
      <x:c r="I557" s="5" t="inlineStr">
        <x:is>
          <x:t xml:space="preserve"/>
        </x:is>
      </x:c>
      <x:c r="J557" s="5" t="inlineStr">
        <x:is>
          <x:t xml:space="preserve"/>
        </x:is>
      </x:c>
      <x:c r="K557" s="5" t="inlineStr">
        <x:is>
          <x:t xml:space="preserve"/>
        </x:is>
      </x:c>
      <x:c r="L557" s="5" t="inlineStr">
        <x:is>
          <x:t xml:space="preserve"/>
        </x:is>
      </x:c>
      <x:c r="M557" s="5" t="inlineStr">
        <x:is>
          <x:t xml:space="preserve"/>
        </x:is>
      </x:c>
      <x:c r="N557" s="5" t="inlineStr">
        <x:is>
          <x:t xml:space="preserve"/>
        </x:is>
      </x:c>
      <x:c r="O557" s="5" t="inlineStr">
        <x:is>
          <x:t xml:space="preserve"/>
        </x:is>
      </x:c>
      <x:c r="P557" s="5" t="inlineStr">
        <x:is>
          <x:t xml:space="preserve"/>
        </x:is>
      </x:c>
      <x:c r="Q557" s="5" t="inlineStr">
        <x:is>
          <x:t xml:space="preserve"/>
        </x:is>
      </x:c>
      <x:c r="R557" s="5">
        <x:f>IF(OR(F557="",G557=""),"",IF(F557&gt;=0.95*G557,1,0))</x:f>
      </x:c>
      <x:c r="S557" s="7">
        <x:f>IFERROR((I557+J557+K557)/F557,"")</x:f>
      </x:c>
      <x:c r="T557" s="5">
        <x:f>IFERROR(I557+J557+K557,"")</x:f>
        <x:v>0</x:v>
      </x:c>
    </x:row>
    <x:row r="558" ht="22" customHeight="1">
      <x:c r="A558" s="5" t="inlineStr">
        <x:is>
          <x:t xml:space="preserve">P047</x:t>
        </x:is>
      </x:c>
      <x:c r="B558" s="5" t="inlineStr">
        <x:is>
          <x:t xml:space="preserve">2</x:t>
        </x:is>
      </x:c>
      <x:c r="C558" s="5" t="inlineStr">
        <x:is>
          <x:t xml:space="preserve">V04_money_visibility</x:t>
        </x:is>
      </x:c>
      <x:c r="D558" s="5" t="inlineStr">
        <x:is>
          <x:t xml:space="preserve">heavy_bionic</x:t>
        </x:is>
      </x:c>
      <x:c r="E558" s="5" t="inlineStr">
        <x:is>
          <x:t xml:space="preserve">audio_on</x:t>
        </x:is>
      </x:c>
      <x:c r="F558" s="6" t="inlineStr">
        <x:is>
          <x:t xml:space="preserve"/>
        </x:is>
      </x:c>
      <x:c r="G558" s="6" t="inlineStr">
        <x:is>
          <x:t xml:space="preserve">6</x:t>
        </x:is>
      </x:c>
      <x:c r="H558" s="5" t="inlineStr">
        <x:is>
          <x:t xml:space="preserve"/>
        </x:is>
      </x:c>
      <x:c r="I558" s="5" t="inlineStr">
        <x:is>
          <x:t xml:space="preserve"/>
        </x:is>
      </x:c>
      <x:c r="J558" s="5" t="inlineStr">
        <x:is>
          <x:t xml:space="preserve"/>
        </x:is>
      </x:c>
      <x:c r="K558" s="5" t="inlineStr">
        <x:is>
          <x:t xml:space="preserve"/>
        </x:is>
      </x:c>
      <x:c r="L558" s="5" t="inlineStr">
        <x:is>
          <x:t xml:space="preserve"/>
        </x:is>
      </x:c>
      <x:c r="M558" s="5" t="inlineStr">
        <x:is>
          <x:t xml:space="preserve"/>
        </x:is>
      </x:c>
      <x:c r="N558" s="5" t="inlineStr">
        <x:is>
          <x:t xml:space="preserve"/>
        </x:is>
      </x:c>
      <x:c r="O558" s="5" t="inlineStr">
        <x:is>
          <x:t xml:space="preserve"/>
        </x:is>
      </x:c>
      <x:c r="P558" s="5" t="inlineStr">
        <x:is>
          <x:t xml:space="preserve"/>
        </x:is>
      </x:c>
      <x:c r="Q558" s="5" t="inlineStr">
        <x:is>
          <x:t xml:space="preserve"/>
        </x:is>
      </x:c>
      <x:c r="R558" s="5">
        <x:f>IF(OR(F558="",G558=""),"",IF(F558&gt;=0.95*G558,1,0))</x:f>
      </x:c>
      <x:c r="S558" s="7">
        <x:f>IFERROR((I558+J558+K558)/F558,"")</x:f>
      </x:c>
      <x:c r="T558" s="5">
        <x:f>IFERROR(I558+J558+K558,"")</x:f>
        <x:v>0</x:v>
      </x:c>
    </x:row>
    <x:row r="559" ht="22" customHeight="1">
      <x:c r="A559" s="5" t="inlineStr">
        <x:is>
          <x:t xml:space="preserve">P047</x:t>
        </x:is>
      </x:c>
      <x:c r="B559" s="5" t="inlineStr">
        <x:is>
          <x:t xml:space="preserve">3</x:t>
        </x:is>
      </x:c>
      <x:c r="C559" s="5" t="inlineStr">
        <x:is>
          <x:t xml:space="preserve">V07_business_clarity</x:t>
        </x:is>
      </x:c>
      <x:c r="D559" s="5" t="inlineStr">
        <x:is>
          <x:t xml:space="preserve">full_transcript</x:t>
        </x:is>
      </x:c>
      <x:c r="E559" s="5" t="inlineStr">
        <x:is>
          <x:t xml:space="preserve">muted</x:t>
        </x:is>
      </x:c>
      <x:c r="F559" s="6" t="inlineStr">
        <x:is>
          <x:t xml:space="preserve"/>
        </x:is>
      </x:c>
      <x:c r="G559" s="6" t="inlineStr">
        <x:is>
          <x:t xml:space="preserve">6</x:t>
        </x:is>
      </x:c>
      <x:c r="H559" s="5" t="inlineStr">
        <x:is>
          <x:t xml:space="preserve"/>
        </x:is>
      </x:c>
      <x:c r="I559" s="5" t="inlineStr">
        <x:is>
          <x:t xml:space="preserve"/>
        </x:is>
      </x:c>
      <x:c r="J559" s="5" t="inlineStr">
        <x:is>
          <x:t xml:space="preserve"/>
        </x:is>
      </x:c>
      <x:c r="K559" s="5" t="inlineStr">
        <x:is>
          <x:t xml:space="preserve"/>
        </x:is>
      </x:c>
      <x:c r="L559" s="5" t="inlineStr">
        <x:is>
          <x:t xml:space="preserve"/>
        </x:is>
      </x:c>
      <x:c r="M559" s="5" t="inlineStr">
        <x:is>
          <x:t xml:space="preserve"/>
        </x:is>
      </x:c>
      <x:c r="N559" s="5" t="inlineStr">
        <x:is>
          <x:t xml:space="preserve"/>
        </x:is>
      </x:c>
      <x:c r="O559" s="5" t="inlineStr">
        <x:is>
          <x:t xml:space="preserve"/>
        </x:is>
      </x:c>
      <x:c r="P559" s="5" t="inlineStr">
        <x:is>
          <x:t xml:space="preserve"/>
        </x:is>
      </x:c>
      <x:c r="Q559" s="5" t="inlineStr">
        <x:is>
          <x:t xml:space="preserve"/>
        </x:is>
      </x:c>
      <x:c r="R559" s="5">
        <x:f>IF(OR(F559="",G559=""),"",IF(F559&gt;=0.95*G559,1,0))</x:f>
      </x:c>
      <x:c r="S559" s="7">
        <x:f>IFERROR((I559+J559+K559)/F559,"")</x:f>
      </x:c>
      <x:c r="T559" s="5">
        <x:f>IFERROR(I559+J559+K559,"")</x:f>
        <x:v>0</x:v>
      </x:c>
    </x:row>
    <x:row r="560" ht="22" customHeight="1">
      <x:c r="A560" s="5" t="inlineStr">
        <x:is>
          <x:t xml:space="preserve">P047</x:t>
        </x:is>
      </x:c>
      <x:c r="B560" s="5" t="inlineStr">
        <x:is>
          <x:t xml:space="preserve">4</x:t>
        </x:is>
      </x:c>
      <x:c r="C560" s="5" t="inlineStr">
        <x:is>
          <x:t xml:space="preserve">V01_productivity_friction</x:t>
        </x:is>
      </x:c>
      <x:c r="D560" s="5" t="inlineStr">
        <x:is>
          <x:t xml:space="preserve">keyword_highlight</x:t>
        </x:is>
      </x:c>
      <x:c r="E560" s="5" t="inlineStr">
        <x:is>
          <x:t xml:space="preserve">audio_on</x:t>
        </x:is>
      </x:c>
      <x:c r="F560" s="6" t="inlineStr">
        <x:is>
          <x:t xml:space="preserve"/>
        </x:is>
      </x:c>
      <x:c r="G560" s="6" t="inlineStr">
        <x:is>
          <x:t xml:space="preserve">6</x:t>
        </x:is>
      </x:c>
      <x:c r="H560" s="5" t="inlineStr">
        <x:is>
          <x:t xml:space="preserve"/>
        </x:is>
      </x:c>
      <x:c r="I560" s="5" t="inlineStr">
        <x:is>
          <x:t xml:space="preserve"/>
        </x:is>
      </x:c>
      <x:c r="J560" s="5" t="inlineStr">
        <x:is>
          <x:t xml:space="preserve"/>
        </x:is>
      </x:c>
      <x:c r="K560" s="5" t="inlineStr">
        <x:is>
          <x:t xml:space="preserve"/>
        </x:is>
      </x:c>
      <x:c r="L560" s="5" t="inlineStr">
        <x:is>
          <x:t xml:space="preserve"/>
        </x:is>
      </x:c>
      <x:c r="M560" s="5" t="inlineStr">
        <x:is>
          <x:t xml:space="preserve"/>
        </x:is>
      </x:c>
      <x:c r="N560" s="5" t="inlineStr">
        <x:is>
          <x:t xml:space="preserve"/>
        </x:is>
      </x:c>
      <x:c r="O560" s="5" t="inlineStr">
        <x:is>
          <x:t xml:space="preserve"/>
        </x:is>
      </x:c>
      <x:c r="P560" s="5" t="inlineStr">
        <x:is>
          <x:t xml:space="preserve"/>
        </x:is>
      </x:c>
      <x:c r="Q560" s="5" t="inlineStr">
        <x:is>
          <x:t xml:space="preserve"/>
        </x:is>
      </x:c>
      <x:c r="R560" s="5">
        <x:f>IF(OR(F560="",G560=""),"",IF(F560&gt;=0.95*G560,1,0))</x:f>
      </x:c>
      <x:c r="S560" s="7">
        <x:f>IFERROR((I560+J560+K560)/F560,"")</x:f>
      </x:c>
      <x:c r="T560" s="5">
        <x:f>IFERROR(I560+J560+K560,"")</x:f>
        <x:v>0</x:v>
      </x:c>
    </x:row>
    <x:row r="561" ht="22" customHeight="1">
      <x:c r="A561" s="5" t="inlineStr">
        <x:is>
          <x:t xml:space="preserve">P047</x:t>
        </x:is>
      </x:c>
      <x:c r="B561" s="5" t="inlineStr">
        <x:is>
          <x:t xml:space="preserve">5</x:t>
        </x:is>
      </x:c>
      <x:c r="C561" s="5" t="inlineStr">
        <x:is>
          <x:t xml:space="preserve">V11_story_burnout</x:t>
        </x:is>
      </x:c>
      <x:c r="D561" s="5" t="inlineStr">
        <x:is>
          <x:t xml:space="preserve">semantic_compression</x:t>
        </x:is>
      </x:c>
      <x:c r="E561" s="5" t="inlineStr">
        <x:is>
          <x:t xml:space="preserve">muted</x:t>
        </x:is>
      </x:c>
      <x:c r="F561" s="6" t="inlineStr">
        <x:is>
          <x:t xml:space="preserve"/>
        </x:is>
      </x:c>
      <x:c r="G561" s="6" t="inlineStr">
        <x:is>
          <x:t xml:space="preserve">6</x:t>
        </x:is>
      </x:c>
      <x:c r="H561" s="5" t="inlineStr">
        <x:is>
          <x:t xml:space="preserve"/>
        </x:is>
      </x:c>
      <x:c r="I561" s="5" t="inlineStr">
        <x:is>
          <x:t xml:space="preserve"/>
        </x:is>
      </x:c>
      <x:c r="J561" s="5" t="inlineStr">
        <x:is>
          <x:t xml:space="preserve"/>
        </x:is>
      </x:c>
      <x:c r="K561" s="5" t="inlineStr">
        <x:is>
          <x:t xml:space="preserve"/>
        </x:is>
      </x:c>
      <x:c r="L561" s="5" t="inlineStr">
        <x:is>
          <x:t xml:space="preserve"/>
        </x:is>
      </x:c>
      <x:c r="M561" s="5" t="inlineStr">
        <x:is>
          <x:t xml:space="preserve"/>
        </x:is>
      </x:c>
      <x:c r="N561" s="5" t="inlineStr">
        <x:is>
          <x:t xml:space="preserve"/>
        </x:is>
      </x:c>
      <x:c r="O561" s="5" t="inlineStr">
        <x:is>
          <x:t xml:space="preserve"/>
        </x:is>
      </x:c>
      <x:c r="P561" s="5" t="inlineStr">
        <x:is>
          <x:t xml:space="preserve"/>
        </x:is>
      </x:c>
      <x:c r="Q561" s="5" t="inlineStr">
        <x:is>
          <x:t xml:space="preserve"/>
        </x:is>
      </x:c>
      <x:c r="R561" s="5">
        <x:f>IF(OR(F561="",G561=""),"",IF(F561&gt;=0.95*G561,1,0))</x:f>
      </x:c>
      <x:c r="S561" s="7">
        <x:f>IFERROR((I561+J561+K561)/F561,"")</x:f>
      </x:c>
      <x:c r="T561" s="5">
        <x:f>IFERROR(I561+J561+K561,"")</x:f>
        <x:v>0</x:v>
      </x:c>
    </x:row>
    <x:row r="562" ht="22" customHeight="1">
      <x:c r="A562" s="5" t="inlineStr">
        <x:is>
          <x:t xml:space="preserve">P047</x:t>
        </x:is>
      </x:c>
      <x:c r="B562" s="5" t="inlineStr">
        <x:is>
          <x:t xml:space="preserve">6</x:t>
        </x:is>
      </x:c>
      <x:c r="C562" s="5" t="inlineStr">
        <x:is>
          <x:t xml:space="preserve">V05_coding_assumptions</x:t>
        </x:is>
      </x:c>
      <x:c r="D562" s="5" t="inlineStr">
        <x:is>
          <x:t xml:space="preserve">bcc</x:t>
        </x:is>
      </x:c>
      <x:c r="E562" s="5" t="inlineStr">
        <x:is>
          <x:t xml:space="preserve">audio_on</x:t>
        </x:is>
      </x:c>
      <x:c r="F562" s="6" t="inlineStr">
        <x:is>
          <x:t xml:space="preserve"/>
        </x:is>
      </x:c>
      <x:c r="G562" s="6" t="inlineStr">
        <x:is>
          <x:t xml:space="preserve">6</x:t>
        </x:is>
      </x:c>
      <x:c r="H562" s="5" t="inlineStr">
        <x:is>
          <x:t xml:space="preserve"/>
        </x:is>
      </x:c>
      <x:c r="I562" s="5" t="inlineStr">
        <x:is>
          <x:t xml:space="preserve"/>
        </x:is>
      </x:c>
      <x:c r="J562" s="5" t="inlineStr">
        <x:is>
          <x:t xml:space="preserve"/>
        </x:is>
      </x:c>
      <x:c r="K562" s="5" t="inlineStr">
        <x:is>
          <x:t xml:space="preserve"/>
        </x:is>
      </x:c>
      <x:c r="L562" s="5" t="inlineStr">
        <x:is>
          <x:t xml:space="preserve"/>
        </x:is>
      </x:c>
      <x:c r="M562" s="5" t="inlineStr">
        <x:is>
          <x:t xml:space="preserve"/>
        </x:is>
      </x:c>
      <x:c r="N562" s="5" t="inlineStr">
        <x:is>
          <x:t xml:space="preserve"/>
        </x:is>
      </x:c>
      <x:c r="O562" s="5" t="inlineStr">
        <x:is>
          <x:t xml:space="preserve"/>
        </x:is>
      </x:c>
      <x:c r="P562" s="5" t="inlineStr">
        <x:is>
          <x:t xml:space="preserve"/>
        </x:is>
      </x:c>
      <x:c r="Q562" s="5" t="inlineStr">
        <x:is>
          <x:t xml:space="preserve"/>
        </x:is>
      </x:c>
      <x:c r="R562" s="5">
        <x:f>IF(OR(F562="",G562=""),"",IF(F562&gt;=0.95*G562,1,0))</x:f>
      </x:c>
      <x:c r="S562" s="7">
        <x:f>IFERROR((I562+J562+K562)/F562,"")</x:f>
      </x:c>
      <x:c r="T562" s="5">
        <x:f>IFERROR(I562+J562+K562,"")</x:f>
        <x:v>0</x:v>
      </x:c>
    </x:row>
    <x:row r="563" ht="22" customHeight="1">
      <x:c r="A563" s="5" t="inlineStr">
        <x:is>
          <x:t xml:space="preserve">P047</x:t>
        </x:is>
      </x:c>
      <x:c r="B563" s="5" t="inlineStr">
        <x:is>
          <x:t xml:space="preserve">7</x:t>
        </x:is>
      </x:c>
      <x:c r="C563" s="5" t="inlineStr">
        <x:is>
          <x:t xml:space="preserve">V08_calendar_system</x:t>
        </x:is>
      </x:c>
      <x:c r="D563" s="5" t="inlineStr">
        <x:is>
          <x:t xml:space="preserve">bcc_plus</x:t>
        </x:is>
      </x:c>
      <x:c r="E563" s="5" t="inlineStr">
        <x:is>
          <x:t xml:space="preserve">muted</x:t>
        </x:is>
      </x:c>
      <x:c r="F563" s="6" t="inlineStr">
        <x:is>
          <x:t xml:space="preserve"/>
        </x:is>
      </x:c>
      <x:c r="G563" s="6" t="inlineStr">
        <x:is>
          <x:t xml:space="preserve">6</x:t>
        </x:is>
      </x:c>
      <x:c r="H563" s="5" t="inlineStr">
        <x:is>
          <x:t xml:space="preserve"/>
        </x:is>
      </x:c>
      <x:c r="I563" s="5" t="inlineStr">
        <x:is>
          <x:t xml:space="preserve"/>
        </x:is>
      </x:c>
      <x:c r="J563" s="5" t="inlineStr">
        <x:is>
          <x:t xml:space="preserve"/>
        </x:is>
      </x:c>
      <x:c r="K563" s="5" t="inlineStr">
        <x:is>
          <x:t xml:space="preserve"/>
        </x:is>
      </x:c>
      <x:c r="L563" s="5" t="inlineStr">
        <x:is>
          <x:t xml:space="preserve"/>
        </x:is>
      </x:c>
      <x:c r="M563" s="5" t="inlineStr">
        <x:is>
          <x:t xml:space="preserve"/>
        </x:is>
      </x:c>
      <x:c r="N563" s="5" t="inlineStr">
        <x:is>
          <x:t xml:space="preserve"/>
        </x:is>
      </x:c>
      <x:c r="O563" s="5" t="inlineStr">
        <x:is>
          <x:t xml:space="preserve"/>
        </x:is>
      </x:c>
      <x:c r="P563" s="5" t="inlineStr">
        <x:is>
          <x:t xml:space="preserve"/>
        </x:is>
      </x:c>
      <x:c r="Q563" s="5" t="inlineStr">
        <x:is>
          <x:t xml:space="preserve"/>
        </x:is>
      </x:c>
      <x:c r="R563" s="5">
        <x:f>IF(OR(F563="",G563=""),"",IF(F563&gt;=0.95*G563,1,0))</x:f>
      </x:c>
      <x:c r="S563" s="7">
        <x:f>IFERROR((I563+J563+K563)/F563,"")</x:f>
      </x:c>
      <x:c r="T563" s="5">
        <x:f>IFERROR(I563+J563+K563,"")</x:f>
        <x:v>0</x:v>
      </x:c>
    </x:row>
    <x:row r="564" ht="22" customHeight="1">
      <x:c r="A564" s="5" t="inlineStr">
        <x:is>
          <x:t xml:space="preserve">P047</x:t>
        </x:is>
      </x:c>
      <x:c r="B564" s="5" t="inlineStr">
        <x:is>
          <x:t xml:space="preserve">8</x:t>
        </x:is>
      </x:c>
      <x:c r="C564" s="5" t="inlineStr">
        <x:is>
          <x:t xml:space="preserve">V02_study_recall</x:t>
        </x:is>
      </x:c>
      <x:c r="D564" s="5" t="inlineStr">
        <x:is>
          <x:t xml:space="preserve">heavy_bionic</x:t>
        </x:is>
      </x:c>
      <x:c r="E564" s="5" t="inlineStr">
        <x:is>
          <x:t xml:space="preserve">audio_on</x:t>
        </x:is>
      </x:c>
      <x:c r="F564" s="6" t="inlineStr">
        <x:is>
          <x:t xml:space="preserve"/>
        </x:is>
      </x:c>
      <x:c r="G564" s="6" t="inlineStr">
        <x:is>
          <x:t xml:space="preserve">6</x:t>
        </x:is>
      </x:c>
      <x:c r="H564" s="5" t="inlineStr">
        <x:is>
          <x:t xml:space="preserve"/>
        </x:is>
      </x:c>
      <x:c r="I564" s="5" t="inlineStr">
        <x:is>
          <x:t xml:space="preserve"/>
        </x:is>
      </x:c>
      <x:c r="J564" s="5" t="inlineStr">
        <x:is>
          <x:t xml:space="preserve"/>
        </x:is>
      </x:c>
      <x:c r="K564" s="5" t="inlineStr">
        <x:is>
          <x:t xml:space="preserve"/>
        </x:is>
      </x:c>
      <x:c r="L564" s="5" t="inlineStr">
        <x:is>
          <x:t xml:space="preserve"/>
        </x:is>
      </x:c>
      <x:c r="M564" s="5" t="inlineStr">
        <x:is>
          <x:t xml:space="preserve"/>
        </x:is>
      </x:c>
      <x:c r="N564" s="5" t="inlineStr">
        <x:is>
          <x:t xml:space="preserve"/>
        </x:is>
      </x:c>
      <x:c r="O564" s="5" t="inlineStr">
        <x:is>
          <x:t xml:space="preserve"/>
        </x:is>
      </x:c>
      <x:c r="P564" s="5" t="inlineStr">
        <x:is>
          <x:t xml:space="preserve"/>
        </x:is>
      </x:c>
      <x:c r="Q564" s="5" t="inlineStr">
        <x:is>
          <x:t xml:space="preserve"/>
        </x:is>
      </x:c>
      <x:c r="R564" s="5">
        <x:f>IF(OR(F564="",G564=""),"",IF(F564&gt;=0.95*G564,1,0))</x:f>
      </x:c>
      <x:c r="S564" s="7">
        <x:f>IFERROR((I564+J564+K564)/F564,"")</x:f>
      </x:c>
      <x:c r="T564" s="5">
        <x:f>IFERROR(I564+J564+K564,"")</x:f>
        <x:v>0</x:v>
      </x:c>
    </x:row>
    <x:row r="565" ht="22" customHeight="1">
      <x:c r="A565" s="5" t="inlineStr">
        <x:is>
          <x:t xml:space="preserve">P047</x:t>
        </x:is>
      </x:c>
      <x:c r="B565" s="5" t="inlineStr">
        <x:is>
          <x:t xml:space="preserve">9</x:t>
        </x:is>
      </x:c>
      <x:c r="C565" s="5" t="inlineStr">
        <x:is>
          <x:t xml:space="preserve">V06_overload_open_loops</x:t>
        </x:is>
      </x:c>
      <x:c r="D565" s="5" t="inlineStr">
        <x:is>
          <x:t xml:space="preserve">full_transcript</x:t>
        </x:is>
      </x:c>
      <x:c r="E565" s="5" t="inlineStr">
        <x:is>
          <x:t xml:space="preserve">muted</x:t>
        </x:is>
      </x:c>
      <x:c r="F565" s="6" t="inlineStr">
        <x:is>
          <x:t xml:space="preserve"/>
        </x:is>
      </x:c>
      <x:c r="G565" s="6" t="inlineStr">
        <x:is>
          <x:t xml:space="preserve">6</x:t>
        </x:is>
      </x:c>
      <x:c r="H565" s="5" t="inlineStr">
        <x:is>
          <x:t xml:space="preserve"/>
        </x:is>
      </x:c>
      <x:c r="I565" s="5" t="inlineStr">
        <x:is>
          <x:t xml:space="preserve"/>
        </x:is>
      </x:c>
      <x:c r="J565" s="5" t="inlineStr">
        <x:is>
          <x:t xml:space="preserve"/>
        </x:is>
      </x:c>
      <x:c r="K565" s="5" t="inlineStr">
        <x:is>
          <x:t xml:space="preserve"/>
        </x:is>
      </x:c>
      <x:c r="L565" s="5" t="inlineStr">
        <x:is>
          <x:t xml:space="preserve"/>
        </x:is>
      </x:c>
      <x:c r="M565" s="5" t="inlineStr">
        <x:is>
          <x:t xml:space="preserve"/>
        </x:is>
      </x:c>
      <x:c r="N565" s="5" t="inlineStr">
        <x:is>
          <x:t xml:space="preserve"/>
        </x:is>
      </x:c>
      <x:c r="O565" s="5" t="inlineStr">
        <x:is>
          <x:t xml:space="preserve"/>
        </x:is>
      </x:c>
      <x:c r="P565" s="5" t="inlineStr">
        <x:is>
          <x:t xml:space="preserve"/>
        </x:is>
      </x:c>
      <x:c r="Q565" s="5" t="inlineStr">
        <x:is>
          <x:t xml:space="preserve"/>
        </x:is>
      </x:c>
      <x:c r="R565" s="5">
        <x:f>IF(OR(F565="",G565=""),"",IF(F565&gt;=0.95*G565,1,0))</x:f>
      </x:c>
      <x:c r="S565" s="7">
        <x:f>IFERROR((I565+J565+K565)/F565,"")</x:f>
      </x:c>
      <x:c r="T565" s="5">
        <x:f>IFERROR(I565+J565+K565,"")</x:f>
        <x:v>0</x:v>
      </x:c>
    </x:row>
    <x:row r="566" ht="22" customHeight="1">
      <x:c r="A566" s="5" t="inlineStr">
        <x:is>
          <x:t xml:space="preserve">P047</x:t>
        </x:is>
      </x:c>
      <x:c r="B566" s="5" t="inlineStr">
        <x:is>
          <x:t xml:space="preserve">10</x:t>
        </x:is>
      </x:c>
      <x:c r="C566" s="5" t="inlineStr">
        <x:is>
          <x:t xml:space="preserve">V10_tutorial_ui</x:t>
        </x:is>
      </x:c>
      <x:c r="D566" s="5" t="inlineStr">
        <x:is>
          <x:t xml:space="preserve">keyword_highlight</x:t>
        </x:is>
      </x:c>
      <x:c r="E566" s="5" t="inlineStr">
        <x:is>
          <x:t xml:space="preserve">audio_on</x:t>
        </x:is>
      </x:c>
      <x:c r="F566" s="6" t="inlineStr">
        <x:is>
          <x:t xml:space="preserve"/>
        </x:is>
      </x:c>
      <x:c r="G566" s="6" t="inlineStr">
        <x:is>
          <x:t xml:space="preserve">6</x:t>
        </x:is>
      </x:c>
      <x:c r="H566" s="5" t="inlineStr">
        <x:is>
          <x:t xml:space="preserve"/>
        </x:is>
      </x:c>
      <x:c r="I566" s="5" t="inlineStr">
        <x:is>
          <x:t xml:space="preserve"/>
        </x:is>
      </x:c>
      <x:c r="J566" s="5" t="inlineStr">
        <x:is>
          <x:t xml:space="preserve"/>
        </x:is>
      </x:c>
      <x:c r="K566" s="5" t="inlineStr">
        <x:is>
          <x:t xml:space="preserve"/>
        </x:is>
      </x:c>
      <x:c r="L566" s="5" t="inlineStr">
        <x:is>
          <x:t xml:space="preserve"/>
        </x:is>
      </x:c>
      <x:c r="M566" s="5" t="inlineStr">
        <x:is>
          <x:t xml:space="preserve"/>
        </x:is>
      </x:c>
      <x:c r="N566" s="5" t="inlineStr">
        <x:is>
          <x:t xml:space="preserve"/>
        </x:is>
      </x:c>
      <x:c r="O566" s="5" t="inlineStr">
        <x:is>
          <x:t xml:space="preserve"/>
        </x:is>
      </x:c>
      <x:c r="P566" s="5" t="inlineStr">
        <x:is>
          <x:t xml:space="preserve"/>
        </x:is>
      </x:c>
      <x:c r="Q566" s="5" t="inlineStr">
        <x:is>
          <x:t xml:space="preserve"/>
        </x:is>
      </x:c>
      <x:c r="R566" s="5">
        <x:f>IF(OR(F566="",G566=""),"",IF(F566&gt;=0.95*G566,1,0))</x:f>
      </x:c>
      <x:c r="S566" s="7">
        <x:f>IFERROR((I566+J566+K566)/F566,"")</x:f>
      </x:c>
      <x:c r="T566" s="5">
        <x:f>IFERROR(I566+J566+K566,"")</x:f>
        <x:v>0</x:v>
      </x:c>
    </x:row>
    <x:row r="567" ht="22" customHeight="1">
      <x:c r="A567" s="5" t="inlineStr">
        <x:is>
          <x:t xml:space="preserve">P047</x:t>
        </x:is>
      </x:c>
      <x:c r="B567" s="5" t="inlineStr">
        <x:is>
          <x:t xml:space="preserve">11</x:t>
        </x:is>
      </x:c>
      <x:c r="C567" s="5" t="inlineStr">
        <x:is>
          <x:t xml:space="preserve">V12_creativity_constraints</x:t>
        </x:is>
      </x:c>
      <x:c r="D567" s="5" t="inlineStr">
        <x:is>
          <x:t xml:space="preserve">semantic_compression</x:t>
        </x:is>
      </x:c>
      <x:c r="E567" s="5" t="inlineStr">
        <x:is>
          <x:t xml:space="preserve">muted</x:t>
        </x:is>
      </x:c>
      <x:c r="F567" s="6" t="inlineStr">
        <x:is>
          <x:t xml:space="preserve"/>
        </x:is>
      </x:c>
      <x:c r="G567" s="6" t="inlineStr">
        <x:is>
          <x:t xml:space="preserve">6</x:t>
        </x:is>
      </x:c>
      <x:c r="H567" s="5" t="inlineStr">
        <x:is>
          <x:t xml:space="preserve"/>
        </x:is>
      </x:c>
      <x:c r="I567" s="5" t="inlineStr">
        <x:is>
          <x:t xml:space="preserve"/>
        </x:is>
      </x:c>
      <x:c r="J567" s="5" t="inlineStr">
        <x:is>
          <x:t xml:space="preserve"/>
        </x:is>
      </x:c>
      <x:c r="K567" s="5" t="inlineStr">
        <x:is>
          <x:t xml:space="preserve"/>
        </x:is>
      </x:c>
      <x:c r="L567" s="5" t="inlineStr">
        <x:is>
          <x:t xml:space="preserve"/>
        </x:is>
      </x:c>
      <x:c r="M567" s="5" t="inlineStr">
        <x:is>
          <x:t xml:space="preserve"/>
        </x:is>
      </x:c>
      <x:c r="N567" s="5" t="inlineStr">
        <x:is>
          <x:t xml:space="preserve"/>
        </x:is>
      </x:c>
      <x:c r="O567" s="5" t="inlineStr">
        <x:is>
          <x:t xml:space="preserve"/>
        </x:is>
      </x:c>
      <x:c r="P567" s="5" t="inlineStr">
        <x:is>
          <x:t xml:space="preserve"/>
        </x:is>
      </x:c>
      <x:c r="Q567" s="5" t="inlineStr">
        <x:is>
          <x:t xml:space="preserve"/>
        </x:is>
      </x:c>
      <x:c r="R567" s="5">
        <x:f>IF(OR(F567="",G567=""),"",IF(F567&gt;=0.95*G567,1,0))</x:f>
      </x:c>
      <x:c r="S567" s="7">
        <x:f>IFERROR((I567+J567+K567)/F567,"")</x:f>
      </x:c>
      <x:c r="T567" s="5">
        <x:f>IFERROR(I567+J567+K567,"")</x:f>
        <x:v>0</x:v>
      </x:c>
    </x:row>
    <x:row r="568" ht="22" customHeight="1">
      <x:c r="A568" s="5" t="inlineStr">
        <x:is>
          <x:t xml:space="preserve">P047</x:t>
        </x:is>
      </x:c>
      <x:c r="B568" s="5" t="inlineStr">
        <x:is>
          <x:t xml:space="preserve">12</x:t>
        </x:is>
      </x:c>
      <x:c r="C568" s="5" t="inlineStr">
        <x:is>
          <x:t xml:space="preserve">V03_fitness_setup</x:t>
        </x:is>
      </x:c>
      <x:c r="D568" s="5" t="inlineStr">
        <x:is>
          <x:t xml:space="preserve">bcc</x:t>
        </x:is>
      </x:c>
      <x:c r="E568" s="5" t="inlineStr">
        <x:is>
          <x:t xml:space="preserve">audio_on</x:t>
        </x:is>
      </x:c>
      <x:c r="F568" s="6" t="inlineStr">
        <x:is>
          <x:t xml:space="preserve"/>
        </x:is>
      </x:c>
      <x:c r="G568" s="6" t="inlineStr">
        <x:is>
          <x:t xml:space="preserve">6</x:t>
        </x:is>
      </x:c>
      <x:c r="H568" s="5" t="inlineStr">
        <x:is>
          <x:t xml:space="preserve"/>
        </x:is>
      </x:c>
      <x:c r="I568" s="5" t="inlineStr">
        <x:is>
          <x:t xml:space="preserve"/>
        </x:is>
      </x:c>
      <x:c r="J568" s="5" t="inlineStr">
        <x:is>
          <x:t xml:space="preserve"/>
        </x:is>
      </x:c>
      <x:c r="K568" s="5" t="inlineStr">
        <x:is>
          <x:t xml:space="preserve"/>
        </x:is>
      </x:c>
      <x:c r="L568" s="5" t="inlineStr">
        <x:is>
          <x:t xml:space="preserve"/>
        </x:is>
      </x:c>
      <x:c r="M568" s="5" t="inlineStr">
        <x:is>
          <x:t xml:space="preserve"/>
        </x:is>
      </x:c>
      <x:c r="N568" s="5" t="inlineStr">
        <x:is>
          <x:t xml:space="preserve"/>
        </x:is>
      </x:c>
      <x:c r="O568" s="5" t="inlineStr">
        <x:is>
          <x:t xml:space="preserve"/>
        </x:is>
      </x:c>
      <x:c r="P568" s="5" t="inlineStr">
        <x:is>
          <x:t xml:space="preserve"/>
        </x:is>
      </x:c>
      <x:c r="Q568" s="5" t="inlineStr">
        <x:is>
          <x:t xml:space="preserve"/>
        </x:is>
      </x:c>
      <x:c r="R568" s="5">
        <x:f>IF(OR(F568="",G568=""),"",IF(F568&gt;=0.95*G568,1,0))</x:f>
      </x:c>
      <x:c r="S568" s="7">
        <x:f>IFERROR((I568+J568+K568)/F568,"")</x:f>
      </x:c>
      <x:c r="T568" s="5">
        <x:f>IFERROR(I568+J568+K568,"")</x:f>
        <x:v>0</x:v>
      </x:c>
    </x:row>
    <x:row r="569" ht="22" customHeight="1">
      <x:c r="A569" s="5" t="inlineStr">
        <x:is>
          <x:t xml:space="preserve">P048</x:t>
        </x:is>
      </x:c>
      <x:c r="B569" s="5" t="inlineStr">
        <x:is>
          <x:t xml:space="preserve">1</x:t>
        </x:is>
      </x:c>
      <x:c r="C569" s="5" t="inlineStr">
        <x:is>
          <x:t xml:space="preserve">V01_productivity_friction</x:t>
        </x:is>
      </x:c>
      <x:c r="D569" s="5" t="inlineStr">
        <x:is>
          <x:t xml:space="preserve">heavy_bionic</x:t>
        </x:is>
      </x:c>
      <x:c r="E569" s="5" t="inlineStr">
        <x:is>
          <x:t xml:space="preserve">audio_on</x:t>
        </x:is>
      </x:c>
      <x:c r="F569" s="6" t="inlineStr">
        <x:is>
          <x:t xml:space="preserve"/>
        </x:is>
      </x:c>
      <x:c r="G569" s="6" t="inlineStr">
        <x:is>
          <x:t xml:space="preserve">6</x:t>
        </x:is>
      </x:c>
      <x:c r="H569" s="5" t="inlineStr">
        <x:is>
          <x:t xml:space="preserve"/>
        </x:is>
      </x:c>
      <x:c r="I569" s="5" t="inlineStr">
        <x:is>
          <x:t xml:space="preserve"/>
        </x:is>
      </x:c>
      <x:c r="J569" s="5" t="inlineStr">
        <x:is>
          <x:t xml:space="preserve"/>
        </x:is>
      </x:c>
      <x:c r="K569" s="5" t="inlineStr">
        <x:is>
          <x:t xml:space="preserve"/>
        </x:is>
      </x:c>
      <x:c r="L569" s="5" t="inlineStr">
        <x:is>
          <x:t xml:space="preserve"/>
        </x:is>
      </x:c>
      <x:c r="M569" s="5" t="inlineStr">
        <x:is>
          <x:t xml:space="preserve"/>
        </x:is>
      </x:c>
      <x:c r="N569" s="5" t="inlineStr">
        <x:is>
          <x:t xml:space="preserve"/>
        </x:is>
      </x:c>
      <x:c r="O569" s="5" t="inlineStr">
        <x:is>
          <x:t xml:space="preserve"/>
        </x:is>
      </x:c>
      <x:c r="P569" s="5" t="inlineStr">
        <x:is>
          <x:t xml:space="preserve"/>
        </x:is>
      </x:c>
      <x:c r="Q569" s="5" t="inlineStr">
        <x:is>
          <x:t xml:space="preserve"/>
        </x:is>
      </x:c>
      <x:c r="R569" s="5">
        <x:f>IF(OR(F569="",G569=""),"",IF(F569&gt;=0.95*G569,1,0))</x:f>
      </x:c>
      <x:c r="S569" s="7">
        <x:f>IFERROR((I569+J569+K569)/F569,"")</x:f>
      </x:c>
      <x:c r="T569" s="5">
        <x:f>IFERROR(I569+J569+K569,"")</x:f>
        <x:v>0</x:v>
      </x:c>
    </x:row>
    <x:row r="570" ht="22" customHeight="1">
      <x:c r="A570" s="5" t="inlineStr">
        <x:is>
          <x:t xml:space="preserve">P048</x:t>
        </x:is>
      </x:c>
      <x:c r="B570" s="5" t="inlineStr">
        <x:is>
          <x:t xml:space="preserve">2</x:t>
        </x:is>
      </x:c>
      <x:c r="C570" s="5" t="inlineStr">
        <x:is>
          <x:t xml:space="preserve">V06_overload_open_loops</x:t>
        </x:is>
      </x:c>
      <x:c r="D570" s="5" t="inlineStr">
        <x:is>
          <x:t xml:space="preserve">full_transcript</x:t>
        </x:is>
      </x:c>
      <x:c r="E570" s="5" t="inlineStr">
        <x:is>
          <x:t xml:space="preserve">muted</x:t>
        </x:is>
      </x:c>
      <x:c r="F570" s="6" t="inlineStr">
        <x:is>
          <x:t xml:space="preserve"/>
        </x:is>
      </x:c>
      <x:c r="G570" s="6" t="inlineStr">
        <x:is>
          <x:t xml:space="preserve">6</x:t>
        </x:is>
      </x:c>
      <x:c r="H570" s="5" t="inlineStr">
        <x:is>
          <x:t xml:space="preserve"/>
        </x:is>
      </x:c>
      <x:c r="I570" s="5" t="inlineStr">
        <x:is>
          <x:t xml:space="preserve"/>
        </x:is>
      </x:c>
      <x:c r="J570" s="5" t="inlineStr">
        <x:is>
          <x:t xml:space="preserve"/>
        </x:is>
      </x:c>
      <x:c r="K570" s="5" t="inlineStr">
        <x:is>
          <x:t xml:space="preserve"/>
        </x:is>
      </x:c>
      <x:c r="L570" s="5" t="inlineStr">
        <x:is>
          <x:t xml:space="preserve"/>
        </x:is>
      </x:c>
      <x:c r="M570" s="5" t="inlineStr">
        <x:is>
          <x:t xml:space="preserve"/>
        </x:is>
      </x:c>
      <x:c r="N570" s="5" t="inlineStr">
        <x:is>
          <x:t xml:space="preserve"/>
        </x:is>
      </x:c>
      <x:c r="O570" s="5" t="inlineStr">
        <x:is>
          <x:t xml:space="preserve"/>
        </x:is>
      </x:c>
      <x:c r="P570" s="5" t="inlineStr">
        <x:is>
          <x:t xml:space="preserve"/>
        </x:is>
      </x:c>
      <x:c r="Q570" s="5" t="inlineStr">
        <x:is>
          <x:t xml:space="preserve"/>
        </x:is>
      </x:c>
      <x:c r="R570" s="5">
        <x:f>IF(OR(F570="",G570=""),"",IF(F570&gt;=0.95*G570,1,0))</x:f>
      </x:c>
      <x:c r="S570" s="7">
        <x:f>IFERROR((I570+J570+K570)/F570,"")</x:f>
      </x:c>
      <x:c r="T570" s="5">
        <x:f>IFERROR(I570+J570+K570,"")</x:f>
        <x:v>0</x:v>
      </x:c>
    </x:row>
    <x:row r="571" ht="22" customHeight="1">
      <x:c r="A571" s="5" t="inlineStr">
        <x:is>
          <x:t xml:space="preserve">P048</x:t>
        </x:is>
      </x:c>
      <x:c r="B571" s="5" t="inlineStr">
        <x:is>
          <x:t xml:space="preserve">3</x:t>
        </x:is>
      </x:c>
      <x:c r="C571" s="5" t="inlineStr">
        <x:is>
          <x:t xml:space="preserve">V09_nutrition_satiety</x:t>
        </x:is>
      </x:c>
      <x:c r="D571" s="5" t="inlineStr">
        <x:is>
          <x:t xml:space="preserve">keyword_highlight</x:t>
        </x:is>
      </x:c>
      <x:c r="E571" s="5" t="inlineStr">
        <x:is>
          <x:t xml:space="preserve">audio_on</x:t>
        </x:is>
      </x:c>
      <x:c r="F571" s="6" t="inlineStr">
        <x:is>
          <x:t xml:space="preserve"/>
        </x:is>
      </x:c>
      <x:c r="G571" s="6" t="inlineStr">
        <x:is>
          <x:t xml:space="preserve">6</x:t>
        </x:is>
      </x:c>
      <x:c r="H571" s="5" t="inlineStr">
        <x:is>
          <x:t xml:space="preserve"/>
        </x:is>
      </x:c>
      <x:c r="I571" s="5" t="inlineStr">
        <x:is>
          <x:t xml:space="preserve"/>
        </x:is>
      </x:c>
      <x:c r="J571" s="5" t="inlineStr">
        <x:is>
          <x:t xml:space="preserve"/>
        </x:is>
      </x:c>
      <x:c r="K571" s="5" t="inlineStr">
        <x:is>
          <x:t xml:space="preserve"/>
        </x:is>
      </x:c>
      <x:c r="L571" s="5" t="inlineStr">
        <x:is>
          <x:t xml:space="preserve"/>
        </x:is>
      </x:c>
      <x:c r="M571" s="5" t="inlineStr">
        <x:is>
          <x:t xml:space="preserve"/>
        </x:is>
      </x:c>
      <x:c r="N571" s="5" t="inlineStr">
        <x:is>
          <x:t xml:space="preserve"/>
        </x:is>
      </x:c>
      <x:c r="O571" s="5" t="inlineStr">
        <x:is>
          <x:t xml:space="preserve"/>
        </x:is>
      </x:c>
      <x:c r="P571" s="5" t="inlineStr">
        <x:is>
          <x:t xml:space="preserve"/>
        </x:is>
      </x:c>
      <x:c r="Q571" s="5" t="inlineStr">
        <x:is>
          <x:t xml:space="preserve"/>
        </x:is>
      </x:c>
      <x:c r="R571" s="5">
        <x:f>IF(OR(F571="",G571=""),"",IF(F571&gt;=0.95*G571,1,0))</x:f>
      </x:c>
      <x:c r="S571" s="7">
        <x:f>IFERROR((I571+J571+K571)/F571,"")</x:f>
      </x:c>
      <x:c r="T571" s="5">
        <x:f>IFERROR(I571+J571+K571,"")</x:f>
        <x:v>0</x:v>
      </x:c>
    </x:row>
    <x:row r="572" ht="22" customHeight="1">
      <x:c r="A572" s="5" t="inlineStr">
        <x:is>
          <x:t xml:space="preserve">P048</x:t>
        </x:is>
      </x:c>
      <x:c r="B572" s="5" t="inlineStr">
        <x:is>
          <x:t xml:space="preserve">4</x:t>
        </x:is>
      </x:c>
      <x:c r="C572" s="5" t="inlineStr">
        <x:is>
          <x:t xml:space="preserve">V12_creativity_constraints</x:t>
        </x:is>
      </x:c>
      <x:c r="D572" s="5" t="inlineStr">
        <x:is>
          <x:t xml:space="preserve">semantic_compression</x:t>
        </x:is>
      </x:c>
      <x:c r="E572" s="5" t="inlineStr">
        <x:is>
          <x:t xml:space="preserve">muted</x:t>
        </x:is>
      </x:c>
      <x:c r="F572" s="6" t="inlineStr">
        <x:is>
          <x:t xml:space="preserve"/>
        </x:is>
      </x:c>
      <x:c r="G572" s="6" t="inlineStr">
        <x:is>
          <x:t xml:space="preserve">6</x:t>
        </x:is>
      </x:c>
      <x:c r="H572" s="5" t="inlineStr">
        <x:is>
          <x:t xml:space="preserve"/>
        </x:is>
      </x:c>
      <x:c r="I572" s="5" t="inlineStr">
        <x:is>
          <x:t xml:space="preserve"/>
        </x:is>
      </x:c>
      <x:c r="J572" s="5" t="inlineStr">
        <x:is>
          <x:t xml:space="preserve"/>
        </x:is>
      </x:c>
      <x:c r="K572" s="5" t="inlineStr">
        <x:is>
          <x:t xml:space="preserve"/>
        </x:is>
      </x:c>
      <x:c r="L572" s="5" t="inlineStr">
        <x:is>
          <x:t xml:space="preserve"/>
        </x:is>
      </x:c>
      <x:c r="M572" s="5" t="inlineStr">
        <x:is>
          <x:t xml:space="preserve"/>
        </x:is>
      </x:c>
      <x:c r="N572" s="5" t="inlineStr">
        <x:is>
          <x:t xml:space="preserve"/>
        </x:is>
      </x:c>
      <x:c r="O572" s="5" t="inlineStr">
        <x:is>
          <x:t xml:space="preserve"/>
        </x:is>
      </x:c>
      <x:c r="P572" s="5" t="inlineStr">
        <x:is>
          <x:t xml:space="preserve"/>
        </x:is>
      </x:c>
      <x:c r="Q572" s="5" t="inlineStr">
        <x:is>
          <x:t xml:space="preserve"/>
        </x:is>
      </x:c>
      <x:c r="R572" s="5">
        <x:f>IF(OR(F572="",G572=""),"",IF(F572&gt;=0.95*G572,1,0))</x:f>
      </x:c>
      <x:c r="S572" s="7">
        <x:f>IFERROR((I572+J572+K572)/F572,"")</x:f>
      </x:c>
      <x:c r="T572" s="5">
        <x:f>IFERROR(I572+J572+K572,"")</x:f>
        <x:v>0</x:v>
      </x:c>
    </x:row>
    <x:row r="573" ht="22" customHeight="1">
      <x:c r="A573" s="5" t="inlineStr">
        <x:is>
          <x:t xml:space="preserve">P048</x:t>
        </x:is>
      </x:c>
      <x:c r="B573" s="5" t="inlineStr">
        <x:is>
          <x:t xml:space="preserve">5</x:t>
        </x:is>
      </x:c>
      <x:c r="C573" s="5" t="inlineStr">
        <x:is>
          <x:t xml:space="preserve">V02_study_recall</x:t>
        </x:is>
      </x:c>
      <x:c r="D573" s="5" t="inlineStr">
        <x:is>
          <x:t xml:space="preserve">bcc</x:t>
        </x:is>
      </x:c>
      <x:c r="E573" s="5" t="inlineStr">
        <x:is>
          <x:t xml:space="preserve">audio_on</x:t>
        </x:is>
      </x:c>
      <x:c r="F573" s="6" t="inlineStr">
        <x:is>
          <x:t xml:space="preserve"/>
        </x:is>
      </x:c>
      <x:c r="G573" s="6" t="inlineStr">
        <x:is>
          <x:t xml:space="preserve">6</x:t>
        </x:is>
      </x:c>
      <x:c r="H573" s="5" t="inlineStr">
        <x:is>
          <x:t xml:space="preserve"/>
        </x:is>
      </x:c>
      <x:c r="I573" s="5" t="inlineStr">
        <x:is>
          <x:t xml:space="preserve"/>
        </x:is>
      </x:c>
      <x:c r="J573" s="5" t="inlineStr">
        <x:is>
          <x:t xml:space="preserve"/>
        </x:is>
      </x:c>
      <x:c r="K573" s="5" t="inlineStr">
        <x:is>
          <x:t xml:space="preserve"/>
        </x:is>
      </x:c>
      <x:c r="L573" s="5" t="inlineStr">
        <x:is>
          <x:t xml:space="preserve"/>
        </x:is>
      </x:c>
      <x:c r="M573" s="5" t="inlineStr">
        <x:is>
          <x:t xml:space="preserve"/>
        </x:is>
      </x:c>
      <x:c r="N573" s="5" t="inlineStr">
        <x:is>
          <x:t xml:space="preserve"/>
        </x:is>
      </x:c>
      <x:c r="O573" s="5" t="inlineStr">
        <x:is>
          <x:t xml:space="preserve"/>
        </x:is>
      </x:c>
      <x:c r="P573" s="5" t="inlineStr">
        <x:is>
          <x:t xml:space="preserve"/>
        </x:is>
      </x:c>
      <x:c r="Q573" s="5" t="inlineStr">
        <x:is>
          <x:t xml:space="preserve"/>
        </x:is>
      </x:c>
      <x:c r="R573" s="5">
        <x:f>IF(OR(F573="",G573=""),"",IF(F573&gt;=0.95*G573,1,0))</x:f>
      </x:c>
      <x:c r="S573" s="7">
        <x:f>IFERROR((I573+J573+K573)/F573,"")</x:f>
      </x:c>
      <x:c r="T573" s="5">
        <x:f>IFERROR(I573+J573+K573,"")</x:f>
        <x:v>0</x:v>
      </x:c>
    </x:row>
    <x:row r="574" ht="22" customHeight="1">
      <x:c r="A574" s="5" t="inlineStr">
        <x:is>
          <x:t xml:space="preserve">P048</x:t>
        </x:is>
      </x:c>
      <x:c r="B574" s="5" t="inlineStr">
        <x:is>
          <x:t xml:space="preserve">6</x:t>
        </x:is>
      </x:c>
      <x:c r="C574" s="5" t="inlineStr">
        <x:is>
          <x:t xml:space="preserve">V04_money_visibility</x:t>
        </x:is>
      </x:c>
      <x:c r="D574" s="5" t="inlineStr">
        <x:is>
          <x:t xml:space="preserve">bcc_plus</x:t>
        </x:is>
      </x:c>
      <x:c r="E574" s="5" t="inlineStr">
        <x:is>
          <x:t xml:space="preserve">muted</x:t>
        </x:is>
      </x:c>
      <x:c r="F574" s="6" t="inlineStr">
        <x:is>
          <x:t xml:space="preserve"/>
        </x:is>
      </x:c>
      <x:c r="G574" s="6" t="inlineStr">
        <x:is>
          <x:t xml:space="preserve">6</x:t>
        </x:is>
      </x:c>
      <x:c r="H574" s="5" t="inlineStr">
        <x:is>
          <x:t xml:space="preserve"/>
        </x:is>
      </x:c>
      <x:c r="I574" s="5" t="inlineStr">
        <x:is>
          <x:t xml:space="preserve"/>
        </x:is>
      </x:c>
      <x:c r="J574" s="5" t="inlineStr">
        <x:is>
          <x:t xml:space="preserve"/>
        </x:is>
      </x:c>
      <x:c r="K574" s="5" t="inlineStr">
        <x:is>
          <x:t xml:space="preserve"/>
        </x:is>
      </x:c>
      <x:c r="L574" s="5" t="inlineStr">
        <x:is>
          <x:t xml:space="preserve"/>
        </x:is>
      </x:c>
      <x:c r="M574" s="5" t="inlineStr">
        <x:is>
          <x:t xml:space="preserve"/>
        </x:is>
      </x:c>
      <x:c r="N574" s="5" t="inlineStr">
        <x:is>
          <x:t xml:space="preserve"/>
        </x:is>
      </x:c>
      <x:c r="O574" s="5" t="inlineStr">
        <x:is>
          <x:t xml:space="preserve"/>
        </x:is>
      </x:c>
      <x:c r="P574" s="5" t="inlineStr">
        <x:is>
          <x:t xml:space="preserve"/>
        </x:is>
      </x:c>
      <x:c r="Q574" s="5" t="inlineStr">
        <x:is>
          <x:t xml:space="preserve"/>
        </x:is>
      </x:c>
      <x:c r="R574" s="5">
        <x:f>IF(OR(F574="",G574=""),"",IF(F574&gt;=0.95*G574,1,0))</x:f>
      </x:c>
      <x:c r="S574" s="7">
        <x:f>IFERROR((I574+J574+K574)/F574,"")</x:f>
      </x:c>
      <x:c r="T574" s="5">
        <x:f>IFERROR(I574+J574+K574,"")</x:f>
        <x:v>0</x:v>
      </x:c>
    </x:row>
    <x:row r="575" ht="22" customHeight="1">
      <x:c r="A575" s="5" t="inlineStr">
        <x:is>
          <x:t xml:space="preserve">P048</x:t>
        </x:is>
      </x:c>
      <x:c r="B575" s="5" t="inlineStr">
        <x:is>
          <x:t xml:space="preserve">7</x:t>
        </x:is>
      </x:c>
      <x:c r="C575" s="5" t="inlineStr">
        <x:is>
          <x:t xml:space="preserve">V05_coding_assumptions</x:t>
        </x:is>
      </x:c>
      <x:c r="D575" s="5" t="inlineStr">
        <x:is>
          <x:t xml:space="preserve">heavy_bionic</x:t>
        </x:is>
      </x:c>
      <x:c r="E575" s="5" t="inlineStr">
        <x:is>
          <x:t xml:space="preserve">audio_on</x:t>
        </x:is>
      </x:c>
      <x:c r="F575" s="6" t="inlineStr">
        <x:is>
          <x:t xml:space="preserve"/>
        </x:is>
      </x:c>
      <x:c r="G575" s="6" t="inlineStr">
        <x:is>
          <x:t xml:space="preserve">6</x:t>
        </x:is>
      </x:c>
      <x:c r="H575" s="5" t="inlineStr">
        <x:is>
          <x:t xml:space="preserve"/>
        </x:is>
      </x:c>
      <x:c r="I575" s="5" t="inlineStr">
        <x:is>
          <x:t xml:space="preserve"/>
        </x:is>
      </x:c>
      <x:c r="J575" s="5" t="inlineStr">
        <x:is>
          <x:t xml:space="preserve"/>
        </x:is>
      </x:c>
      <x:c r="K575" s="5" t="inlineStr">
        <x:is>
          <x:t xml:space="preserve"/>
        </x:is>
      </x:c>
      <x:c r="L575" s="5" t="inlineStr">
        <x:is>
          <x:t xml:space="preserve"/>
        </x:is>
      </x:c>
      <x:c r="M575" s="5" t="inlineStr">
        <x:is>
          <x:t xml:space="preserve"/>
        </x:is>
      </x:c>
      <x:c r="N575" s="5" t="inlineStr">
        <x:is>
          <x:t xml:space="preserve"/>
        </x:is>
      </x:c>
      <x:c r="O575" s="5" t="inlineStr">
        <x:is>
          <x:t xml:space="preserve"/>
        </x:is>
      </x:c>
      <x:c r="P575" s="5" t="inlineStr">
        <x:is>
          <x:t xml:space="preserve"/>
        </x:is>
      </x:c>
      <x:c r="Q575" s="5" t="inlineStr">
        <x:is>
          <x:t xml:space="preserve"/>
        </x:is>
      </x:c>
      <x:c r="R575" s="5">
        <x:f>IF(OR(F575="",G575=""),"",IF(F575&gt;=0.95*G575,1,0))</x:f>
      </x:c>
      <x:c r="S575" s="7">
        <x:f>IFERROR((I575+J575+K575)/F575,"")</x:f>
      </x:c>
      <x:c r="T575" s="5">
        <x:f>IFERROR(I575+J575+K575,"")</x:f>
        <x:v>0</x:v>
      </x:c>
    </x:row>
    <x:row r="576" ht="22" customHeight="1">
      <x:c r="A576" s="5" t="inlineStr">
        <x:is>
          <x:t xml:space="preserve">P048</x:t>
        </x:is>
      </x:c>
      <x:c r="B576" s="5" t="inlineStr">
        <x:is>
          <x:t xml:space="preserve">8</x:t>
        </x:is>
      </x:c>
      <x:c r="C576" s="5" t="inlineStr">
        <x:is>
          <x:t xml:space="preserve">V08_calendar_system</x:t>
        </x:is>
      </x:c>
      <x:c r="D576" s="5" t="inlineStr">
        <x:is>
          <x:t xml:space="preserve">full_transcript</x:t>
        </x:is>
      </x:c>
      <x:c r="E576" s="5" t="inlineStr">
        <x:is>
          <x:t xml:space="preserve">muted</x:t>
        </x:is>
      </x:c>
      <x:c r="F576" s="6" t="inlineStr">
        <x:is>
          <x:t xml:space="preserve"/>
        </x:is>
      </x:c>
      <x:c r="G576" s="6" t="inlineStr">
        <x:is>
          <x:t xml:space="preserve">6</x:t>
        </x:is>
      </x:c>
      <x:c r="H576" s="5" t="inlineStr">
        <x:is>
          <x:t xml:space="preserve"/>
        </x:is>
      </x:c>
      <x:c r="I576" s="5" t="inlineStr">
        <x:is>
          <x:t xml:space="preserve"/>
        </x:is>
      </x:c>
      <x:c r="J576" s="5" t="inlineStr">
        <x:is>
          <x:t xml:space="preserve"/>
        </x:is>
      </x:c>
      <x:c r="K576" s="5" t="inlineStr">
        <x:is>
          <x:t xml:space="preserve"/>
        </x:is>
      </x:c>
      <x:c r="L576" s="5" t="inlineStr">
        <x:is>
          <x:t xml:space="preserve"/>
        </x:is>
      </x:c>
      <x:c r="M576" s="5" t="inlineStr">
        <x:is>
          <x:t xml:space="preserve"/>
        </x:is>
      </x:c>
      <x:c r="N576" s="5" t="inlineStr">
        <x:is>
          <x:t xml:space="preserve"/>
        </x:is>
      </x:c>
      <x:c r="O576" s="5" t="inlineStr">
        <x:is>
          <x:t xml:space="preserve"/>
        </x:is>
      </x:c>
      <x:c r="P576" s="5" t="inlineStr">
        <x:is>
          <x:t xml:space="preserve"/>
        </x:is>
      </x:c>
      <x:c r="Q576" s="5" t="inlineStr">
        <x:is>
          <x:t xml:space="preserve"/>
        </x:is>
      </x:c>
      <x:c r="R576" s="5">
        <x:f>IF(OR(F576="",G576=""),"",IF(F576&gt;=0.95*G576,1,0))</x:f>
      </x:c>
      <x:c r="S576" s="7">
        <x:f>IFERROR((I576+J576+K576)/F576,"")</x:f>
      </x:c>
      <x:c r="T576" s="5">
        <x:f>IFERROR(I576+J576+K576,"")</x:f>
        <x:v>0</x:v>
      </x:c>
    </x:row>
    <x:row r="577" ht="22" customHeight="1">
      <x:c r="A577" s="5" t="inlineStr">
        <x:is>
          <x:t xml:space="preserve">P048</x:t>
        </x:is>
      </x:c>
      <x:c r="B577" s="5" t="inlineStr">
        <x:is>
          <x:t xml:space="preserve">9</x:t>
        </x:is>
      </x:c>
      <x:c r="C577" s="5" t="inlineStr">
        <x:is>
          <x:t xml:space="preserve">V07_business_clarity</x:t>
        </x:is>
      </x:c>
      <x:c r="D577" s="5" t="inlineStr">
        <x:is>
          <x:t xml:space="preserve">keyword_highlight</x:t>
        </x:is>
      </x:c>
      <x:c r="E577" s="5" t="inlineStr">
        <x:is>
          <x:t xml:space="preserve">audio_on</x:t>
        </x:is>
      </x:c>
      <x:c r="F577" s="6" t="inlineStr">
        <x:is>
          <x:t xml:space="preserve"/>
        </x:is>
      </x:c>
      <x:c r="G577" s="6" t="inlineStr">
        <x:is>
          <x:t xml:space="preserve">6</x:t>
        </x:is>
      </x:c>
      <x:c r="H577" s="5" t="inlineStr">
        <x:is>
          <x:t xml:space="preserve"/>
        </x:is>
      </x:c>
      <x:c r="I577" s="5" t="inlineStr">
        <x:is>
          <x:t xml:space="preserve"/>
        </x:is>
      </x:c>
      <x:c r="J577" s="5" t="inlineStr">
        <x:is>
          <x:t xml:space="preserve"/>
        </x:is>
      </x:c>
      <x:c r="K577" s="5" t="inlineStr">
        <x:is>
          <x:t xml:space="preserve"/>
        </x:is>
      </x:c>
      <x:c r="L577" s="5" t="inlineStr">
        <x:is>
          <x:t xml:space="preserve"/>
        </x:is>
      </x:c>
      <x:c r="M577" s="5" t="inlineStr">
        <x:is>
          <x:t xml:space="preserve"/>
        </x:is>
      </x:c>
      <x:c r="N577" s="5" t="inlineStr">
        <x:is>
          <x:t xml:space="preserve"/>
        </x:is>
      </x:c>
      <x:c r="O577" s="5" t="inlineStr">
        <x:is>
          <x:t xml:space="preserve"/>
        </x:is>
      </x:c>
      <x:c r="P577" s="5" t="inlineStr">
        <x:is>
          <x:t xml:space="preserve"/>
        </x:is>
      </x:c>
      <x:c r="Q577" s="5" t="inlineStr">
        <x:is>
          <x:t xml:space="preserve"/>
        </x:is>
      </x:c>
      <x:c r="R577" s="5">
        <x:f>IF(OR(F577="",G577=""),"",IF(F577&gt;=0.95*G577,1,0))</x:f>
      </x:c>
      <x:c r="S577" s="7">
        <x:f>IFERROR((I577+J577+K577)/F577,"")</x:f>
      </x:c>
      <x:c r="T577" s="5">
        <x:f>IFERROR(I577+J577+K577,"")</x:f>
        <x:v>0</x:v>
      </x:c>
    </x:row>
    <x:row r="578" ht="22" customHeight="1">
      <x:c r="A578" s="5" t="inlineStr">
        <x:is>
          <x:t xml:space="preserve">P048</x:t>
        </x:is>
      </x:c>
      <x:c r="B578" s="5" t="inlineStr">
        <x:is>
          <x:t xml:space="preserve">10</x:t>
        </x:is>
      </x:c>
      <x:c r="C578" s="5" t="inlineStr">
        <x:is>
          <x:t xml:space="preserve">V03_fitness_setup</x:t>
        </x:is>
      </x:c>
      <x:c r="D578" s="5" t="inlineStr">
        <x:is>
          <x:t xml:space="preserve">semantic_compression</x:t>
        </x:is>
      </x:c>
      <x:c r="E578" s="5" t="inlineStr">
        <x:is>
          <x:t xml:space="preserve">muted</x:t>
        </x:is>
      </x:c>
      <x:c r="F578" s="6" t="inlineStr">
        <x:is>
          <x:t xml:space="preserve"/>
        </x:is>
      </x:c>
      <x:c r="G578" s="6" t="inlineStr">
        <x:is>
          <x:t xml:space="preserve">6</x:t>
        </x:is>
      </x:c>
      <x:c r="H578" s="5" t="inlineStr">
        <x:is>
          <x:t xml:space="preserve"/>
        </x:is>
      </x:c>
      <x:c r="I578" s="5" t="inlineStr">
        <x:is>
          <x:t xml:space="preserve"/>
        </x:is>
      </x:c>
      <x:c r="J578" s="5" t="inlineStr">
        <x:is>
          <x:t xml:space="preserve"/>
        </x:is>
      </x:c>
      <x:c r="K578" s="5" t="inlineStr">
        <x:is>
          <x:t xml:space="preserve"/>
        </x:is>
      </x:c>
      <x:c r="L578" s="5" t="inlineStr">
        <x:is>
          <x:t xml:space="preserve"/>
        </x:is>
      </x:c>
      <x:c r="M578" s="5" t="inlineStr">
        <x:is>
          <x:t xml:space="preserve"/>
        </x:is>
      </x:c>
      <x:c r="N578" s="5" t="inlineStr">
        <x:is>
          <x:t xml:space="preserve"/>
        </x:is>
      </x:c>
      <x:c r="O578" s="5" t="inlineStr">
        <x:is>
          <x:t xml:space="preserve"/>
        </x:is>
      </x:c>
      <x:c r="P578" s="5" t="inlineStr">
        <x:is>
          <x:t xml:space="preserve"/>
        </x:is>
      </x:c>
      <x:c r="Q578" s="5" t="inlineStr">
        <x:is>
          <x:t xml:space="preserve"/>
        </x:is>
      </x:c>
      <x:c r="R578" s="5">
        <x:f>IF(OR(F578="",G578=""),"",IF(F578&gt;=0.95*G578,1,0))</x:f>
      </x:c>
      <x:c r="S578" s="7">
        <x:f>IFERROR((I578+J578+K578)/F578,"")</x:f>
      </x:c>
      <x:c r="T578" s="5">
        <x:f>IFERROR(I578+J578+K578,"")</x:f>
        <x:v>0</x:v>
      </x:c>
    </x:row>
    <x:row r="579" ht="22" customHeight="1">
      <x:c r="A579" s="5" t="inlineStr">
        <x:is>
          <x:t xml:space="preserve">P048</x:t>
        </x:is>
      </x:c>
      <x:c r="B579" s="5" t="inlineStr">
        <x:is>
          <x:t xml:space="preserve">11</x:t>
        </x:is>
      </x:c>
      <x:c r="C579" s="5" t="inlineStr">
        <x:is>
          <x:t xml:space="preserve">V11_story_burnout</x:t>
        </x:is>
      </x:c>
      <x:c r="D579" s="5" t="inlineStr">
        <x:is>
          <x:t xml:space="preserve">bcc</x:t>
        </x:is>
      </x:c>
      <x:c r="E579" s="5" t="inlineStr">
        <x:is>
          <x:t xml:space="preserve">audio_on</x:t>
        </x:is>
      </x:c>
      <x:c r="F579" s="6" t="inlineStr">
        <x:is>
          <x:t xml:space="preserve"/>
        </x:is>
      </x:c>
      <x:c r="G579" s="6" t="inlineStr">
        <x:is>
          <x:t xml:space="preserve">6</x:t>
        </x:is>
      </x:c>
      <x:c r="H579" s="5" t="inlineStr">
        <x:is>
          <x:t xml:space="preserve"/>
        </x:is>
      </x:c>
      <x:c r="I579" s="5" t="inlineStr">
        <x:is>
          <x:t xml:space="preserve"/>
        </x:is>
      </x:c>
      <x:c r="J579" s="5" t="inlineStr">
        <x:is>
          <x:t xml:space="preserve"/>
        </x:is>
      </x:c>
      <x:c r="K579" s="5" t="inlineStr">
        <x:is>
          <x:t xml:space="preserve"/>
        </x:is>
      </x:c>
      <x:c r="L579" s="5" t="inlineStr">
        <x:is>
          <x:t xml:space="preserve"/>
        </x:is>
      </x:c>
      <x:c r="M579" s="5" t="inlineStr">
        <x:is>
          <x:t xml:space="preserve"/>
        </x:is>
      </x:c>
      <x:c r="N579" s="5" t="inlineStr">
        <x:is>
          <x:t xml:space="preserve"/>
        </x:is>
      </x:c>
      <x:c r="O579" s="5" t="inlineStr">
        <x:is>
          <x:t xml:space="preserve"/>
        </x:is>
      </x:c>
      <x:c r="P579" s="5" t="inlineStr">
        <x:is>
          <x:t xml:space="preserve"/>
        </x:is>
      </x:c>
      <x:c r="Q579" s="5" t="inlineStr">
        <x:is>
          <x:t xml:space="preserve"/>
        </x:is>
      </x:c>
      <x:c r="R579" s="5">
        <x:f>IF(OR(F579="",G579=""),"",IF(F579&gt;=0.95*G579,1,0))</x:f>
      </x:c>
      <x:c r="S579" s="7">
        <x:f>IFERROR((I579+J579+K579)/F579,"")</x:f>
      </x:c>
      <x:c r="T579" s="5">
        <x:f>IFERROR(I579+J579+K579,"")</x:f>
        <x:v>0</x:v>
      </x:c>
    </x:row>
    <x:row r="580" ht="22" customHeight="1">
      <x:c r="A580" s="5" t="inlineStr">
        <x:is>
          <x:t xml:space="preserve">P048</x:t>
        </x:is>
      </x:c>
      <x:c r="B580" s="5" t="inlineStr">
        <x:is>
          <x:t xml:space="preserve">12</x:t>
        </x:is>
      </x:c>
      <x:c r="C580" s="5" t="inlineStr">
        <x:is>
          <x:t xml:space="preserve">V10_tutorial_ui</x:t>
        </x:is>
      </x:c>
      <x:c r="D580" s="5" t="inlineStr">
        <x:is>
          <x:t xml:space="preserve">bcc_plus</x:t>
        </x:is>
      </x:c>
      <x:c r="E580" s="5" t="inlineStr">
        <x:is>
          <x:t xml:space="preserve">muted</x:t>
        </x:is>
      </x:c>
      <x:c r="F580" s="6" t="inlineStr">
        <x:is>
          <x:t xml:space="preserve"/>
        </x:is>
      </x:c>
      <x:c r="G580" s="6" t="inlineStr">
        <x:is>
          <x:t xml:space="preserve">6</x:t>
        </x:is>
      </x:c>
      <x:c r="H580" s="5" t="inlineStr">
        <x:is>
          <x:t xml:space="preserve"/>
        </x:is>
      </x:c>
      <x:c r="I580" s="5" t="inlineStr">
        <x:is>
          <x:t xml:space="preserve"/>
        </x:is>
      </x:c>
      <x:c r="J580" s="5" t="inlineStr">
        <x:is>
          <x:t xml:space="preserve"/>
        </x:is>
      </x:c>
      <x:c r="K580" s="5" t="inlineStr">
        <x:is>
          <x:t xml:space="preserve"/>
        </x:is>
      </x:c>
      <x:c r="L580" s="5" t="inlineStr">
        <x:is>
          <x:t xml:space="preserve"/>
        </x:is>
      </x:c>
      <x:c r="M580" s="5" t="inlineStr">
        <x:is>
          <x:t xml:space="preserve"/>
        </x:is>
      </x:c>
      <x:c r="N580" s="5" t="inlineStr">
        <x:is>
          <x:t xml:space="preserve"/>
        </x:is>
      </x:c>
      <x:c r="O580" s="5" t="inlineStr">
        <x:is>
          <x:t xml:space="preserve"/>
        </x:is>
      </x:c>
      <x:c r="P580" s="5" t="inlineStr">
        <x:is>
          <x:t xml:space="preserve"/>
        </x:is>
      </x:c>
      <x:c r="Q580" s="5" t="inlineStr">
        <x:is>
          <x:t xml:space="preserve"/>
        </x:is>
      </x:c>
      <x:c r="R580" s="5">
        <x:f>IF(OR(F580="",G580=""),"",IF(F580&gt;=0.95*G580,1,0))</x:f>
      </x:c>
      <x:c r="S580" s="7">
        <x:f>IFERROR((I580+J580+K580)/F580,"")</x:f>
      </x:c>
      <x:c r="T580" s="5">
        <x:f>IFERROR(I580+J580+K580,"")</x:f>
        <x:v>0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e051b2b66f349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4" customWidth="1"/>
    <x:col min="3" max="3" width="16" customWidth="1"/>
    <x:col min="4" max="4" width="20" customWidth="1"/>
    <x:col min="5" max="5" width="10" customWidth="1"/>
    <x:col min="6" max="6" width="10" customWidth="1"/>
    <x:col min="7" max="7" width="12" customWidth="1"/>
    <x:col min="8" max="8" width="10" customWidth="1"/>
    <x:col min="9" max="9" width="10" customWidth="1"/>
    <x:col min="10" max="10" width="10" customWidth="1"/>
    <x:col min="11" max="11" width="18" customWidth="1"/>
  </x:cols>
  <x:sheetData>
    <x:row r="1" ht="30" customHeight="1">
      <x:c r="A1" s="1" t="inlineStr">
        <x:is>
          <x:t xml:space="preserve">Pilot Dashboard</x:t>
        </x:is>
      </x:c>
      <x:c r="I1" s="2" t="n"/>
      <x:c r="J1" s="2" t="n"/>
      <x:c r="K1" s="2" t="n"/>
    </x:row>
    <x:row r="2" ht="24" customHeight="1">
      <x:c r="A2" s="3" t="inlineStr">
        <x:is>
          <x:t xml:space="preserve">Dashboard formulas activate when pilot data is entered.</x:t>
        </x:is>
      </x:c>
      <x:c r="I2" s="2" t="n"/>
      <x:c r="J2" s="2" t="n"/>
      <x:c r="K2" s="2" t="n"/>
    </x:row>
    <x:row r="3" ht="24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</x:row>
    <x:row r="4" ht="42" customHeight="1">
      <x:c r="A4" s="8" t="inlineStr">
        <x:is>
          <x:t xml:space="preserve">variant</x:t>
        </x:is>
      </x:c>
      <x:c r="B4" s="8" t="inlineStr">
        <x:is>
          <x:t xml:space="preserve">n_trials</x:t>
        </x:is>
      </x:c>
      <x:c r="C4" s="8" t="inlineStr">
        <x:is>
          <x:t xml:space="preserve">completion_rate</x:t>
        </x:is>
      </x:c>
      <x:c r="D4" s="8" t="inlineStr">
        <x:is>
          <x:t xml:space="preserve">avg_watch_time_sec</x:t>
        </x:is>
      </x:c>
      <x:c r="E4" s="8" t="inlineStr">
        <x:is>
          <x:t xml:space="preserve">gist</x:t>
        </x:is>
      </x:c>
      <x:c r="F4" s="8" t="inlineStr">
        <x:is>
          <x:t xml:space="preserve">action</x:t>
        </x:is>
      </x:c>
      <x:c r="G4" s="8" t="inlineStr">
        <x:is>
          <x:t xml:space="preserve">contrast</x:t>
        </x:is>
      </x:c>
      <x:c r="H4" s="8" t="inlineStr">
        <x:is>
          <x:t xml:space="preserve">exact</x:t>
        </x:is>
      </x:c>
      <x:c r="I4" s="8" t="inlineStr">
        <x:is>
          <x:t xml:space="preserve">visual</x:t>
        </x:is>
      </x:c>
      <x:c r="J4" s="8" t="inlineStr">
        <x:is>
          <x:t xml:space="preserve">effort</x:t>
        </x:is>
      </x:c>
      <x:c r="K4" s="8" t="inlineStr">
        <x:is>
          <x:t xml:space="preserve">meaning_per_sec</x:t>
        </x:is>
      </x:c>
    </x:row>
    <x:row r="5" ht="38" customHeight="1">
      <x:c r="A5" s="5" t="inlineStr">
        <x:is>
          <x:t xml:space="preserve">full_transcript</x:t>
        </x:is>
      </x:c>
      <x:c r="B5" s="5">
        <x:f>COUNTIFS('Pilot Data Template'!$D$5:$D$580,A5,'Pilot Data Template'!$F$5:$F$580,"&gt;0")</x:f>
        <x:v>0</x:v>
      </x:c>
      <x:c r="C5" s="9">
        <x:f>IFERROR(AVERAGEIFS('Pilot Data Template'!$R$5:$R$580,'Pilot Data Template'!$D$5:$D$580,A5,'Pilot Data Template'!$F$5:$F$580,"&gt;0"),"")</x:f>
      </x:c>
      <x:c r="D5" s="10">
        <x:f>IFERROR(AVERAGEIFS('Pilot Data Template'!$F$5:$F$580,'Pilot Data Template'!$D$5:$D$580,A5,'Pilot Data Template'!$F$5:$F$580,"&gt;0"),"")</x:f>
      </x:c>
      <x:c r="E5" s="10">
        <x:f>IFERROR(AVERAGEIFS('Pilot Data Template'!$I$5:$I$580,'Pilot Data Template'!$D$5:$D$580,A5,'Pilot Data Template'!$F$5:$F$580,"&gt;0"),"")</x:f>
      </x:c>
      <x:c r="F5" s="10">
        <x:f>IFERROR(AVERAGEIFS('Pilot Data Template'!$J$5:$J$580,'Pilot Data Template'!$D$5:$D$580,A5,'Pilot Data Template'!$F$5:$F$580,"&gt;0"),"")</x:f>
      </x:c>
      <x:c r="G5" s="10">
        <x:f>IFERROR(AVERAGEIFS('Pilot Data Template'!$K$5:$K$580,'Pilot Data Template'!$D$5:$D$580,A5,'Pilot Data Template'!$F$5:$F$580,"&gt;0"),"")</x:f>
      </x:c>
      <x:c r="H5" s="10">
        <x:f>IFERROR(AVERAGEIFS('Pilot Data Template'!$L$5:$L$580,'Pilot Data Template'!$D$5:$D$580,A5,'Pilot Data Template'!$F$5:$F$580,"&gt;0"),"")</x:f>
      </x:c>
      <x:c r="I5" s="10">
        <x:f>IFERROR(AVERAGEIFS('Pilot Data Template'!$M$5:$M$580,'Pilot Data Template'!$D$5:$D$580,A5,'Pilot Data Template'!$F$5:$F$580,"&gt;0"),"")</x:f>
      </x:c>
      <x:c r="J5" s="10">
        <x:f>IFERROR(AVERAGEIFS('Pilot Data Template'!$N$5:$N$580,'Pilot Data Template'!$D$5:$D$580,A5,'Pilot Data Template'!$F$5:$F$580,"&gt;0"),"")</x:f>
      </x:c>
      <x:c r="K5" s="10">
        <x:f>IFERROR(AVERAGEIFS('Pilot Data Template'!$S$5:$S$580,'Pilot Data Template'!$D$5:$D$580,A5,'Pilot Data Template'!$F$5:$F$580,"&gt;0"),"")</x:f>
      </x:c>
    </x:row>
    <x:row r="6" ht="38" customHeight="1">
      <x:c r="A6" s="5" t="inlineStr">
        <x:is>
          <x:t xml:space="preserve">keyword_highlight</x:t>
        </x:is>
      </x:c>
      <x:c r="B6" s="5">
        <x:f>COUNTIFS('Pilot Data Template'!$D$5:$D$580,A6,'Pilot Data Template'!$F$5:$F$580,"&gt;0")</x:f>
        <x:v>0</x:v>
      </x:c>
      <x:c r="C6" s="9">
        <x:f>IFERROR(AVERAGEIFS('Pilot Data Template'!$R$5:$R$580,'Pilot Data Template'!$D$5:$D$580,A6,'Pilot Data Template'!$F$5:$F$580,"&gt;0"),"")</x:f>
      </x:c>
      <x:c r="D6" s="10">
        <x:f>IFERROR(AVERAGEIFS('Pilot Data Template'!$F$5:$F$580,'Pilot Data Template'!$D$5:$D$580,A6,'Pilot Data Template'!$F$5:$F$580,"&gt;0"),"")</x:f>
      </x:c>
      <x:c r="E6" s="10">
        <x:f>IFERROR(AVERAGEIFS('Pilot Data Template'!$I$5:$I$580,'Pilot Data Template'!$D$5:$D$580,A6,'Pilot Data Template'!$F$5:$F$580,"&gt;0"),"")</x:f>
      </x:c>
      <x:c r="F6" s="10">
        <x:f>IFERROR(AVERAGEIFS('Pilot Data Template'!$J$5:$J$580,'Pilot Data Template'!$D$5:$D$580,A6,'Pilot Data Template'!$F$5:$F$580,"&gt;0"),"")</x:f>
      </x:c>
      <x:c r="G6" s="10">
        <x:f>IFERROR(AVERAGEIFS('Pilot Data Template'!$K$5:$K$580,'Pilot Data Template'!$D$5:$D$580,A6,'Pilot Data Template'!$F$5:$F$580,"&gt;0"),"")</x:f>
      </x:c>
      <x:c r="H6" s="10">
        <x:f>IFERROR(AVERAGEIFS('Pilot Data Template'!$L$5:$L$580,'Pilot Data Template'!$D$5:$D$580,A6,'Pilot Data Template'!$F$5:$F$580,"&gt;0"),"")</x:f>
      </x:c>
      <x:c r="I6" s="10">
        <x:f>IFERROR(AVERAGEIFS('Pilot Data Template'!$M$5:$M$580,'Pilot Data Template'!$D$5:$D$580,A6,'Pilot Data Template'!$F$5:$F$580,"&gt;0"),"")</x:f>
      </x:c>
      <x:c r="J6" s="10">
        <x:f>IFERROR(AVERAGEIFS('Pilot Data Template'!$N$5:$N$580,'Pilot Data Template'!$D$5:$D$580,A6,'Pilot Data Template'!$F$5:$F$580,"&gt;0"),"")</x:f>
      </x:c>
      <x:c r="K6" s="10">
        <x:f>IFERROR(AVERAGEIFS('Pilot Data Template'!$S$5:$S$580,'Pilot Data Template'!$D$5:$D$580,A6,'Pilot Data Template'!$F$5:$F$580,"&gt;0"),"")</x:f>
      </x:c>
    </x:row>
    <x:row r="7" ht="38" customHeight="1">
      <x:c r="A7" s="5" t="inlineStr">
        <x:is>
          <x:t xml:space="preserve">semantic_compression</x:t>
        </x:is>
      </x:c>
      <x:c r="B7" s="5">
        <x:f>COUNTIFS('Pilot Data Template'!$D$5:$D$580,A7,'Pilot Data Template'!$F$5:$F$580,"&gt;0")</x:f>
        <x:v>0</x:v>
      </x:c>
      <x:c r="C7" s="9">
        <x:f>IFERROR(AVERAGEIFS('Pilot Data Template'!$R$5:$R$580,'Pilot Data Template'!$D$5:$D$580,A7,'Pilot Data Template'!$F$5:$F$580,"&gt;0"),"")</x:f>
      </x:c>
      <x:c r="D7" s="10">
        <x:f>IFERROR(AVERAGEIFS('Pilot Data Template'!$F$5:$F$580,'Pilot Data Template'!$D$5:$D$580,A7,'Pilot Data Template'!$F$5:$F$580,"&gt;0"),"")</x:f>
      </x:c>
      <x:c r="E7" s="10">
        <x:f>IFERROR(AVERAGEIFS('Pilot Data Template'!$I$5:$I$580,'Pilot Data Template'!$D$5:$D$580,A7,'Pilot Data Template'!$F$5:$F$580,"&gt;0"),"")</x:f>
      </x:c>
      <x:c r="F7" s="10">
        <x:f>IFERROR(AVERAGEIFS('Pilot Data Template'!$J$5:$J$580,'Pilot Data Template'!$D$5:$D$580,A7,'Pilot Data Template'!$F$5:$F$580,"&gt;0"),"")</x:f>
      </x:c>
      <x:c r="G7" s="10">
        <x:f>IFERROR(AVERAGEIFS('Pilot Data Template'!$K$5:$K$580,'Pilot Data Template'!$D$5:$D$580,A7,'Pilot Data Template'!$F$5:$F$580,"&gt;0"),"")</x:f>
      </x:c>
      <x:c r="H7" s="10">
        <x:f>IFERROR(AVERAGEIFS('Pilot Data Template'!$L$5:$L$580,'Pilot Data Template'!$D$5:$D$580,A7,'Pilot Data Template'!$F$5:$F$580,"&gt;0"),"")</x:f>
      </x:c>
      <x:c r="I7" s="10">
        <x:f>IFERROR(AVERAGEIFS('Pilot Data Template'!$M$5:$M$580,'Pilot Data Template'!$D$5:$D$580,A7,'Pilot Data Template'!$F$5:$F$580,"&gt;0"),"")</x:f>
      </x:c>
      <x:c r="J7" s="10">
        <x:f>IFERROR(AVERAGEIFS('Pilot Data Template'!$N$5:$N$580,'Pilot Data Template'!$D$5:$D$580,A7,'Pilot Data Template'!$F$5:$F$580,"&gt;0"),"")</x:f>
      </x:c>
      <x:c r="K7" s="10">
        <x:f>IFERROR(AVERAGEIFS('Pilot Data Template'!$S$5:$S$580,'Pilot Data Template'!$D$5:$D$580,A7,'Pilot Data Template'!$F$5:$F$580,"&gt;0"),"")</x:f>
      </x:c>
    </x:row>
    <x:row r="8" ht="38" customHeight="1">
      <x:c r="A8" s="5" t="inlineStr">
        <x:is>
          <x:t xml:space="preserve">bcc</x:t>
        </x:is>
      </x:c>
      <x:c r="B8" s="5">
        <x:f>COUNTIFS('Pilot Data Template'!$D$5:$D$580,A8,'Pilot Data Template'!$F$5:$F$580,"&gt;0")</x:f>
        <x:v>0</x:v>
      </x:c>
      <x:c r="C8" s="9">
        <x:f>IFERROR(AVERAGEIFS('Pilot Data Template'!$R$5:$R$580,'Pilot Data Template'!$D$5:$D$580,A8,'Pilot Data Template'!$F$5:$F$580,"&gt;0"),"")</x:f>
      </x:c>
      <x:c r="D8" s="10">
        <x:f>IFERROR(AVERAGEIFS('Pilot Data Template'!$F$5:$F$580,'Pilot Data Template'!$D$5:$D$580,A8,'Pilot Data Template'!$F$5:$F$580,"&gt;0"),"")</x:f>
      </x:c>
      <x:c r="E8" s="10">
        <x:f>IFERROR(AVERAGEIFS('Pilot Data Template'!$I$5:$I$580,'Pilot Data Template'!$D$5:$D$580,A8,'Pilot Data Template'!$F$5:$F$580,"&gt;0"),"")</x:f>
      </x:c>
      <x:c r="F8" s="10">
        <x:f>IFERROR(AVERAGEIFS('Pilot Data Template'!$J$5:$J$580,'Pilot Data Template'!$D$5:$D$580,A8,'Pilot Data Template'!$F$5:$F$580,"&gt;0"),"")</x:f>
      </x:c>
      <x:c r="G8" s="10">
        <x:f>IFERROR(AVERAGEIFS('Pilot Data Template'!$K$5:$K$580,'Pilot Data Template'!$D$5:$D$580,A8,'Pilot Data Template'!$F$5:$F$580,"&gt;0"),"")</x:f>
      </x:c>
      <x:c r="H8" s="10">
        <x:f>IFERROR(AVERAGEIFS('Pilot Data Template'!$L$5:$L$580,'Pilot Data Template'!$D$5:$D$580,A8,'Pilot Data Template'!$F$5:$F$580,"&gt;0"),"")</x:f>
      </x:c>
      <x:c r="I8" s="10">
        <x:f>IFERROR(AVERAGEIFS('Pilot Data Template'!$M$5:$M$580,'Pilot Data Template'!$D$5:$D$580,A8,'Pilot Data Template'!$F$5:$F$580,"&gt;0"),"")</x:f>
      </x:c>
      <x:c r="J8" s="10">
        <x:f>IFERROR(AVERAGEIFS('Pilot Data Template'!$N$5:$N$580,'Pilot Data Template'!$D$5:$D$580,A8,'Pilot Data Template'!$F$5:$F$580,"&gt;0"),"")</x:f>
      </x:c>
      <x:c r="K8" s="10">
        <x:f>IFERROR(AVERAGEIFS('Pilot Data Template'!$S$5:$S$580,'Pilot Data Template'!$D$5:$D$580,A8,'Pilot Data Template'!$F$5:$F$580,"&gt;0"),"")</x:f>
      </x:c>
    </x:row>
    <x:row r="9" ht="38" customHeight="1">
      <x:c r="A9" s="5" t="inlineStr">
        <x:is>
          <x:t xml:space="preserve">bcc_plus</x:t>
        </x:is>
      </x:c>
      <x:c r="B9" s="5">
        <x:f>COUNTIFS('Pilot Data Template'!$D$5:$D$580,A9,'Pilot Data Template'!$F$5:$F$580,"&gt;0")</x:f>
        <x:v>0</x:v>
      </x:c>
      <x:c r="C9" s="9">
        <x:f>IFERROR(AVERAGEIFS('Pilot Data Template'!$R$5:$R$580,'Pilot Data Template'!$D$5:$D$580,A9,'Pilot Data Template'!$F$5:$F$580,"&gt;0"),"")</x:f>
      </x:c>
      <x:c r="D9" s="10">
        <x:f>IFERROR(AVERAGEIFS('Pilot Data Template'!$F$5:$F$580,'Pilot Data Template'!$D$5:$D$580,A9,'Pilot Data Template'!$F$5:$F$580,"&gt;0"),"")</x:f>
      </x:c>
      <x:c r="E9" s="10">
        <x:f>IFERROR(AVERAGEIFS('Pilot Data Template'!$I$5:$I$580,'Pilot Data Template'!$D$5:$D$580,A9,'Pilot Data Template'!$F$5:$F$580,"&gt;0"),"")</x:f>
      </x:c>
      <x:c r="F9" s="10">
        <x:f>IFERROR(AVERAGEIFS('Pilot Data Template'!$J$5:$J$580,'Pilot Data Template'!$D$5:$D$580,A9,'Pilot Data Template'!$F$5:$F$580,"&gt;0"),"")</x:f>
      </x:c>
      <x:c r="G9" s="10">
        <x:f>IFERROR(AVERAGEIFS('Pilot Data Template'!$K$5:$K$580,'Pilot Data Template'!$D$5:$D$580,A9,'Pilot Data Template'!$F$5:$F$580,"&gt;0"),"")</x:f>
      </x:c>
      <x:c r="H9" s="10">
        <x:f>IFERROR(AVERAGEIFS('Pilot Data Template'!$L$5:$L$580,'Pilot Data Template'!$D$5:$D$580,A9,'Pilot Data Template'!$F$5:$F$580,"&gt;0"),"")</x:f>
      </x:c>
      <x:c r="I9" s="10">
        <x:f>IFERROR(AVERAGEIFS('Pilot Data Template'!$M$5:$M$580,'Pilot Data Template'!$D$5:$D$580,A9,'Pilot Data Template'!$F$5:$F$580,"&gt;0"),"")</x:f>
      </x:c>
      <x:c r="J9" s="10">
        <x:f>IFERROR(AVERAGEIFS('Pilot Data Template'!$N$5:$N$580,'Pilot Data Template'!$D$5:$D$580,A9,'Pilot Data Template'!$F$5:$F$580,"&gt;0"),"")</x:f>
      </x:c>
      <x:c r="K9" s="10">
        <x:f>IFERROR(AVERAGEIFS('Pilot Data Template'!$S$5:$S$580,'Pilot Data Template'!$D$5:$D$580,A9,'Pilot Data Template'!$F$5:$F$580,"&gt;0"),"")</x:f>
      </x:c>
    </x:row>
    <x:row r="10" ht="38" customHeight="1">
      <x:c r="A10" s="5" t="inlineStr">
        <x:is>
          <x:t xml:space="preserve">heavy_bionic</x:t>
        </x:is>
      </x:c>
      <x:c r="B10" s="5">
        <x:f>COUNTIFS('Pilot Data Template'!$D$5:$D$580,A10,'Pilot Data Template'!$F$5:$F$580,"&gt;0")</x:f>
        <x:v>0</x:v>
      </x:c>
      <x:c r="C10" s="9">
        <x:f>IFERROR(AVERAGEIFS('Pilot Data Template'!$R$5:$R$580,'Pilot Data Template'!$D$5:$D$580,A10,'Pilot Data Template'!$F$5:$F$580,"&gt;0"),"")</x:f>
      </x:c>
      <x:c r="D10" s="10">
        <x:f>IFERROR(AVERAGEIFS('Pilot Data Template'!$F$5:$F$580,'Pilot Data Template'!$D$5:$D$580,A10,'Pilot Data Template'!$F$5:$F$580,"&gt;0"),"")</x:f>
      </x:c>
      <x:c r="E10" s="10">
        <x:f>IFERROR(AVERAGEIFS('Pilot Data Template'!$I$5:$I$580,'Pilot Data Template'!$D$5:$D$580,A10,'Pilot Data Template'!$F$5:$F$580,"&gt;0"),"")</x:f>
      </x:c>
      <x:c r="F10" s="10">
        <x:f>IFERROR(AVERAGEIFS('Pilot Data Template'!$J$5:$J$580,'Pilot Data Template'!$D$5:$D$580,A10,'Pilot Data Template'!$F$5:$F$580,"&gt;0"),"")</x:f>
      </x:c>
      <x:c r="G10" s="10">
        <x:f>IFERROR(AVERAGEIFS('Pilot Data Template'!$K$5:$K$580,'Pilot Data Template'!$D$5:$D$580,A10,'Pilot Data Template'!$F$5:$F$580,"&gt;0"),"")</x:f>
      </x:c>
      <x:c r="H10" s="10">
        <x:f>IFERROR(AVERAGEIFS('Pilot Data Template'!$L$5:$L$580,'Pilot Data Template'!$D$5:$D$580,A10,'Pilot Data Template'!$F$5:$F$580,"&gt;0"),"")</x:f>
      </x:c>
      <x:c r="I10" s="10">
        <x:f>IFERROR(AVERAGEIFS('Pilot Data Template'!$M$5:$M$580,'Pilot Data Template'!$D$5:$D$580,A10,'Pilot Data Template'!$F$5:$F$580,"&gt;0"),"")</x:f>
      </x:c>
      <x:c r="J10" s="10">
        <x:f>IFERROR(AVERAGEIFS('Pilot Data Template'!$N$5:$N$580,'Pilot Data Template'!$D$5:$D$580,A10,'Pilot Data Template'!$F$5:$F$580,"&gt;0"),"")</x:f>
      </x:c>
      <x:c r="K10" s="10">
        <x:f>IFERROR(AVERAGEIFS('Pilot Data Template'!$S$5:$S$580,'Pilot Data Template'!$D$5:$D$580,A10,'Pilot Data Template'!$F$5:$F$580,"&gt;0"),"")</x:f>
      </x:c>
    </x:row>
  </x:sheetData>
  <x:mergeCells>
    <x:mergeCell ref="A2:H2"/>
    <x:mergeCell ref="A1:H1"/>
  </x:mergeCells>
  <x:pageMargins left="0.7" right="0.7" top="0.75" bottom="0.75" header="0.3" footer="0.3"/>
  <x:drawing xmlns:r="http://schemas.openxmlformats.org/officeDocument/2006/relationships" r:id="R13ea76d9afb44d08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4" customWidth="1"/>
    <x:col min="3" max="3" width="18" customWidth="1"/>
    <x:col min="4" max="4" width="20" customWidth="1"/>
    <x:col min="5" max="5" width="18" customWidth="1"/>
    <x:col min="6" max="6" width="20" customWidth="1"/>
    <x:col min="7" max="7" width="14" customWidth="1"/>
    <x:col min="8" max="8" width="14" customWidth="1"/>
    <x:col min="9" max="9" width="22" customWidth="1"/>
    <x:col min="10" max="10" width="16" customWidth="1"/>
    <x:col min="11" max="11" width="18" customWidth="1"/>
    <x:col min="12" max="12" width="18" customWidth="1"/>
    <x:col min="13" max="13" width="16" customWidth="1"/>
    <x:col min="14" max="14" width="14" customWidth="1"/>
    <x:col min="15" max="15" width="40" customWidth="1"/>
  </x:cols>
  <x:sheetData>
    <x:row r="1" ht="30" customHeight="1">
      <x:c r="A1" s="1" t="inlineStr">
        <x:is>
          <x:t xml:space="preserve">BCC+ Scoring Template</x:t>
        </x:is>
      </x:c>
      <x:c r="I1" s="2" t="n"/>
      <x:c r="J1" s="2" t="n"/>
      <x:c r="K1" s="2" t="n"/>
      <x:c r="L1" s="2" t="n"/>
      <x:c r="M1" s="2" t="n"/>
      <x:c r="N1" s="2" t="n"/>
      <x:c r="O1" s="2" t="n"/>
    </x:row>
    <x:row r="2" ht="22" customHeight="1">
      <x:c r="A2" s="3" t="inlineStr">
        <x:is>
          <x:t xml:space="preserve">Weighted pre-publish scoring. Derived columns use formulas.</x:t>
        </x:is>
      </x:c>
      <x:c r="I2" s="2" t="n"/>
      <x:c r="J2" s="2" t="n"/>
      <x:c r="K2" s="2" t="n"/>
      <x:c r="L2" s="2" t="n"/>
      <x:c r="M2" s="2" t="n"/>
      <x:c r="N2" s="2" t="n"/>
      <x:c r="O2" s="2" t="n"/>
    </x:row>
    <x:row r="3" ht="22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  <x:c r="O3" s="2" t="n"/>
    </x:row>
    <x:row r="4" ht="42" customHeight="1">
      <x:c r="A4" s="11" t="inlineStr">
        <x:is>
          <x:t xml:space="preserve">video_id</x:t>
        </x:is>
      </x:c>
      <x:c r="B4" s="11" t="inlineStr">
        <x:is>
          <x:t xml:space="preserve">variant</x:t>
        </x:is>
      </x:c>
      <x:c r="C4" s="11" t="inlineStr">
        <x:is>
          <x:t xml:space="preserve">compression_1_5</x:t>
        </x:is>
      </x:c>
      <x:c r="D4" s="11" t="inlineStr">
        <x:is>
          <x:t xml:space="preserve">semantic_clarity_1_5</x:t>
        </x:is>
      </x:c>
      <x:c r="E4" s="11" t="inlineStr">
        <x:is>
          <x:t xml:space="preserve">operator_strength_1_5</x:t>
        </x:is>
      </x:c>
      <x:c r="F4" s="11" t="inlineStr">
        <x:is>
          <x:t xml:space="preserve">concept_anchoring_1_5</x:t>
        </x:is>
      </x:c>
      <x:c r="G4" s="11" t="inlineStr">
        <x:is>
          <x:t xml:space="preserve">placement_1_5</x:t>
        </x:is>
      </x:c>
      <x:c r="H4" s="11" t="inlineStr">
        <x:is>
          <x:t xml:space="preserve">timing_1_5</x:t>
        </x:is>
      </x:c>
      <x:c r="I4" s="11" t="inlineStr">
        <x:is>
          <x:t xml:space="preserve">muted_comprehension_1_5</x:t>
        </x:is>
      </x:c>
      <x:c r="J4" s="11" t="inlineStr">
        <x:is>
          <x:t xml:space="preserve">visual_load_1_5</x:t>
        </x:is>
      </x:c>
      <x:c r="K4" s="11" t="inlineStr">
        <x:is>
          <x:t xml:space="preserve">accessibility_1_5</x:t>
        </x:is>
      </x:c>
      <x:c r="L4" s="11" t="inlineStr">
        <x:is>
          <x:t xml:space="preserve">memorability_1_5</x:t>
        </x:is>
      </x:c>
      <x:c r="M4" s="11" t="inlineStr">
        <x:is>
          <x:t xml:space="preserve">average_score</x:t>
        </x:is>
      </x:c>
      <x:c r="N4" s="11" t="inlineStr">
        <x:is>
          <x:t xml:space="preserve">publish_ready</x:t>
        </x:is>
      </x:c>
      <x:c r="O4" s="11" t="inlineStr">
        <x:is>
          <x:t xml:space="preserve">notes</x:t>
        </x:is>
      </x:c>
    </x:row>
    <x:row r="5" ht="22" customHeight="1">
      <x:c r="A5" s="5" t="inlineStr">
        <x:is>
          <x:t xml:space="preserve">V01_productivity_friction</x:t>
        </x:is>
      </x:c>
      <x:c r="B5" s="5" t="inlineStr">
        <x:is>
          <x:t xml:space="preserve">full_transcript</x:t>
        </x:is>
      </x:c>
      <x:c r="C5" s="5" t="inlineStr">
        <x:is>
          <x:t xml:space="preserve"/>
        </x:is>
      </x:c>
      <x:c r="D5" s="5" t="inlineStr">
        <x:is>
          <x:t xml:space="preserve"/>
        </x:is>
      </x:c>
      <x:c r="E5" s="5" t="inlineStr">
        <x:is>
          <x:t xml:space="preserve"/>
        </x:is>
      </x:c>
      <x:c r="F5" s="5" t="inlineStr">
        <x:is>
          <x:t xml:space="preserve"/>
        </x:is>
      </x:c>
      <x:c r="G5" s="5" t="inlineStr">
        <x:is>
          <x:t xml:space="preserve"/>
        </x:is>
      </x:c>
      <x:c r="H5" s="5" t="inlineStr">
        <x:is>
          <x:t xml:space="preserve"/>
        </x:is>
      </x:c>
      <x:c r="I5" s="5" t="inlineStr">
        <x:is>
          <x:t xml:space="preserve"/>
        </x:is>
      </x:c>
      <x:c r="J5" s="5" t="inlineStr">
        <x:is>
          <x:t xml:space="preserve"/>
        </x:is>
      </x:c>
      <x:c r="K5" s="5" t="inlineStr">
        <x:is>
          <x:t xml:space="preserve"/>
        </x:is>
      </x:c>
      <x:c r="L5" s="5" t="inlineStr">
        <x:is>
          <x:t xml:space="preserve"/>
        </x:is>
      </x:c>
      <x:c r="M5" s="5">
        <x:f>IFERROR(AVERAGE(C5:L5),"")</x:f>
      </x:c>
      <x:c r="N5" s="5" t="str">
        <x:f>IF(AND(M5&gt;=4,MIN(C5:L5)&gt;=3),"YES","NO")</x:f>
        <x:v>NO</x:v>
      </x:c>
      <x:c r="O5" s="5" t="inlineStr">
        <x:is>
          <x:t xml:space="preserve"/>
        </x:is>
      </x:c>
    </x:row>
    <x:row r="6" ht="22" customHeight="1">
      <x:c r="A6" s="5" t="inlineStr">
        <x:is>
          <x:t xml:space="preserve">V01_productivity_friction</x:t>
        </x:is>
      </x:c>
      <x:c r="B6" s="5" t="inlineStr">
        <x:is>
          <x:t xml:space="preserve">keyword_highlight</x:t>
        </x:is>
      </x:c>
      <x:c r="C6" s="5" t="inlineStr">
        <x:is>
          <x:t xml:space="preserve"/>
        </x:is>
      </x:c>
      <x:c r="D6" s="5" t="inlineStr">
        <x:is>
          <x:t xml:space="preserve"/>
        </x:is>
      </x:c>
      <x:c r="E6" s="5" t="inlineStr">
        <x:is>
          <x:t xml:space="preserve"/>
        </x:is>
      </x:c>
      <x:c r="F6" s="5" t="inlineStr">
        <x:is>
          <x:t xml:space="preserve"/>
        </x:is>
      </x:c>
      <x:c r="G6" s="5" t="inlineStr">
        <x:is>
          <x:t xml:space="preserve"/>
        </x:is>
      </x:c>
      <x:c r="H6" s="5" t="inlineStr">
        <x:is>
          <x:t xml:space="preserve"/>
        </x:is>
      </x:c>
      <x:c r="I6" s="5" t="inlineStr">
        <x:is>
          <x:t xml:space="preserve"/>
        </x:is>
      </x:c>
      <x:c r="J6" s="5" t="inlineStr">
        <x:is>
          <x:t xml:space="preserve"/>
        </x:is>
      </x:c>
      <x:c r="K6" s="5" t="inlineStr">
        <x:is>
          <x:t xml:space="preserve"/>
        </x:is>
      </x:c>
      <x:c r="L6" s="5" t="inlineStr">
        <x:is>
          <x:t xml:space="preserve"/>
        </x:is>
      </x:c>
      <x:c r="M6" s="5">
        <x:f>IFERROR(AVERAGE(C6:L6),"")</x:f>
      </x:c>
      <x:c r="N6" s="5" t="str">
        <x:f>IF(AND(M6&gt;=4,MIN(C6:L6)&gt;=3),"YES","NO")</x:f>
        <x:v>NO</x:v>
      </x:c>
      <x:c r="O6" s="5" t="inlineStr">
        <x:is>
          <x:t xml:space="preserve"/>
        </x:is>
      </x:c>
    </x:row>
    <x:row r="7" ht="22" customHeight="1">
      <x:c r="A7" s="5" t="inlineStr">
        <x:is>
          <x:t xml:space="preserve">V01_productivity_friction</x:t>
        </x:is>
      </x:c>
      <x:c r="B7" s="5" t="inlineStr">
        <x:is>
          <x:t xml:space="preserve">semantic_compression</x:t>
        </x:is>
      </x:c>
      <x:c r="C7" s="5" t="inlineStr">
        <x:is>
          <x:t xml:space="preserve"/>
        </x:is>
      </x:c>
      <x:c r="D7" s="5" t="inlineStr">
        <x:is>
          <x:t xml:space="preserve"/>
        </x:is>
      </x:c>
      <x:c r="E7" s="5" t="inlineStr">
        <x:is>
          <x:t xml:space="preserve"/>
        </x:is>
      </x:c>
      <x:c r="F7" s="5" t="inlineStr">
        <x:is>
          <x:t xml:space="preserve"/>
        </x:is>
      </x:c>
      <x:c r="G7" s="5" t="inlineStr">
        <x:is>
          <x:t xml:space="preserve"/>
        </x:is>
      </x:c>
      <x:c r="H7" s="5" t="inlineStr">
        <x:is>
          <x:t xml:space="preserve"/>
        </x:is>
      </x:c>
      <x:c r="I7" s="5" t="inlineStr">
        <x:is>
          <x:t xml:space="preserve"/>
        </x:is>
      </x:c>
      <x:c r="J7" s="5" t="inlineStr">
        <x:is>
          <x:t xml:space="preserve"/>
        </x:is>
      </x:c>
      <x:c r="K7" s="5" t="inlineStr">
        <x:is>
          <x:t xml:space="preserve"/>
        </x:is>
      </x:c>
      <x:c r="L7" s="5" t="inlineStr">
        <x:is>
          <x:t xml:space="preserve"/>
        </x:is>
      </x:c>
      <x:c r="M7" s="5">
        <x:f>IFERROR(AVERAGE(C7:L7),"")</x:f>
      </x:c>
      <x:c r="N7" s="5" t="str">
        <x:f>IF(AND(M7&gt;=4,MIN(C7:L7)&gt;=3),"YES","NO")</x:f>
        <x:v>NO</x:v>
      </x:c>
      <x:c r="O7" s="5" t="inlineStr">
        <x:is>
          <x:t xml:space="preserve"/>
        </x:is>
      </x:c>
    </x:row>
    <x:row r="8" ht="22" customHeight="1">
      <x:c r="A8" s="5" t="inlineStr">
        <x:is>
          <x:t xml:space="preserve">V01_productivity_friction</x:t>
        </x:is>
      </x:c>
      <x:c r="B8" s="5" t="inlineStr">
        <x:is>
          <x:t xml:space="preserve">bcc</x:t>
        </x:is>
      </x:c>
      <x:c r="C8" s="5" t="inlineStr">
        <x:is>
          <x:t xml:space="preserve"/>
        </x:is>
      </x:c>
      <x:c r="D8" s="5" t="inlineStr">
        <x:is>
          <x:t xml:space="preserve"/>
        </x:is>
      </x:c>
      <x:c r="E8" s="5" t="inlineStr">
        <x:is>
          <x:t xml:space="preserve"/>
        </x:is>
      </x:c>
      <x:c r="F8" s="5" t="inlineStr">
        <x:is>
          <x:t xml:space="preserve"/>
        </x:is>
      </x:c>
      <x:c r="G8" s="5" t="inlineStr">
        <x:is>
          <x:t xml:space="preserve"/>
        </x:is>
      </x:c>
      <x:c r="H8" s="5" t="inlineStr">
        <x:is>
          <x:t xml:space="preserve"/>
        </x:is>
      </x:c>
      <x:c r="I8" s="5" t="inlineStr">
        <x:is>
          <x:t xml:space="preserve"/>
        </x:is>
      </x:c>
      <x:c r="J8" s="5" t="inlineStr">
        <x:is>
          <x:t xml:space="preserve"/>
        </x:is>
      </x:c>
      <x:c r="K8" s="5" t="inlineStr">
        <x:is>
          <x:t xml:space="preserve"/>
        </x:is>
      </x:c>
      <x:c r="L8" s="5" t="inlineStr">
        <x:is>
          <x:t xml:space="preserve"/>
        </x:is>
      </x:c>
      <x:c r="M8" s="5">
        <x:f>IFERROR(AVERAGE(C8:L8),"")</x:f>
      </x:c>
      <x:c r="N8" s="5" t="str">
        <x:f>IF(AND(M8&gt;=4,MIN(C8:L8)&gt;=3),"YES","NO")</x:f>
        <x:v>NO</x:v>
      </x:c>
      <x:c r="O8" s="5" t="inlineStr">
        <x:is>
          <x:t xml:space="preserve"/>
        </x:is>
      </x:c>
    </x:row>
    <x:row r="9" ht="22" customHeight="1">
      <x:c r="A9" s="5" t="inlineStr">
        <x:is>
          <x:t xml:space="preserve">V01_productivity_friction</x:t>
        </x:is>
      </x:c>
      <x:c r="B9" s="5" t="inlineStr">
        <x:is>
          <x:t xml:space="preserve">bcc_plus</x:t>
        </x:is>
      </x:c>
      <x:c r="C9" s="5" t="inlineStr">
        <x:is>
          <x:t xml:space="preserve"/>
        </x:is>
      </x:c>
      <x:c r="D9" s="5" t="inlineStr">
        <x:is>
          <x:t xml:space="preserve"/>
        </x:is>
      </x:c>
      <x:c r="E9" s="5" t="inlineStr">
        <x:is>
          <x:t xml:space="preserve"/>
        </x:is>
      </x:c>
      <x:c r="F9" s="5" t="inlineStr">
        <x:is>
          <x:t xml:space="preserve"/>
        </x:is>
      </x:c>
      <x:c r="G9" s="5" t="inlineStr">
        <x:is>
          <x:t xml:space="preserve"/>
        </x:is>
      </x:c>
      <x:c r="H9" s="5" t="inlineStr">
        <x:is>
          <x:t xml:space="preserve"/>
        </x:is>
      </x:c>
      <x:c r="I9" s="5" t="inlineStr">
        <x:is>
          <x:t xml:space="preserve"/>
        </x:is>
      </x:c>
      <x:c r="J9" s="5" t="inlineStr">
        <x:is>
          <x:t xml:space="preserve"/>
        </x:is>
      </x:c>
      <x:c r="K9" s="5" t="inlineStr">
        <x:is>
          <x:t xml:space="preserve"/>
        </x:is>
      </x:c>
      <x:c r="L9" s="5" t="inlineStr">
        <x:is>
          <x:t xml:space="preserve"/>
        </x:is>
      </x:c>
      <x:c r="M9" s="5">
        <x:f>IFERROR(AVERAGE(C9:L9),"")</x:f>
      </x:c>
      <x:c r="N9" s="5" t="str">
        <x:f>IF(AND(M9&gt;=4,MIN(C9:L9)&gt;=3),"YES","NO")</x:f>
        <x:v>NO</x:v>
      </x:c>
      <x:c r="O9" s="5" t="inlineStr">
        <x:is>
          <x:t xml:space="preserve"/>
        </x:is>
      </x:c>
    </x:row>
    <x:row r="10" ht="22" customHeight="1">
      <x:c r="A10" s="5" t="inlineStr">
        <x:is>
          <x:t xml:space="preserve">V01_productivity_friction</x:t>
        </x:is>
      </x:c>
      <x:c r="B10" s="5" t="inlineStr">
        <x:is>
          <x:t xml:space="preserve">heavy_bionic</x:t>
        </x:is>
      </x:c>
      <x:c r="C10" s="5" t="inlineStr">
        <x:is>
          <x:t xml:space="preserve"/>
        </x:is>
      </x:c>
      <x:c r="D10" s="5" t="inlineStr">
        <x:is>
          <x:t xml:space="preserve"/>
        </x:is>
      </x:c>
      <x:c r="E10" s="5" t="inlineStr">
        <x:is>
          <x:t xml:space="preserve"/>
        </x:is>
      </x:c>
      <x:c r="F10" s="5" t="inlineStr">
        <x:is>
          <x:t xml:space="preserve"/>
        </x:is>
      </x:c>
      <x:c r="G10" s="5" t="inlineStr">
        <x:is>
          <x:t xml:space="preserve"/>
        </x:is>
      </x:c>
      <x:c r="H10" s="5" t="inlineStr">
        <x:is>
          <x:t xml:space="preserve"/>
        </x:is>
      </x:c>
      <x:c r="I10" s="5" t="inlineStr">
        <x:is>
          <x:t xml:space="preserve"/>
        </x:is>
      </x:c>
      <x:c r="J10" s="5" t="inlineStr">
        <x:is>
          <x:t xml:space="preserve"/>
        </x:is>
      </x:c>
      <x:c r="K10" s="5" t="inlineStr">
        <x:is>
          <x:t xml:space="preserve"/>
        </x:is>
      </x:c>
      <x:c r="L10" s="5" t="inlineStr">
        <x:is>
          <x:t xml:space="preserve"/>
        </x:is>
      </x:c>
      <x:c r="M10" s="5">
        <x:f>IFERROR(AVERAGE(C10:L10),"")</x:f>
      </x:c>
      <x:c r="N10" s="5" t="str">
        <x:f>IF(AND(M10&gt;=4,MIN(C10:L10)&gt;=3),"YES","NO")</x:f>
        <x:v>NO</x:v>
      </x:c>
      <x:c r="O10" s="5" t="inlineStr">
        <x:is>
          <x:t xml:space="preserve"/>
        </x:is>
      </x:c>
    </x:row>
    <x:row r="11" ht="22" customHeight="1">
      <x:c r="A11" s="5" t="inlineStr">
        <x:is>
          <x:t xml:space="preserve">V02_study_recall</x:t>
        </x:is>
      </x:c>
      <x:c r="B11" s="5" t="inlineStr">
        <x:is>
          <x:t xml:space="preserve">full_transcript</x:t>
        </x:is>
      </x:c>
      <x:c r="C11" s="5" t="inlineStr">
        <x:is>
          <x:t xml:space="preserve"/>
        </x:is>
      </x:c>
      <x:c r="D11" s="5" t="inlineStr">
        <x:is>
          <x:t xml:space="preserve"/>
        </x:is>
      </x:c>
      <x:c r="E11" s="5" t="inlineStr">
        <x:is>
          <x:t xml:space="preserve"/>
        </x:is>
      </x:c>
      <x:c r="F11" s="5" t="inlineStr">
        <x:is>
          <x:t xml:space="preserve"/>
        </x:is>
      </x:c>
      <x:c r="G11" s="5" t="inlineStr">
        <x:is>
          <x:t xml:space="preserve"/>
        </x:is>
      </x:c>
      <x:c r="H11" s="5" t="inlineStr">
        <x:is>
          <x:t xml:space="preserve"/>
        </x:is>
      </x:c>
      <x:c r="I11" s="5" t="inlineStr">
        <x:is>
          <x:t xml:space="preserve"/>
        </x:is>
      </x:c>
      <x:c r="J11" s="5" t="inlineStr">
        <x:is>
          <x:t xml:space="preserve"/>
        </x:is>
      </x:c>
      <x:c r="K11" s="5" t="inlineStr">
        <x:is>
          <x:t xml:space="preserve"/>
        </x:is>
      </x:c>
      <x:c r="L11" s="5" t="inlineStr">
        <x:is>
          <x:t xml:space="preserve"/>
        </x:is>
      </x:c>
      <x:c r="M11" s="5">
        <x:f>IFERROR(AVERAGE(C11:L11),"")</x:f>
      </x:c>
      <x:c r="N11" s="5" t="str">
        <x:f>IF(AND(M11&gt;=4,MIN(C11:L11)&gt;=3),"YES","NO")</x:f>
        <x:v>NO</x:v>
      </x:c>
      <x:c r="O11" s="5" t="inlineStr">
        <x:is>
          <x:t xml:space="preserve"/>
        </x:is>
      </x:c>
    </x:row>
    <x:row r="12" ht="22" customHeight="1">
      <x:c r="A12" s="5" t="inlineStr">
        <x:is>
          <x:t xml:space="preserve">V02_study_recall</x:t>
        </x:is>
      </x:c>
      <x:c r="B12" s="5" t="inlineStr">
        <x:is>
          <x:t xml:space="preserve">keyword_highlight</x:t>
        </x:is>
      </x:c>
      <x:c r="C12" s="5" t="inlineStr">
        <x:is>
          <x:t xml:space="preserve"/>
        </x:is>
      </x:c>
      <x:c r="D12" s="5" t="inlineStr">
        <x:is>
          <x:t xml:space="preserve"/>
        </x:is>
      </x:c>
      <x:c r="E12" s="5" t="inlineStr">
        <x:is>
          <x:t xml:space="preserve"/>
        </x:is>
      </x:c>
      <x:c r="F12" s="5" t="inlineStr">
        <x:is>
          <x:t xml:space="preserve"/>
        </x:is>
      </x:c>
      <x:c r="G12" s="5" t="inlineStr">
        <x:is>
          <x:t xml:space="preserve"/>
        </x:is>
      </x:c>
      <x:c r="H12" s="5" t="inlineStr">
        <x:is>
          <x:t xml:space="preserve"/>
        </x:is>
      </x:c>
      <x:c r="I12" s="5" t="inlineStr">
        <x:is>
          <x:t xml:space="preserve"/>
        </x:is>
      </x:c>
      <x:c r="J12" s="5" t="inlineStr">
        <x:is>
          <x:t xml:space="preserve"/>
        </x:is>
      </x:c>
      <x:c r="K12" s="5" t="inlineStr">
        <x:is>
          <x:t xml:space="preserve"/>
        </x:is>
      </x:c>
      <x:c r="L12" s="5" t="inlineStr">
        <x:is>
          <x:t xml:space="preserve"/>
        </x:is>
      </x:c>
      <x:c r="M12" s="5">
        <x:f>IFERROR(AVERAGE(C12:L12),"")</x:f>
      </x:c>
      <x:c r="N12" s="5" t="str">
        <x:f>IF(AND(M12&gt;=4,MIN(C12:L12)&gt;=3),"YES","NO")</x:f>
        <x:v>NO</x:v>
      </x:c>
      <x:c r="O12" s="5" t="inlineStr">
        <x:is>
          <x:t xml:space="preserve"/>
        </x:is>
      </x:c>
    </x:row>
    <x:row r="13" ht="22" customHeight="1">
      <x:c r="A13" s="5" t="inlineStr">
        <x:is>
          <x:t xml:space="preserve">V02_study_recall</x:t>
        </x:is>
      </x:c>
      <x:c r="B13" s="5" t="inlineStr">
        <x:is>
          <x:t xml:space="preserve">semantic_compression</x:t>
        </x:is>
      </x:c>
      <x:c r="C13" s="5" t="inlineStr">
        <x:is>
          <x:t xml:space="preserve"/>
        </x:is>
      </x:c>
      <x:c r="D13" s="5" t="inlineStr">
        <x:is>
          <x:t xml:space="preserve"/>
        </x:is>
      </x:c>
      <x:c r="E13" s="5" t="inlineStr">
        <x:is>
          <x:t xml:space="preserve"/>
        </x:is>
      </x:c>
      <x:c r="F13" s="5" t="inlineStr">
        <x:is>
          <x:t xml:space="preserve"/>
        </x:is>
      </x:c>
      <x:c r="G13" s="5" t="inlineStr">
        <x:is>
          <x:t xml:space="preserve"/>
        </x:is>
      </x:c>
      <x:c r="H13" s="5" t="inlineStr">
        <x:is>
          <x:t xml:space="preserve"/>
        </x:is>
      </x:c>
      <x:c r="I13" s="5" t="inlineStr">
        <x:is>
          <x:t xml:space="preserve"/>
        </x:is>
      </x:c>
      <x:c r="J13" s="5" t="inlineStr">
        <x:is>
          <x:t xml:space="preserve"/>
        </x:is>
      </x:c>
      <x:c r="K13" s="5" t="inlineStr">
        <x:is>
          <x:t xml:space="preserve"/>
        </x:is>
      </x:c>
      <x:c r="L13" s="5" t="inlineStr">
        <x:is>
          <x:t xml:space="preserve"/>
        </x:is>
      </x:c>
      <x:c r="M13" s="5">
        <x:f>IFERROR(AVERAGE(C13:L13),"")</x:f>
      </x:c>
      <x:c r="N13" s="5" t="str">
        <x:f>IF(AND(M13&gt;=4,MIN(C13:L13)&gt;=3),"YES","NO")</x:f>
        <x:v>NO</x:v>
      </x:c>
      <x:c r="O13" s="5" t="inlineStr">
        <x:is>
          <x:t xml:space="preserve"/>
        </x:is>
      </x:c>
    </x:row>
    <x:row r="14" ht="22" customHeight="1">
      <x:c r="A14" s="5" t="inlineStr">
        <x:is>
          <x:t xml:space="preserve">V02_study_recall</x:t>
        </x:is>
      </x:c>
      <x:c r="B14" s="5" t="inlineStr">
        <x:is>
          <x:t xml:space="preserve">bcc</x:t>
        </x:is>
      </x:c>
      <x:c r="C14" s="5" t="inlineStr">
        <x:is>
          <x:t xml:space="preserve"/>
        </x:is>
      </x:c>
      <x:c r="D14" s="5" t="inlineStr">
        <x:is>
          <x:t xml:space="preserve"/>
        </x:is>
      </x:c>
      <x:c r="E14" s="5" t="inlineStr">
        <x:is>
          <x:t xml:space="preserve"/>
        </x:is>
      </x:c>
      <x:c r="F14" s="5" t="inlineStr">
        <x:is>
          <x:t xml:space="preserve"/>
        </x:is>
      </x:c>
      <x:c r="G14" s="5" t="inlineStr">
        <x:is>
          <x:t xml:space="preserve"/>
        </x:is>
      </x:c>
      <x:c r="H14" s="5" t="inlineStr">
        <x:is>
          <x:t xml:space="preserve"/>
        </x:is>
      </x:c>
      <x:c r="I14" s="5" t="inlineStr">
        <x:is>
          <x:t xml:space="preserve"/>
        </x:is>
      </x:c>
      <x:c r="J14" s="5" t="inlineStr">
        <x:is>
          <x:t xml:space="preserve"/>
        </x:is>
      </x:c>
      <x:c r="K14" s="5" t="inlineStr">
        <x:is>
          <x:t xml:space="preserve"/>
        </x:is>
      </x:c>
      <x:c r="L14" s="5" t="inlineStr">
        <x:is>
          <x:t xml:space="preserve"/>
        </x:is>
      </x:c>
      <x:c r="M14" s="5">
        <x:f>IFERROR(AVERAGE(C14:L14),"")</x:f>
      </x:c>
      <x:c r="N14" s="5" t="str">
        <x:f>IF(AND(M14&gt;=4,MIN(C14:L14)&gt;=3),"YES","NO")</x:f>
        <x:v>NO</x:v>
      </x:c>
      <x:c r="O14" s="5" t="inlineStr">
        <x:is>
          <x:t xml:space="preserve"/>
        </x:is>
      </x:c>
    </x:row>
    <x:row r="15" ht="22" customHeight="1">
      <x:c r="A15" s="5" t="inlineStr">
        <x:is>
          <x:t xml:space="preserve">V02_study_recall</x:t>
        </x:is>
      </x:c>
      <x:c r="B15" s="5" t="inlineStr">
        <x:is>
          <x:t xml:space="preserve">bcc_plus</x:t>
        </x:is>
      </x:c>
      <x:c r="C15" s="5" t="inlineStr">
        <x:is>
          <x:t xml:space="preserve"/>
        </x:is>
      </x:c>
      <x:c r="D15" s="5" t="inlineStr">
        <x:is>
          <x:t xml:space="preserve"/>
        </x:is>
      </x:c>
      <x:c r="E15" s="5" t="inlineStr">
        <x:is>
          <x:t xml:space="preserve"/>
        </x:is>
      </x:c>
      <x:c r="F15" s="5" t="inlineStr">
        <x:is>
          <x:t xml:space="preserve"/>
        </x:is>
      </x:c>
      <x:c r="G15" s="5" t="inlineStr">
        <x:is>
          <x:t xml:space="preserve"/>
        </x:is>
      </x:c>
      <x:c r="H15" s="5" t="inlineStr">
        <x:is>
          <x:t xml:space="preserve"/>
        </x:is>
      </x:c>
      <x:c r="I15" s="5" t="inlineStr">
        <x:is>
          <x:t xml:space="preserve"/>
        </x:is>
      </x:c>
      <x:c r="J15" s="5" t="inlineStr">
        <x:is>
          <x:t xml:space="preserve"/>
        </x:is>
      </x:c>
      <x:c r="K15" s="5" t="inlineStr">
        <x:is>
          <x:t xml:space="preserve"/>
        </x:is>
      </x:c>
      <x:c r="L15" s="5" t="inlineStr">
        <x:is>
          <x:t xml:space="preserve"/>
        </x:is>
      </x:c>
      <x:c r="M15" s="5">
        <x:f>IFERROR(AVERAGE(C15:L15),"")</x:f>
      </x:c>
      <x:c r="N15" s="5" t="str">
        <x:f>IF(AND(M15&gt;=4,MIN(C15:L15)&gt;=3),"YES","NO")</x:f>
        <x:v>NO</x:v>
      </x:c>
      <x:c r="O15" s="5" t="inlineStr">
        <x:is>
          <x:t xml:space="preserve"/>
        </x:is>
      </x:c>
    </x:row>
    <x:row r="16" ht="22" customHeight="1">
      <x:c r="A16" s="5" t="inlineStr">
        <x:is>
          <x:t xml:space="preserve">V02_study_recall</x:t>
        </x:is>
      </x:c>
      <x:c r="B16" s="5" t="inlineStr">
        <x:is>
          <x:t xml:space="preserve">heavy_bionic</x:t>
        </x:is>
      </x:c>
      <x:c r="C16" s="5" t="inlineStr">
        <x:is>
          <x:t xml:space="preserve"/>
        </x:is>
      </x:c>
      <x:c r="D16" s="5" t="inlineStr">
        <x:is>
          <x:t xml:space="preserve"/>
        </x:is>
      </x:c>
      <x:c r="E16" s="5" t="inlineStr">
        <x:is>
          <x:t xml:space="preserve"/>
        </x:is>
      </x:c>
      <x:c r="F16" s="5" t="inlineStr">
        <x:is>
          <x:t xml:space="preserve"/>
        </x:is>
      </x:c>
      <x:c r="G16" s="5" t="inlineStr">
        <x:is>
          <x:t xml:space="preserve"/>
        </x:is>
      </x:c>
      <x:c r="H16" s="5" t="inlineStr">
        <x:is>
          <x:t xml:space="preserve"/>
        </x:is>
      </x:c>
      <x:c r="I16" s="5" t="inlineStr">
        <x:is>
          <x:t xml:space="preserve"/>
        </x:is>
      </x:c>
      <x:c r="J16" s="5" t="inlineStr">
        <x:is>
          <x:t xml:space="preserve"/>
        </x:is>
      </x:c>
      <x:c r="K16" s="5" t="inlineStr">
        <x:is>
          <x:t xml:space="preserve"/>
        </x:is>
      </x:c>
      <x:c r="L16" s="5" t="inlineStr">
        <x:is>
          <x:t xml:space="preserve"/>
        </x:is>
      </x:c>
      <x:c r="M16" s="5">
        <x:f>IFERROR(AVERAGE(C16:L16),"")</x:f>
      </x:c>
      <x:c r="N16" s="5" t="str">
        <x:f>IF(AND(M16&gt;=4,MIN(C16:L16)&gt;=3),"YES","NO")</x:f>
        <x:v>NO</x:v>
      </x:c>
      <x:c r="O16" s="5" t="inlineStr">
        <x:is>
          <x:t xml:space="preserve"/>
        </x:is>
      </x:c>
    </x:row>
    <x:row r="17" ht="22" customHeight="1">
      <x:c r="A17" s="5" t="inlineStr">
        <x:is>
          <x:t xml:space="preserve">V03_fitness_setup</x:t>
        </x:is>
      </x:c>
      <x:c r="B17" s="5" t="inlineStr">
        <x:is>
          <x:t xml:space="preserve">full_transcript</x:t>
        </x:is>
      </x:c>
      <x:c r="C17" s="5" t="inlineStr">
        <x:is>
          <x:t xml:space="preserve"/>
        </x:is>
      </x:c>
      <x:c r="D17" s="5" t="inlineStr">
        <x:is>
          <x:t xml:space="preserve"/>
        </x:is>
      </x:c>
      <x:c r="E17" s="5" t="inlineStr">
        <x:is>
          <x:t xml:space="preserve"/>
        </x:is>
      </x:c>
      <x:c r="F17" s="5" t="inlineStr">
        <x:is>
          <x:t xml:space="preserve"/>
        </x:is>
      </x:c>
      <x:c r="G17" s="5" t="inlineStr">
        <x:is>
          <x:t xml:space="preserve"/>
        </x:is>
      </x:c>
      <x:c r="H17" s="5" t="inlineStr">
        <x:is>
          <x:t xml:space="preserve"/>
        </x:is>
      </x:c>
      <x:c r="I17" s="5" t="inlineStr">
        <x:is>
          <x:t xml:space="preserve"/>
        </x:is>
      </x:c>
      <x:c r="J17" s="5" t="inlineStr">
        <x:is>
          <x:t xml:space="preserve"/>
        </x:is>
      </x:c>
      <x:c r="K17" s="5" t="inlineStr">
        <x:is>
          <x:t xml:space="preserve"/>
        </x:is>
      </x:c>
      <x:c r="L17" s="5" t="inlineStr">
        <x:is>
          <x:t xml:space="preserve"/>
        </x:is>
      </x:c>
      <x:c r="M17" s="5">
        <x:f>IFERROR(AVERAGE(C17:L17),"")</x:f>
      </x:c>
      <x:c r="N17" s="5" t="str">
        <x:f>IF(AND(M17&gt;=4,MIN(C17:L17)&gt;=3),"YES","NO")</x:f>
        <x:v>NO</x:v>
      </x:c>
      <x:c r="O17" s="5" t="inlineStr">
        <x:is>
          <x:t xml:space="preserve"/>
        </x:is>
      </x:c>
    </x:row>
    <x:row r="18" ht="22" customHeight="1">
      <x:c r="A18" s="5" t="inlineStr">
        <x:is>
          <x:t xml:space="preserve">V03_fitness_setup</x:t>
        </x:is>
      </x:c>
      <x:c r="B18" s="5" t="inlineStr">
        <x:is>
          <x:t xml:space="preserve">keyword_highlight</x:t>
        </x:is>
      </x:c>
      <x:c r="C18" s="5" t="inlineStr">
        <x:is>
          <x:t xml:space="preserve"/>
        </x:is>
      </x:c>
      <x:c r="D18" s="5" t="inlineStr">
        <x:is>
          <x:t xml:space="preserve"/>
        </x:is>
      </x:c>
      <x:c r="E18" s="5" t="inlineStr">
        <x:is>
          <x:t xml:space="preserve"/>
        </x:is>
      </x:c>
      <x:c r="F18" s="5" t="inlineStr">
        <x:is>
          <x:t xml:space="preserve"/>
        </x:is>
      </x:c>
      <x:c r="G18" s="5" t="inlineStr">
        <x:is>
          <x:t xml:space="preserve"/>
        </x:is>
      </x:c>
      <x:c r="H18" s="5" t="inlineStr">
        <x:is>
          <x:t xml:space="preserve"/>
        </x:is>
      </x:c>
      <x:c r="I18" s="5" t="inlineStr">
        <x:is>
          <x:t xml:space="preserve"/>
        </x:is>
      </x:c>
      <x:c r="J18" s="5" t="inlineStr">
        <x:is>
          <x:t xml:space="preserve"/>
        </x:is>
      </x:c>
      <x:c r="K18" s="5" t="inlineStr">
        <x:is>
          <x:t xml:space="preserve"/>
        </x:is>
      </x:c>
      <x:c r="L18" s="5" t="inlineStr">
        <x:is>
          <x:t xml:space="preserve"/>
        </x:is>
      </x:c>
      <x:c r="M18" s="5">
        <x:f>IFERROR(AVERAGE(C18:L18),"")</x:f>
      </x:c>
      <x:c r="N18" s="5" t="str">
        <x:f>IF(AND(M18&gt;=4,MIN(C18:L18)&gt;=3),"YES","NO")</x:f>
        <x:v>NO</x:v>
      </x:c>
      <x:c r="O18" s="5" t="inlineStr">
        <x:is>
          <x:t xml:space="preserve"/>
        </x:is>
      </x:c>
    </x:row>
    <x:row r="19" ht="22" customHeight="1">
      <x:c r="A19" s="5" t="inlineStr">
        <x:is>
          <x:t xml:space="preserve">V03_fitness_setup</x:t>
        </x:is>
      </x:c>
      <x:c r="B19" s="5" t="inlineStr">
        <x:is>
          <x:t xml:space="preserve">semantic_compression</x:t>
        </x:is>
      </x:c>
      <x:c r="C19" s="5" t="inlineStr">
        <x:is>
          <x:t xml:space="preserve"/>
        </x:is>
      </x:c>
      <x:c r="D19" s="5" t="inlineStr">
        <x:is>
          <x:t xml:space="preserve"/>
        </x:is>
      </x:c>
      <x:c r="E19" s="5" t="inlineStr">
        <x:is>
          <x:t xml:space="preserve"/>
        </x:is>
      </x:c>
      <x:c r="F19" s="5" t="inlineStr">
        <x:is>
          <x:t xml:space="preserve"/>
        </x:is>
      </x:c>
      <x:c r="G19" s="5" t="inlineStr">
        <x:is>
          <x:t xml:space="preserve"/>
        </x:is>
      </x:c>
      <x:c r="H19" s="5" t="inlineStr">
        <x:is>
          <x:t xml:space="preserve"/>
        </x:is>
      </x:c>
      <x:c r="I19" s="5" t="inlineStr">
        <x:is>
          <x:t xml:space="preserve"/>
        </x:is>
      </x:c>
      <x:c r="J19" s="5" t="inlineStr">
        <x:is>
          <x:t xml:space="preserve"/>
        </x:is>
      </x:c>
      <x:c r="K19" s="5" t="inlineStr">
        <x:is>
          <x:t xml:space="preserve"/>
        </x:is>
      </x:c>
      <x:c r="L19" s="5" t="inlineStr">
        <x:is>
          <x:t xml:space="preserve"/>
        </x:is>
      </x:c>
      <x:c r="M19" s="5">
        <x:f>IFERROR(AVERAGE(C19:L19),"")</x:f>
      </x:c>
      <x:c r="N19" s="5" t="str">
        <x:f>IF(AND(M19&gt;=4,MIN(C19:L19)&gt;=3),"YES","NO")</x:f>
        <x:v>NO</x:v>
      </x:c>
      <x:c r="O19" s="5" t="inlineStr">
        <x:is>
          <x:t xml:space="preserve"/>
        </x:is>
      </x:c>
    </x:row>
    <x:row r="20" ht="22" customHeight="1">
      <x:c r="A20" s="5" t="inlineStr">
        <x:is>
          <x:t xml:space="preserve">V03_fitness_setup</x:t>
        </x:is>
      </x:c>
      <x:c r="B20" s="5" t="inlineStr">
        <x:is>
          <x:t xml:space="preserve">bcc</x:t>
        </x:is>
      </x:c>
      <x:c r="C20" s="5" t="inlineStr">
        <x:is>
          <x:t xml:space="preserve"/>
        </x:is>
      </x:c>
      <x:c r="D20" s="5" t="inlineStr">
        <x:is>
          <x:t xml:space="preserve"/>
        </x:is>
      </x:c>
      <x:c r="E20" s="5" t="inlineStr">
        <x:is>
          <x:t xml:space="preserve"/>
        </x:is>
      </x:c>
      <x:c r="F20" s="5" t="inlineStr">
        <x:is>
          <x:t xml:space="preserve"/>
        </x:is>
      </x:c>
      <x:c r="G20" s="5" t="inlineStr">
        <x:is>
          <x:t xml:space="preserve"/>
        </x:is>
      </x:c>
      <x:c r="H20" s="5" t="inlineStr">
        <x:is>
          <x:t xml:space="preserve"/>
        </x:is>
      </x:c>
      <x:c r="I20" s="5" t="inlineStr">
        <x:is>
          <x:t xml:space="preserve"/>
        </x:is>
      </x:c>
      <x:c r="J20" s="5" t="inlineStr">
        <x:is>
          <x:t xml:space="preserve"/>
        </x:is>
      </x:c>
      <x:c r="K20" s="5" t="inlineStr">
        <x:is>
          <x:t xml:space="preserve"/>
        </x:is>
      </x:c>
      <x:c r="L20" s="5" t="inlineStr">
        <x:is>
          <x:t xml:space="preserve"/>
        </x:is>
      </x:c>
      <x:c r="M20" s="5">
        <x:f>IFERROR(AVERAGE(C20:L20),"")</x:f>
      </x:c>
      <x:c r="N20" s="5" t="str">
        <x:f>IF(AND(M20&gt;=4,MIN(C20:L20)&gt;=3),"YES","NO")</x:f>
        <x:v>NO</x:v>
      </x:c>
      <x:c r="O20" s="5" t="inlineStr">
        <x:is>
          <x:t xml:space="preserve"/>
        </x:is>
      </x:c>
    </x:row>
    <x:row r="21" ht="22" customHeight="1">
      <x:c r="A21" s="5" t="inlineStr">
        <x:is>
          <x:t xml:space="preserve">V03_fitness_setup</x:t>
        </x:is>
      </x:c>
      <x:c r="B21" s="5" t="inlineStr">
        <x:is>
          <x:t xml:space="preserve">bcc_plus</x:t>
        </x:is>
      </x:c>
      <x:c r="C21" s="5" t="inlineStr">
        <x:is>
          <x:t xml:space="preserve"/>
        </x:is>
      </x:c>
      <x:c r="D21" s="5" t="inlineStr">
        <x:is>
          <x:t xml:space="preserve"/>
        </x:is>
      </x:c>
      <x:c r="E21" s="5" t="inlineStr">
        <x:is>
          <x:t xml:space="preserve"/>
        </x:is>
      </x:c>
      <x:c r="F21" s="5" t="inlineStr">
        <x:is>
          <x:t xml:space="preserve"/>
        </x:is>
      </x:c>
      <x:c r="G21" s="5" t="inlineStr">
        <x:is>
          <x:t xml:space="preserve"/>
        </x:is>
      </x:c>
      <x:c r="H21" s="5" t="inlineStr">
        <x:is>
          <x:t xml:space="preserve"/>
        </x:is>
      </x:c>
      <x:c r="I21" s="5" t="inlineStr">
        <x:is>
          <x:t xml:space="preserve"/>
        </x:is>
      </x:c>
      <x:c r="J21" s="5" t="inlineStr">
        <x:is>
          <x:t xml:space="preserve"/>
        </x:is>
      </x:c>
      <x:c r="K21" s="5" t="inlineStr">
        <x:is>
          <x:t xml:space="preserve"/>
        </x:is>
      </x:c>
      <x:c r="L21" s="5" t="inlineStr">
        <x:is>
          <x:t xml:space="preserve"/>
        </x:is>
      </x:c>
      <x:c r="M21" s="5">
        <x:f>IFERROR(AVERAGE(C21:L21),"")</x:f>
      </x:c>
      <x:c r="N21" s="5" t="str">
        <x:f>IF(AND(M21&gt;=4,MIN(C21:L21)&gt;=3),"YES","NO")</x:f>
        <x:v>NO</x:v>
      </x:c>
      <x:c r="O21" s="5" t="inlineStr">
        <x:is>
          <x:t xml:space="preserve"/>
        </x:is>
      </x:c>
    </x:row>
    <x:row r="22" ht="22" customHeight="1">
      <x:c r="A22" s="5" t="inlineStr">
        <x:is>
          <x:t xml:space="preserve">V03_fitness_setup</x:t>
        </x:is>
      </x:c>
      <x:c r="B22" s="5" t="inlineStr">
        <x:is>
          <x:t xml:space="preserve">heavy_bionic</x:t>
        </x:is>
      </x:c>
      <x:c r="C22" s="5" t="inlineStr">
        <x:is>
          <x:t xml:space="preserve"/>
        </x:is>
      </x:c>
      <x:c r="D22" s="5" t="inlineStr">
        <x:is>
          <x:t xml:space="preserve"/>
        </x:is>
      </x:c>
      <x:c r="E22" s="5" t="inlineStr">
        <x:is>
          <x:t xml:space="preserve"/>
        </x:is>
      </x:c>
      <x:c r="F22" s="5" t="inlineStr">
        <x:is>
          <x:t xml:space="preserve"/>
        </x:is>
      </x:c>
      <x:c r="G22" s="5" t="inlineStr">
        <x:is>
          <x:t xml:space="preserve"/>
        </x:is>
      </x:c>
      <x:c r="H22" s="5" t="inlineStr">
        <x:is>
          <x:t xml:space="preserve"/>
        </x:is>
      </x:c>
      <x:c r="I22" s="5" t="inlineStr">
        <x:is>
          <x:t xml:space="preserve"/>
        </x:is>
      </x:c>
      <x:c r="J22" s="5" t="inlineStr">
        <x:is>
          <x:t xml:space="preserve"/>
        </x:is>
      </x:c>
      <x:c r="K22" s="5" t="inlineStr">
        <x:is>
          <x:t xml:space="preserve"/>
        </x:is>
      </x:c>
      <x:c r="L22" s="5" t="inlineStr">
        <x:is>
          <x:t xml:space="preserve"/>
        </x:is>
      </x:c>
      <x:c r="M22" s="5">
        <x:f>IFERROR(AVERAGE(C22:L22),"")</x:f>
      </x:c>
      <x:c r="N22" s="5" t="str">
        <x:f>IF(AND(M22&gt;=4,MIN(C22:L22)&gt;=3),"YES","NO")</x:f>
        <x:v>NO</x:v>
      </x:c>
      <x:c r="O22" s="5" t="inlineStr">
        <x:is>
          <x:t xml:space="preserve"/>
        </x:is>
      </x:c>
    </x:row>
    <x:row r="23" ht="22" customHeight="1">
      <x:c r="A23" s="5" t="inlineStr">
        <x:is>
          <x:t xml:space="preserve">V04_money_visibility</x:t>
        </x:is>
      </x:c>
      <x:c r="B23" s="5" t="inlineStr">
        <x:is>
          <x:t xml:space="preserve">full_transcript</x:t>
        </x:is>
      </x:c>
      <x:c r="C23" s="5" t="inlineStr">
        <x:is>
          <x:t xml:space="preserve"/>
        </x:is>
      </x:c>
      <x:c r="D23" s="5" t="inlineStr">
        <x:is>
          <x:t xml:space="preserve"/>
        </x:is>
      </x:c>
      <x:c r="E23" s="5" t="inlineStr">
        <x:is>
          <x:t xml:space="preserve"/>
        </x:is>
      </x:c>
      <x:c r="F23" s="5" t="inlineStr">
        <x:is>
          <x:t xml:space="preserve"/>
        </x:is>
      </x:c>
      <x:c r="G23" s="5" t="inlineStr">
        <x:is>
          <x:t xml:space="preserve"/>
        </x:is>
      </x:c>
      <x:c r="H23" s="5" t="inlineStr">
        <x:is>
          <x:t xml:space="preserve"/>
        </x:is>
      </x:c>
      <x:c r="I23" s="5" t="inlineStr">
        <x:is>
          <x:t xml:space="preserve"/>
        </x:is>
      </x:c>
      <x:c r="J23" s="5" t="inlineStr">
        <x:is>
          <x:t xml:space="preserve"/>
        </x:is>
      </x:c>
      <x:c r="K23" s="5" t="inlineStr">
        <x:is>
          <x:t xml:space="preserve"/>
        </x:is>
      </x:c>
      <x:c r="L23" s="5" t="inlineStr">
        <x:is>
          <x:t xml:space="preserve"/>
        </x:is>
      </x:c>
      <x:c r="M23" s="5">
        <x:f>IFERROR(AVERAGE(C23:L23),"")</x:f>
      </x:c>
      <x:c r="N23" s="5" t="str">
        <x:f>IF(AND(M23&gt;=4,MIN(C23:L23)&gt;=3),"YES","NO")</x:f>
        <x:v>NO</x:v>
      </x:c>
      <x:c r="O23" s="5" t="inlineStr">
        <x:is>
          <x:t xml:space="preserve"/>
        </x:is>
      </x:c>
    </x:row>
    <x:row r="24" ht="22" customHeight="1">
      <x:c r="A24" s="5" t="inlineStr">
        <x:is>
          <x:t xml:space="preserve">V04_money_visibility</x:t>
        </x:is>
      </x:c>
      <x:c r="B24" s="5" t="inlineStr">
        <x:is>
          <x:t xml:space="preserve">keyword_highlight</x:t>
        </x:is>
      </x:c>
      <x:c r="C24" s="5" t="inlineStr">
        <x:is>
          <x:t xml:space="preserve"/>
        </x:is>
      </x:c>
      <x:c r="D24" s="5" t="inlineStr">
        <x:is>
          <x:t xml:space="preserve"/>
        </x:is>
      </x:c>
      <x:c r="E24" s="5" t="inlineStr">
        <x:is>
          <x:t xml:space="preserve"/>
        </x:is>
      </x:c>
      <x:c r="F24" s="5" t="inlineStr">
        <x:is>
          <x:t xml:space="preserve"/>
        </x:is>
      </x:c>
      <x:c r="G24" s="5" t="inlineStr">
        <x:is>
          <x:t xml:space="preserve"/>
        </x:is>
      </x:c>
      <x:c r="H24" s="5" t="inlineStr">
        <x:is>
          <x:t xml:space="preserve"/>
        </x:is>
      </x:c>
      <x:c r="I24" s="5" t="inlineStr">
        <x:is>
          <x:t xml:space="preserve"/>
        </x:is>
      </x:c>
      <x:c r="J24" s="5" t="inlineStr">
        <x:is>
          <x:t xml:space="preserve"/>
        </x:is>
      </x:c>
      <x:c r="K24" s="5" t="inlineStr">
        <x:is>
          <x:t xml:space="preserve"/>
        </x:is>
      </x:c>
      <x:c r="L24" s="5" t="inlineStr">
        <x:is>
          <x:t xml:space="preserve"/>
        </x:is>
      </x:c>
      <x:c r="M24" s="5">
        <x:f>IFERROR(AVERAGE(C24:L24),"")</x:f>
      </x:c>
      <x:c r="N24" s="5" t="str">
        <x:f>IF(AND(M24&gt;=4,MIN(C24:L24)&gt;=3),"YES","NO")</x:f>
        <x:v>NO</x:v>
      </x:c>
      <x:c r="O24" s="5" t="inlineStr">
        <x:is>
          <x:t xml:space="preserve"/>
        </x:is>
      </x:c>
    </x:row>
    <x:row r="25" ht="22" customHeight="1">
      <x:c r="A25" s="5" t="inlineStr">
        <x:is>
          <x:t xml:space="preserve">V04_money_visibility</x:t>
        </x:is>
      </x:c>
      <x:c r="B25" s="5" t="inlineStr">
        <x:is>
          <x:t xml:space="preserve">semantic_compression</x:t>
        </x:is>
      </x:c>
      <x:c r="C25" s="5" t="inlineStr">
        <x:is>
          <x:t xml:space="preserve"/>
        </x:is>
      </x:c>
      <x:c r="D25" s="5" t="inlineStr">
        <x:is>
          <x:t xml:space="preserve"/>
        </x:is>
      </x:c>
      <x:c r="E25" s="5" t="inlineStr">
        <x:is>
          <x:t xml:space="preserve"/>
        </x:is>
      </x:c>
      <x:c r="F25" s="5" t="inlineStr">
        <x:is>
          <x:t xml:space="preserve"/>
        </x:is>
      </x:c>
      <x:c r="G25" s="5" t="inlineStr">
        <x:is>
          <x:t xml:space="preserve"/>
        </x:is>
      </x:c>
      <x:c r="H25" s="5" t="inlineStr">
        <x:is>
          <x:t xml:space="preserve"/>
        </x:is>
      </x:c>
      <x:c r="I25" s="5" t="inlineStr">
        <x:is>
          <x:t xml:space="preserve"/>
        </x:is>
      </x:c>
      <x:c r="J25" s="5" t="inlineStr">
        <x:is>
          <x:t xml:space="preserve"/>
        </x:is>
      </x:c>
      <x:c r="K25" s="5" t="inlineStr">
        <x:is>
          <x:t xml:space="preserve"/>
        </x:is>
      </x:c>
      <x:c r="L25" s="5" t="inlineStr">
        <x:is>
          <x:t xml:space="preserve"/>
        </x:is>
      </x:c>
      <x:c r="M25" s="5">
        <x:f>IFERROR(AVERAGE(C25:L25),"")</x:f>
      </x:c>
      <x:c r="N25" s="5" t="str">
        <x:f>IF(AND(M25&gt;=4,MIN(C25:L25)&gt;=3),"YES","NO")</x:f>
        <x:v>NO</x:v>
      </x:c>
      <x:c r="O25" s="5" t="inlineStr">
        <x:is>
          <x:t xml:space="preserve"/>
        </x:is>
      </x:c>
    </x:row>
    <x:row r="26" ht="22" customHeight="1">
      <x:c r="A26" s="5" t="inlineStr">
        <x:is>
          <x:t xml:space="preserve">V04_money_visibility</x:t>
        </x:is>
      </x:c>
      <x:c r="B26" s="5" t="inlineStr">
        <x:is>
          <x:t xml:space="preserve">bcc</x:t>
        </x:is>
      </x:c>
      <x:c r="C26" s="5" t="inlineStr">
        <x:is>
          <x:t xml:space="preserve"/>
        </x:is>
      </x:c>
      <x:c r="D26" s="5" t="inlineStr">
        <x:is>
          <x:t xml:space="preserve"/>
        </x:is>
      </x:c>
      <x:c r="E26" s="5" t="inlineStr">
        <x:is>
          <x:t xml:space="preserve"/>
        </x:is>
      </x:c>
      <x:c r="F26" s="5" t="inlineStr">
        <x:is>
          <x:t xml:space="preserve"/>
        </x:is>
      </x:c>
      <x:c r="G26" s="5" t="inlineStr">
        <x:is>
          <x:t xml:space="preserve"/>
        </x:is>
      </x:c>
      <x:c r="H26" s="5" t="inlineStr">
        <x:is>
          <x:t xml:space="preserve"/>
        </x:is>
      </x:c>
      <x:c r="I26" s="5" t="inlineStr">
        <x:is>
          <x:t xml:space="preserve"/>
        </x:is>
      </x:c>
      <x:c r="J26" s="5" t="inlineStr">
        <x:is>
          <x:t xml:space="preserve"/>
        </x:is>
      </x:c>
      <x:c r="K26" s="5" t="inlineStr">
        <x:is>
          <x:t xml:space="preserve"/>
        </x:is>
      </x:c>
      <x:c r="L26" s="5" t="inlineStr">
        <x:is>
          <x:t xml:space="preserve"/>
        </x:is>
      </x:c>
      <x:c r="M26" s="5">
        <x:f>IFERROR(AVERAGE(C26:L26),"")</x:f>
      </x:c>
      <x:c r="N26" s="5" t="str">
        <x:f>IF(AND(M26&gt;=4,MIN(C26:L26)&gt;=3),"YES","NO")</x:f>
        <x:v>NO</x:v>
      </x:c>
      <x:c r="O26" s="5" t="inlineStr">
        <x:is>
          <x:t xml:space="preserve"/>
        </x:is>
      </x:c>
    </x:row>
    <x:row r="27" ht="22" customHeight="1">
      <x:c r="A27" s="5" t="inlineStr">
        <x:is>
          <x:t xml:space="preserve">V04_money_visibility</x:t>
        </x:is>
      </x:c>
      <x:c r="B27" s="5" t="inlineStr">
        <x:is>
          <x:t xml:space="preserve">bcc_plus</x:t>
        </x:is>
      </x:c>
      <x:c r="C27" s="5" t="inlineStr">
        <x:is>
          <x:t xml:space="preserve"/>
        </x:is>
      </x:c>
      <x:c r="D27" s="5" t="inlineStr">
        <x:is>
          <x:t xml:space="preserve"/>
        </x:is>
      </x:c>
      <x:c r="E27" s="5" t="inlineStr">
        <x:is>
          <x:t xml:space="preserve"/>
        </x:is>
      </x:c>
      <x:c r="F27" s="5" t="inlineStr">
        <x:is>
          <x:t xml:space="preserve"/>
        </x:is>
      </x:c>
      <x:c r="G27" s="5" t="inlineStr">
        <x:is>
          <x:t xml:space="preserve"/>
        </x:is>
      </x:c>
      <x:c r="H27" s="5" t="inlineStr">
        <x:is>
          <x:t xml:space="preserve"/>
        </x:is>
      </x:c>
      <x:c r="I27" s="5" t="inlineStr">
        <x:is>
          <x:t xml:space="preserve"/>
        </x:is>
      </x:c>
      <x:c r="J27" s="5" t="inlineStr">
        <x:is>
          <x:t xml:space="preserve"/>
        </x:is>
      </x:c>
      <x:c r="K27" s="5" t="inlineStr">
        <x:is>
          <x:t xml:space="preserve"/>
        </x:is>
      </x:c>
      <x:c r="L27" s="5" t="inlineStr">
        <x:is>
          <x:t xml:space="preserve"/>
        </x:is>
      </x:c>
      <x:c r="M27" s="5">
        <x:f>IFERROR(AVERAGE(C27:L27),"")</x:f>
      </x:c>
      <x:c r="N27" s="5" t="str">
        <x:f>IF(AND(M27&gt;=4,MIN(C27:L27)&gt;=3),"YES","NO")</x:f>
        <x:v>NO</x:v>
      </x:c>
      <x:c r="O27" s="5" t="inlineStr">
        <x:is>
          <x:t xml:space="preserve"/>
        </x:is>
      </x:c>
    </x:row>
    <x:row r="28" ht="22" customHeight="1">
      <x:c r="A28" s="5" t="inlineStr">
        <x:is>
          <x:t xml:space="preserve">V04_money_visibility</x:t>
        </x:is>
      </x:c>
      <x:c r="B28" s="5" t="inlineStr">
        <x:is>
          <x:t xml:space="preserve">heavy_bionic</x:t>
        </x:is>
      </x:c>
      <x:c r="C28" s="5" t="inlineStr">
        <x:is>
          <x:t xml:space="preserve"/>
        </x:is>
      </x:c>
      <x:c r="D28" s="5" t="inlineStr">
        <x:is>
          <x:t xml:space="preserve"/>
        </x:is>
      </x:c>
      <x:c r="E28" s="5" t="inlineStr">
        <x:is>
          <x:t xml:space="preserve"/>
        </x:is>
      </x:c>
      <x:c r="F28" s="5" t="inlineStr">
        <x:is>
          <x:t xml:space="preserve"/>
        </x:is>
      </x:c>
      <x:c r="G28" s="5" t="inlineStr">
        <x:is>
          <x:t xml:space="preserve"/>
        </x:is>
      </x:c>
      <x:c r="H28" s="5" t="inlineStr">
        <x:is>
          <x:t xml:space="preserve"/>
        </x:is>
      </x:c>
      <x:c r="I28" s="5" t="inlineStr">
        <x:is>
          <x:t xml:space="preserve"/>
        </x:is>
      </x:c>
      <x:c r="J28" s="5" t="inlineStr">
        <x:is>
          <x:t xml:space="preserve"/>
        </x:is>
      </x:c>
      <x:c r="K28" s="5" t="inlineStr">
        <x:is>
          <x:t xml:space="preserve"/>
        </x:is>
      </x:c>
      <x:c r="L28" s="5" t="inlineStr">
        <x:is>
          <x:t xml:space="preserve"/>
        </x:is>
      </x:c>
      <x:c r="M28" s="5">
        <x:f>IFERROR(AVERAGE(C28:L28),"")</x:f>
      </x:c>
      <x:c r="N28" s="5" t="str">
        <x:f>IF(AND(M28&gt;=4,MIN(C28:L28)&gt;=3),"YES","NO")</x:f>
        <x:v>NO</x:v>
      </x:c>
      <x:c r="O28" s="5" t="inlineStr">
        <x:is>
          <x:t xml:space="preserve"/>
        </x:is>
      </x:c>
    </x:row>
    <x:row r="29" ht="22" customHeight="1">
      <x:c r="A29" s="5" t="inlineStr">
        <x:is>
          <x:t xml:space="preserve">V05_coding_assumptions</x:t>
        </x:is>
      </x:c>
      <x:c r="B29" s="5" t="inlineStr">
        <x:is>
          <x:t xml:space="preserve">full_transcript</x:t>
        </x:is>
      </x:c>
      <x:c r="C29" s="5" t="inlineStr">
        <x:is>
          <x:t xml:space="preserve"/>
        </x:is>
      </x:c>
      <x:c r="D29" s="5" t="inlineStr">
        <x:is>
          <x:t xml:space="preserve"/>
        </x:is>
      </x:c>
      <x:c r="E29" s="5" t="inlineStr">
        <x:is>
          <x:t xml:space="preserve"/>
        </x:is>
      </x:c>
      <x:c r="F29" s="5" t="inlineStr">
        <x:is>
          <x:t xml:space="preserve"/>
        </x:is>
      </x:c>
      <x:c r="G29" s="5" t="inlineStr">
        <x:is>
          <x:t xml:space="preserve"/>
        </x:is>
      </x:c>
      <x:c r="H29" s="5" t="inlineStr">
        <x:is>
          <x:t xml:space="preserve"/>
        </x:is>
      </x:c>
      <x:c r="I29" s="5" t="inlineStr">
        <x:is>
          <x:t xml:space="preserve"/>
        </x:is>
      </x:c>
      <x:c r="J29" s="5" t="inlineStr">
        <x:is>
          <x:t xml:space="preserve"/>
        </x:is>
      </x:c>
      <x:c r="K29" s="5" t="inlineStr">
        <x:is>
          <x:t xml:space="preserve"/>
        </x:is>
      </x:c>
      <x:c r="L29" s="5" t="inlineStr">
        <x:is>
          <x:t xml:space="preserve"/>
        </x:is>
      </x:c>
      <x:c r="M29" s="5">
        <x:f>IFERROR(AVERAGE(C29:L29),"")</x:f>
      </x:c>
      <x:c r="N29" s="5" t="str">
        <x:f>IF(AND(M29&gt;=4,MIN(C29:L29)&gt;=3),"YES","NO")</x:f>
        <x:v>NO</x:v>
      </x:c>
      <x:c r="O29" s="5" t="inlineStr">
        <x:is>
          <x:t xml:space="preserve"/>
        </x:is>
      </x:c>
    </x:row>
    <x:row r="30" ht="22" customHeight="1">
      <x:c r="A30" s="5" t="inlineStr">
        <x:is>
          <x:t xml:space="preserve">V05_coding_assumptions</x:t>
        </x:is>
      </x:c>
      <x:c r="B30" s="5" t="inlineStr">
        <x:is>
          <x:t xml:space="preserve">keyword_highlight</x:t>
        </x:is>
      </x:c>
      <x:c r="C30" s="5" t="inlineStr">
        <x:is>
          <x:t xml:space="preserve"/>
        </x:is>
      </x:c>
      <x:c r="D30" s="5" t="inlineStr">
        <x:is>
          <x:t xml:space="preserve"/>
        </x:is>
      </x:c>
      <x:c r="E30" s="5" t="inlineStr">
        <x:is>
          <x:t xml:space="preserve"/>
        </x:is>
      </x:c>
      <x:c r="F30" s="5" t="inlineStr">
        <x:is>
          <x:t xml:space="preserve"/>
        </x:is>
      </x:c>
      <x:c r="G30" s="5" t="inlineStr">
        <x:is>
          <x:t xml:space="preserve"/>
        </x:is>
      </x:c>
      <x:c r="H30" s="5" t="inlineStr">
        <x:is>
          <x:t xml:space="preserve"/>
        </x:is>
      </x:c>
      <x:c r="I30" s="5" t="inlineStr">
        <x:is>
          <x:t xml:space="preserve"/>
        </x:is>
      </x:c>
      <x:c r="J30" s="5" t="inlineStr">
        <x:is>
          <x:t xml:space="preserve"/>
        </x:is>
      </x:c>
      <x:c r="K30" s="5" t="inlineStr">
        <x:is>
          <x:t xml:space="preserve"/>
        </x:is>
      </x:c>
      <x:c r="L30" s="5" t="inlineStr">
        <x:is>
          <x:t xml:space="preserve"/>
        </x:is>
      </x:c>
      <x:c r="M30" s="5">
        <x:f>IFERROR(AVERAGE(C30:L30),"")</x:f>
      </x:c>
      <x:c r="N30" s="5" t="str">
        <x:f>IF(AND(M30&gt;=4,MIN(C30:L30)&gt;=3),"YES","NO")</x:f>
        <x:v>NO</x:v>
      </x:c>
      <x:c r="O30" s="5" t="inlineStr">
        <x:is>
          <x:t xml:space="preserve"/>
        </x:is>
      </x:c>
    </x:row>
    <x:row r="31" ht="22" customHeight="1">
      <x:c r="A31" s="5" t="inlineStr">
        <x:is>
          <x:t xml:space="preserve">V05_coding_assumptions</x:t>
        </x:is>
      </x:c>
      <x:c r="B31" s="5" t="inlineStr">
        <x:is>
          <x:t xml:space="preserve">semantic_compression</x:t>
        </x:is>
      </x:c>
      <x:c r="C31" s="5" t="inlineStr">
        <x:is>
          <x:t xml:space="preserve"/>
        </x:is>
      </x:c>
      <x:c r="D31" s="5" t="inlineStr">
        <x:is>
          <x:t xml:space="preserve"/>
        </x:is>
      </x:c>
      <x:c r="E31" s="5" t="inlineStr">
        <x:is>
          <x:t xml:space="preserve"/>
        </x:is>
      </x:c>
      <x:c r="F31" s="5" t="inlineStr">
        <x:is>
          <x:t xml:space="preserve"/>
        </x:is>
      </x:c>
      <x:c r="G31" s="5" t="inlineStr">
        <x:is>
          <x:t xml:space="preserve"/>
        </x:is>
      </x:c>
      <x:c r="H31" s="5" t="inlineStr">
        <x:is>
          <x:t xml:space="preserve"/>
        </x:is>
      </x:c>
      <x:c r="I31" s="5" t="inlineStr">
        <x:is>
          <x:t xml:space="preserve"/>
        </x:is>
      </x:c>
      <x:c r="J31" s="5" t="inlineStr">
        <x:is>
          <x:t xml:space="preserve"/>
        </x:is>
      </x:c>
      <x:c r="K31" s="5" t="inlineStr">
        <x:is>
          <x:t xml:space="preserve"/>
        </x:is>
      </x:c>
      <x:c r="L31" s="5" t="inlineStr">
        <x:is>
          <x:t xml:space="preserve"/>
        </x:is>
      </x:c>
      <x:c r="M31" s="5">
        <x:f>IFERROR(AVERAGE(C31:L31),"")</x:f>
      </x:c>
      <x:c r="N31" s="5" t="str">
        <x:f>IF(AND(M31&gt;=4,MIN(C31:L31)&gt;=3),"YES","NO")</x:f>
        <x:v>NO</x:v>
      </x:c>
      <x:c r="O31" s="5" t="inlineStr">
        <x:is>
          <x:t xml:space="preserve"/>
        </x:is>
      </x:c>
    </x:row>
    <x:row r="32" ht="22" customHeight="1">
      <x:c r="A32" s="5" t="inlineStr">
        <x:is>
          <x:t xml:space="preserve">V05_coding_assumptions</x:t>
        </x:is>
      </x:c>
      <x:c r="B32" s="5" t="inlineStr">
        <x:is>
          <x:t xml:space="preserve">bcc</x:t>
        </x:is>
      </x:c>
      <x:c r="C32" s="5" t="inlineStr">
        <x:is>
          <x:t xml:space="preserve"/>
        </x:is>
      </x:c>
      <x:c r="D32" s="5" t="inlineStr">
        <x:is>
          <x:t xml:space="preserve"/>
        </x:is>
      </x:c>
      <x:c r="E32" s="5" t="inlineStr">
        <x:is>
          <x:t xml:space="preserve"/>
        </x:is>
      </x:c>
      <x:c r="F32" s="5" t="inlineStr">
        <x:is>
          <x:t xml:space="preserve"/>
        </x:is>
      </x:c>
      <x:c r="G32" s="5" t="inlineStr">
        <x:is>
          <x:t xml:space="preserve"/>
        </x:is>
      </x:c>
      <x:c r="H32" s="5" t="inlineStr">
        <x:is>
          <x:t xml:space="preserve"/>
        </x:is>
      </x:c>
      <x:c r="I32" s="5" t="inlineStr">
        <x:is>
          <x:t xml:space="preserve"/>
        </x:is>
      </x:c>
      <x:c r="J32" s="5" t="inlineStr">
        <x:is>
          <x:t xml:space="preserve"/>
        </x:is>
      </x:c>
      <x:c r="K32" s="5" t="inlineStr">
        <x:is>
          <x:t xml:space="preserve"/>
        </x:is>
      </x:c>
      <x:c r="L32" s="5" t="inlineStr">
        <x:is>
          <x:t xml:space="preserve"/>
        </x:is>
      </x:c>
      <x:c r="M32" s="5">
        <x:f>IFERROR(AVERAGE(C32:L32),"")</x:f>
      </x:c>
      <x:c r="N32" s="5" t="str">
        <x:f>IF(AND(M32&gt;=4,MIN(C32:L32)&gt;=3),"YES","NO")</x:f>
        <x:v>NO</x:v>
      </x:c>
      <x:c r="O32" s="5" t="inlineStr">
        <x:is>
          <x:t xml:space="preserve"/>
        </x:is>
      </x:c>
    </x:row>
    <x:row r="33" ht="22" customHeight="1">
      <x:c r="A33" s="5" t="inlineStr">
        <x:is>
          <x:t xml:space="preserve">V05_coding_assumptions</x:t>
        </x:is>
      </x:c>
      <x:c r="B33" s="5" t="inlineStr">
        <x:is>
          <x:t xml:space="preserve">bcc_plus</x:t>
        </x:is>
      </x:c>
      <x:c r="C33" s="5" t="inlineStr">
        <x:is>
          <x:t xml:space="preserve"/>
        </x:is>
      </x:c>
      <x:c r="D33" s="5" t="inlineStr">
        <x:is>
          <x:t xml:space="preserve"/>
        </x:is>
      </x:c>
      <x:c r="E33" s="5" t="inlineStr">
        <x:is>
          <x:t xml:space="preserve"/>
        </x:is>
      </x:c>
      <x:c r="F33" s="5" t="inlineStr">
        <x:is>
          <x:t xml:space="preserve"/>
        </x:is>
      </x:c>
      <x:c r="G33" s="5" t="inlineStr">
        <x:is>
          <x:t xml:space="preserve"/>
        </x:is>
      </x:c>
      <x:c r="H33" s="5" t="inlineStr">
        <x:is>
          <x:t xml:space="preserve"/>
        </x:is>
      </x:c>
      <x:c r="I33" s="5" t="inlineStr">
        <x:is>
          <x:t xml:space="preserve"/>
        </x:is>
      </x:c>
      <x:c r="J33" s="5" t="inlineStr">
        <x:is>
          <x:t xml:space="preserve"/>
        </x:is>
      </x:c>
      <x:c r="K33" s="5" t="inlineStr">
        <x:is>
          <x:t xml:space="preserve"/>
        </x:is>
      </x:c>
      <x:c r="L33" s="5" t="inlineStr">
        <x:is>
          <x:t xml:space="preserve"/>
        </x:is>
      </x:c>
      <x:c r="M33" s="5">
        <x:f>IFERROR(AVERAGE(C33:L33),"")</x:f>
      </x:c>
      <x:c r="N33" s="5" t="str">
        <x:f>IF(AND(M33&gt;=4,MIN(C33:L33)&gt;=3),"YES","NO")</x:f>
        <x:v>NO</x:v>
      </x:c>
      <x:c r="O33" s="5" t="inlineStr">
        <x:is>
          <x:t xml:space="preserve"/>
        </x:is>
      </x:c>
    </x:row>
    <x:row r="34" ht="22" customHeight="1">
      <x:c r="A34" s="5" t="inlineStr">
        <x:is>
          <x:t xml:space="preserve">V05_coding_assumptions</x:t>
        </x:is>
      </x:c>
      <x:c r="B34" s="5" t="inlineStr">
        <x:is>
          <x:t xml:space="preserve">heavy_bionic</x:t>
        </x:is>
      </x:c>
      <x:c r="C34" s="5" t="inlineStr">
        <x:is>
          <x:t xml:space="preserve"/>
        </x:is>
      </x:c>
      <x:c r="D34" s="5" t="inlineStr">
        <x:is>
          <x:t xml:space="preserve"/>
        </x:is>
      </x:c>
      <x:c r="E34" s="5" t="inlineStr">
        <x:is>
          <x:t xml:space="preserve"/>
        </x:is>
      </x:c>
      <x:c r="F34" s="5" t="inlineStr">
        <x:is>
          <x:t xml:space="preserve"/>
        </x:is>
      </x:c>
      <x:c r="G34" s="5" t="inlineStr">
        <x:is>
          <x:t xml:space="preserve"/>
        </x:is>
      </x:c>
      <x:c r="H34" s="5" t="inlineStr">
        <x:is>
          <x:t xml:space="preserve"/>
        </x:is>
      </x:c>
      <x:c r="I34" s="5" t="inlineStr">
        <x:is>
          <x:t xml:space="preserve"/>
        </x:is>
      </x:c>
      <x:c r="J34" s="5" t="inlineStr">
        <x:is>
          <x:t xml:space="preserve"/>
        </x:is>
      </x:c>
      <x:c r="K34" s="5" t="inlineStr">
        <x:is>
          <x:t xml:space="preserve"/>
        </x:is>
      </x:c>
      <x:c r="L34" s="5" t="inlineStr">
        <x:is>
          <x:t xml:space="preserve"/>
        </x:is>
      </x:c>
      <x:c r="M34" s="5">
        <x:f>IFERROR(AVERAGE(C34:L34),"")</x:f>
      </x:c>
      <x:c r="N34" s="5" t="str">
        <x:f>IF(AND(M34&gt;=4,MIN(C34:L34)&gt;=3),"YES","NO")</x:f>
        <x:v>NO</x:v>
      </x:c>
      <x:c r="O34" s="5" t="inlineStr">
        <x:is>
          <x:t xml:space="preserve"/>
        </x:is>
      </x:c>
    </x:row>
    <x:row r="35" ht="22" customHeight="1">
      <x:c r="A35" s="5" t="inlineStr">
        <x:is>
          <x:t xml:space="preserve">V06_overload_open_loops</x:t>
        </x:is>
      </x:c>
      <x:c r="B35" s="5" t="inlineStr">
        <x:is>
          <x:t xml:space="preserve">full_transcript</x:t>
        </x:is>
      </x:c>
      <x:c r="C35" s="5" t="inlineStr">
        <x:is>
          <x:t xml:space="preserve"/>
        </x:is>
      </x:c>
      <x:c r="D35" s="5" t="inlineStr">
        <x:is>
          <x:t xml:space="preserve"/>
        </x:is>
      </x:c>
      <x:c r="E35" s="5" t="inlineStr">
        <x:is>
          <x:t xml:space="preserve"/>
        </x:is>
      </x:c>
      <x:c r="F35" s="5" t="inlineStr">
        <x:is>
          <x:t xml:space="preserve"/>
        </x:is>
      </x:c>
      <x:c r="G35" s="5" t="inlineStr">
        <x:is>
          <x:t xml:space="preserve"/>
        </x:is>
      </x:c>
      <x:c r="H35" s="5" t="inlineStr">
        <x:is>
          <x:t xml:space="preserve"/>
        </x:is>
      </x:c>
      <x:c r="I35" s="5" t="inlineStr">
        <x:is>
          <x:t xml:space="preserve"/>
        </x:is>
      </x:c>
      <x:c r="J35" s="5" t="inlineStr">
        <x:is>
          <x:t xml:space="preserve"/>
        </x:is>
      </x:c>
      <x:c r="K35" s="5" t="inlineStr">
        <x:is>
          <x:t xml:space="preserve"/>
        </x:is>
      </x:c>
      <x:c r="L35" s="5" t="inlineStr">
        <x:is>
          <x:t xml:space="preserve"/>
        </x:is>
      </x:c>
      <x:c r="M35" s="5">
        <x:f>IFERROR(AVERAGE(C35:L35),"")</x:f>
      </x:c>
      <x:c r="N35" s="5" t="str">
        <x:f>IF(AND(M35&gt;=4,MIN(C35:L35)&gt;=3),"YES","NO")</x:f>
        <x:v>NO</x:v>
      </x:c>
      <x:c r="O35" s="5" t="inlineStr">
        <x:is>
          <x:t xml:space="preserve"/>
        </x:is>
      </x:c>
    </x:row>
    <x:row r="36" ht="22" customHeight="1">
      <x:c r="A36" s="5" t="inlineStr">
        <x:is>
          <x:t xml:space="preserve">V06_overload_open_loops</x:t>
        </x:is>
      </x:c>
      <x:c r="B36" s="5" t="inlineStr">
        <x:is>
          <x:t xml:space="preserve">keyword_highlight</x:t>
        </x:is>
      </x:c>
      <x:c r="C36" s="5" t="inlineStr">
        <x:is>
          <x:t xml:space="preserve"/>
        </x:is>
      </x:c>
      <x:c r="D36" s="5" t="inlineStr">
        <x:is>
          <x:t xml:space="preserve"/>
        </x:is>
      </x:c>
      <x:c r="E36" s="5" t="inlineStr">
        <x:is>
          <x:t xml:space="preserve"/>
        </x:is>
      </x:c>
      <x:c r="F36" s="5" t="inlineStr">
        <x:is>
          <x:t xml:space="preserve"/>
        </x:is>
      </x:c>
      <x:c r="G36" s="5" t="inlineStr">
        <x:is>
          <x:t xml:space="preserve"/>
        </x:is>
      </x:c>
      <x:c r="H36" s="5" t="inlineStr">
        <x:is>
          <x:t xml:space="preserve"/>
        </x:is>
      </x:c>
      <x:c r="I36" s="5" t="inlineStr">
        <x:is>
          <x:t xml:space="preserve"/>
        </x:is>
      </x:c>
      <x:c r="J36" s="5" t="inlineStr">
        <x:is>
          <x:t xml:space="preserve"/>
        </x:is>
      </x:c>
      <x:c r="K36" s="5" t="inlineStr">
        <x:is>
          <x:t xml:space="preserve"/>
        </x:is>
      </x:c>
      <x:c r="L36" s="5" t="inlineStr">
        <x:is>
          <x:t xml:space="preserve"/>
        </x:is>
      </x:c>
      <x:c r="M36" s="5">
        <x:f>IFERROR(AVERAGE(C36:L36),"")</x:f>
      </x:c>
      <x:c r="N36" s="5" t="str">
        <x:f>IF(AND(M36&gt;=4,MIN(C36:L36)&gt;=3),"YES","NO")</x:f>
        <x:v>NO</x:v>
      </x:c>
      <x:c r="O36" s="5" t="inlineStr">
        <x:is>
          <x:t xml:space="preserve"/>
        </x:is>
      </x:c>
    </x:row>
    <x:row r="37" ht="22" customHeight="1">
      <x:c r="A37" s="5" t="inlineStr">
        <x:is>
          <x:t xml:space="preserve">V06_overload_open_loops</x:t>
        </x:is>
      </x:c>
      <x:c r="B37" s="5" t="inlineStr">
        <x:is>
          <x:t xml:space="preserve">semantic_compression</x:t>
        </x:is>
      </x:c>
      <x:c r="C37" s="5" t="inlineStr">
        <x:is>
          <x:t xml:space="preserve"/>
        </x:is>
      </x:c>
      <x:c r="D37" s="5" t="inlineStr">
        <x:is>
          <x:t xml:space="preserve"/>
        </x:is>
      </x:c>
      <x:c r="E37" s="5" t="inlineStr">
        <x:is>
          <x:t xml:space="preserve"/>
        </x:is>
      </x:c>
      <x:c r="F37" s="5" t="inlineStr">
        <x:is>
          <x:t xml:space="preserve"/>
        </x:is>
      </x:c>
      <x:c r="G37" s="5" t="inlineStr">
        <x:is>
          <x:t xml:space="preserve"/>
        </x:is>
      </x:c>
      <x:c r="H37" s="5" t="inlineStr">
        <x:is>
          <x:t xml:space="preserve"/>
        </x:is>
      </x:c>
      <x:c r="I37" s="5" t="inlineStr">
        <x:is>
          <x:t xml:space="preserve"/>
        </x:is>
      </x:c>
      <x:c r="J37" s="5" t="inlineStr">
        <x:is>
          <x:t xml:space="preserve"/>
        </x:is>
      </x:c>
      <x:c r="K37" s="5" t="inlineStr">
        <x:is>
          <x:t xml:space="preserve"/>
        </x:is>
      </x:c>
      <x:c r="L37" s="5" t="inlineStr">
        <x:is>
          <x:t xml:space="preserve"/>
        </x:is>
      </x:c>
      <x:c r="M37" s="5">
        <x:f>IFERROR(AVERAGE(C37:L37),"")</x:f>
      </x:c>
      <x:c r="N37" s="5" t="str">
        <x:f>IF(AND(M37&gt;=4,MIN(C37:L37)&gt;=3),"YES","NO")</x:f>
        <x:v>NO</x:v>
      </x:c>
      <x:c r="O37" s="5" t="inlineStr">
        <x:is>
          <x:t xml:space="preserve"/>
        </x:is>
      </x:c>
    </x:row>
    <x:row r="38" ht="22" customHeight="1">
      <x:c r="A38" s="5" t="inlineStr">
        <x:is>
          <x:t xml:space="preserve">V06_overload_open_loops</x:t>
        </x:is>
      </x:c>
      <x:c r="B38" s="5" t="inlineStr">
        <x:is>
          <x:t xml:space="preserve">bcc</x:t>
        </x:is>
      </x:c>
      <x:c r="C38" s="5" t="inlineStr">
        <x:is>
          <x:t xml:space="preserve"/>
        </x:is>
      </x:c>
      <x:c r="D38" s="5" t="inlineStr">
        <x:is>
          <x:t xml:space="preserve"/>
        </x:is>
      </x:c>
      <x:c r="E38" s="5" t="inlineStr">
        <x:is>
          <x:t xml:space="preserve"/>
        </x:is>
      </x:c>
      <x:c r="F38" s="5" t="inlineStr">
        <x:is>
          <x:t xml:space="preserve"/>
        </x:is>
      </x:c>
      <x:c r="G38" s="5" t="inlineStr">
        <x:is>
          <x:t xml:space="preserve"/>
        </x:is>
      </x:c>
      <x:c r="H38" s="5" t="inlineStr">
        <x:is>
          <x:t xml:space="preserve"/>
        </x:is>
      </x:c>
      <x:c r="I38" s="5" t="inlineStr">
        <x:is>
          <x:t xml:space="preserve"/>
        </x:is>
      </x:c>
      <x:c r="J38" s="5" t="inlineStr">
        <x:is>
          <x:t xml:space="preserve"/>
        </x:is>
      </x:c>
      <x:c r="K38" s="5" t="inlineStr">
        <x:is>
          <x:t xml:space="preserve"/>
        </x:is>
      </x:c>
      <x:c r="L38" s="5" t="inlineStr">
        <x:is>
          <x:t xml:space="preserve"/>
        </x:is>
      </x:c>
      <x:c r="M38" s="5">
        <x:f>IFERROR(AVERAGE(C38:L38),"")</x:f>
      </x:c>
      <x:c r="N38" s="5" t="str">
        <x:f>IF(AND(M38&gt;=4,MIN(C38:L38)&gt;=3),"YES","NO")</x:f>
        <x:v>NO</x:v>
      </x:c>
      <x:c r="O38" s="5" t="inlineStr">
        <x:is>
          <x:t xml:space="preserve"/>
        </x:is>
      </x:c>
    </x:row>
    <x:row r="39" ht="22" customHeight="1">
      <x:c r="A39" s="5" t="inlineStr">
        <x:is>
          <x:t xml:space="preserve">V06_overload_open_loops</x:t>
        </x:is>
      </x:c>
      <x:c r="B39" s="5" t="inlineStr">
        <x:is>
          <x:t xml:space="preserve">bcc_plus</x:t>
        </x:is>
      </x:c>
      <x:c r="C39" s="5" t="inlineStr">
        <x:is>
          <x:t xml:space="preserve"/>
        </x:is>
      </x:c>
      <x:c r="D39" s="5" t="inlineStr">
        <x:is>
          <x:t xml:space="preserve"/>
        </x:is>
      </x:c>
      <x:c r="E39" s="5" t="inlineStr">
        <x:is>
          <x:t xml:space="preserve"/>
        </x:is>
      </x:c>
      <x:c r="F39" s="5" t="inlineStr">
        <x:is>
          <x:t xml:space="preserve"/>
        </x:is>
      </x:c>
      <x:c r="G39" s="5" t="inlineStr">
        <x:is>
          <x:t xml:space="preserve"/>
        </x:is>
      </x:c>
      <x:c r="H39" s="5" t="inlineStr">
        <x:is>
          <x:t xml:space="preserve"/>
        </x:is>
      </x:c>
      <x:c r="I39" s="5" t="inlineStr">
        <x:is>
          <x:t xml:space="preserve"/>
        </x:is>
      </x:c>
      <x:c r="J39" s="5" t="inlineStr">
        <x:is>
          <x:t xml:space="preserve"/>
        </x:is>
      </x:c>
      <x:c r="K39" s="5" t="inlineStr">
        <x:is>
          <x:t xml:space="preserve"/>
        </x:is>
      </x:c>
      <x:c r="L39" s="5" t="inlineStr">
        <x:is>
          <x:t xml:space="preserve"/>
        </x:is>
      </x:c>
      <x:c r="M39" s="5">
        <x:f>IFERROR(AVERAGE(C39:L39),"")</x:f>
      </x:c>
      <x:c r="N39" s="5" t="str">
        <x:f>IF(AND(M39&gt;=4,MIN(C39:L39)&gt;=3),"YES","NO")</x:f>
        <x:v>NO</x:v>
      </x:c>
      <x:c r="O39" s="5" t="inlineStr">
        <x:is>
          <x:t xml:space="preserve"/>
        </x:is>
      </x:c>
    </x:row>
    <x:row r="40" ht="22" customHeight="1">
      <x:c r="A40" s="5" t="inlineStr">
        <x:is>
          <x:t xml:space="preserve">V06_overload_open_loops</x:t>
        </x:is>
      </x:c>
      <x:c r="B40" s="5" t="inlineStr">
        <x:is>
          <x:t xml:space="preserve">heavy_bionic</x:t>
        </x:is>
      </x:c>
      <x:c r="C40" s="5" t="inlineStr">
        <x:is>
          <x:t xml:space="preserve"/>
        </x:is>
      </x:c>
      <x:c r="D40" s="5" t="inlineStr">
        <x:is>
          <x:t xml:space="preserve"/>
        </x:is>
      </x:c>
      <x:c r="E40" s="5" t="inlineStr">
        <x:is>
          <x:t xml:space="preserve"/>
        </x:is>
      </x:c>
      <x:c r="F40" s="5" t="inlineStr">
        <x:is>
          <x:t xml:space="preserve"/>
        </x:is>
      </x:c>
      <x:c r="G40" s="5" t="inlineStr">
        <x:is>
          <x:t xml:space="preserve"/>
        </x:is>
      </x:c>
      <x:c r="H40" s="5" t="inlineStr">
        <x:is>
          <x:t xml:space="preserve"/>
        </x:is>
      </x:c>
      <x:c r="I40" s="5" t="inlineStr">
        <x:is>
          <x:t xml:space="preserve"/>
        </x:is>
      </x:c>
      <x:c r="J40" s="5" t="inlineStr">
        <x:is>
          <x:t xml:space="preserve"/>
        </x:is>
      </x:c>
      <x:c r="K40" s="5" t="inlineStr">
        <x:is>
          <x:t xml:space="preserve"/>
        </x:is>
      </x:c>
      <x:c r="L40" s="5" t="inlineStr">
        <x:is>
          <x:t xml:space="preserve"/>
        </x:is>
      </x:c>
      <x:c r="M40" s="5">
        <x:f>IFERROR(AVERAGE(C40:L40),"")</x:f>
      </x:c>
      <x:c r="N40" s="5" t="str">
        <x:f>IF(AND(M40&gt;=4,MIN(C40:L40)&gt;=3),"YES","NO")</x:f>
        <x:v>NO</x:v>
      </x:c>
      <x:c r="O40" s="5" t="inlineStr">
        <x:is>
          <x:t xml:space="preserve"/>
        </x:is>
      </x:c>
    </x:row>
    <x:row r="41" ht="22" customHeight="1">
      <x:c r="A41" s="5" t="inlineStr">
        <x:is>
          <x:t xml:space="preserve">V07_business_clarity</x:t>
        </x:is>
      </x:c>
      <x:c r="B41" s="5" t="inlineStr">
        <x:is>
          <x:t xml:space="preserve">full_transcript</x:t>
        </x:is>
      </x:c>
      <x:c r="C41" s="5" t="inlineStr">
        <x:is>
          <x:t xml:space="preserve"/>
        </x:is>
      </x:c>
      <x:c r="D41" s="5" t="inlineStr">
        <x:is>
          <x:t xml:space="preserve"/>
        </x:is>
      </x:c>
      <x:c r="E41" s="5" t="inlineStr">
        <x:is>
          <x:t xml:space="preserve"/>
        </x:is>
      </x:c>
      <x:c r="F41" s="5" t="inlineStr">
        <x:is>
          <x:t xml:space="preserve"/>
        </x:is>
      </x:c>
      <x:c r="G41" s="5" t="inlineStr">
        <x:is>
          <x:t xml:space="preserve"/>
        </x:is>
      </x:c>
      <x:c r="H41" s="5" t="inlineStr">
        <x:is>
          <x:t xml:space="preserve"/>
        </x:is>
      </x:c>
      <x:c r="I41" s="5" t="inlineStr">
        <x:is>
          <x:t xml:space="preserve"/>
        </x:is>
      </x:c>
      <x:c r="J41" s="5" t="inlineStr">
        <x:is>
          <x:t xml:space="preserve"/>
        </x:is>
      </x:c>
      <x:c r="K41" s="5" t="inlineStr">
        <x:is>
          <x:t xml:space="preserve"/>
        </x:is>
      </x:c>
      <x:c r="L41" s="5" t="inlineStr">
        <x:is>
          <x:t xml:space="preserve"/>
        </x:is>
      </x:c>
      <x:c r="M41" s="5">
        <x:f>IFERROR(AVERAGE(C41:L41),"")</x:f>
      </x:c>
      <x:c r="N41" s="5" t="str">
        <x:f>IF(AND(M41&gt;=4,MIN(C41:L41)&gt;=3),"YES","NO")</x:f>
        <x:v>NO</x:v>
      </x:c>
      <x:c r="O41" s="5" t="inlineStr">
        <x:is>
          <x:t xml:space="preserve"/>
        </x:is>
      </x:c>
    </x:row>
    <x:row r="42" ht="22" customHeight="1">
      <x:c r="A42" s="5" t="inlineStr">
        <x:is>
          <x:t xml:space="preserve">V07_business_clarity</x:t>
        </x:is>
      </x:c>
      <x:c r="B42" s="5" t="inlineStr">
        <x:is>
          <x:t xml:space="preserve">keyword_highlight</x:t>
        </x:is>
      </x:c>
      <x:c r="C42" s="5" t="inlineStr">
        <x:is>
          <x:t xml:space="preserve"/>
        </x:is>
      </x:c>
      <x:c r="D42" s="5" t="inlineStr">
        <x:is>
          <x:t xml:space="preserve"/>
        </x:is>
      </x:c>
      <x:c r="E42" s="5" t="inlineStr">
        <x:is>
          <x:t xml:space="preserve"/>
        </x:is>
      </x:c>
      <x:c r="F42" s="5" t="inlineStr">
        <x:is>
          <x:t xml:space="preserve"/>
        </x:is>
      </x:c>
      <x:c r="G42" s="5" t="inlineStr">
        <x:is>
          <x:t xml:space="preserve"/>
        </x:is>
      </x:c>
      <x:c r="H42" s="5" t="inlineStr">
        <x:is>
          <x:t xml:space="preserve"/>
        </x:is>
      </x:c>
      <x:c r="I42" s="5" t="inlineStr">
        <x:is>
          <x:t xml:space="preserve"/>
        </x:is>
      </x:c>
      <x:c r="J42" s="5" t="inlineStr">
        <x:is>
          <x:t xml:space="preserve"/>
        </x:is>
      </x:c>
      <x:c r="K42" s="5" t="inlineStr">
        <x:is>
          <x:t xml:space="preserve"/>
        </x:is>
      </x:c>
      <x:c r="L42" s="5" t="inlineStr">
        <x:is>
          <x:t xml:space="preserve"/>
        </x:is>
      </x:c>
      <x:c r="M42" s="5">
        <x:f>IFERROR(AVERAGE(C42:L42),"")</x:f>
      </x:c>
      <x:c r="N42" s="5" t="str">
        <x:f>IF(AND(M42&gt;=4,MIN(C42:L42)&gt;=3),"YES","NO")</x:f>
        <x:v>NO</x:v>
      </x:c>
      <x:c r="O42" s="5" t="inlineStr">
        <x:is>
          <x:t xml:space="preserve"/>
        </x:is>
      </x:c>
    </x:row>
    <x:row r="43" ht="22" customHeight="1">
      <x:c r="A43" s="5" t="inlineStr">
        <x:is>
          <x:t xml:space="preserve">V07_business_clarity</x:t>
        </x:is>
      </x:c>
      <x:c r="B43" s="5" t="inlineStr">
        <x:is>
          <x:t xml:space="preserve">semantic_compression</x:t>
        </x:is>
      </x:c>
      <x:c r="C43" s="5" t="inlineStr">
        <x:is>
          <x:t xml:space="preserve"/>
        </x:is>
      </x:c>
      <x:c r="D43" s="5" t="inlineStr">
        <x:is>
          <x:t xml:space="preserve"/>
        </x:is>
      </x:c>
      <x:c r="E43" s="5" t="inlineStr">
        <x:is>
          <x:t xml:space="preserve"/>
        </x:is>
      </x:c>
      <x:c r="F43" s="5" t="inlineStr">
        <x:is>
          <x:t xml:space="preserve"/>
        </x:is>
      </x:c>
      <x:c r="G43" s="5" t="inlineStr">
        <x:is>
          <x:t xml:space="preserve"/>
        </x:is>
      </x:c>
      <x:c r="H43" s="5" t="inlineStr">
        <x:is>
          <x:t xml:space="preserve"/>
        </x:is>
      </x:c>
      <x:c r="I43" s="5" t="inlineStr">
        <x:is>
          <x:t xml:space="preserve"/>
        </x:is>
      </x:c>
      <x:c r="J43" s="5" t="inlineStr">
        <x:is>
          <x:t xml:space="preserve"/>
        </x:is>
      </x:c>
      <x:c r="K43" s="5" t="inlineStr">
        <x:is>
          <x:t xml:space="preserve"/>
        </x:is>
      </x:c>
      <x:c r="L43" s="5" t="inlineStr">
        <x:is>
          <x:t xml:space="preserve"/>
        </x:is>
      </x:c>
      <x:c r="M43" s="5">
        <x:f>IFERROR(AVERAGE(C43:L43),"")</x:f>
      </x:c>
      <x:c r="N43" s="5" t="str">
        <x:f>IF(AND(M43&gt;=4,MIN(C43:L43)&gt;=3),"YES","NO")</x:f>
        <x:v>NO</x:v>
      </x:c>
      <x:c r="O43" s="5" t="inlineStr">
        <x:is>
          <x:t xml:space="preserve"/>
        </x:is>
      </x:c>
    </x:row>
    <x:row r="44" ht="22" customHeight="1">
      <x:c r="A44" s="5" t="inlineStr">
        <x:is>
          <x:t xml:space="preserve">V07_business_clarity</x:t>
        </x:is>
      </x:c>
      <x:c r="B44" s="5" t="inlineStr">
        <x:is>
          <x:t xml:space="preserve">bcc</x:t>
        </x:is>
      </x:c>
      <x:c r="C44" s="5" t="inlineStr">
        <x:is>
          <x:t xml:space="preserve"/>
        </x:is>
      </x:c>
      <x:c r="D44" s="5" t="inlineStr">
        <x:is>
          <x:t xml:space="preserve"/>
        </x:is>
      </x:c>
      <x:c r="E44" s="5" t="inlineStr">
        <x:is>
          <x:t xml:space="preserve"/>
        </x:is>
      </x:c>
      <x:c r="F44" s="5" t="inlineStr">
        <x:is>
          <x:t xml:space="preserve"/>
        </x:is>
      </x:c>
      <x:c r="G44" s="5" t="inlineStr">
        <x:is>
          <x:t xml:space="preserve"/>
        </x:is>
      </x:c>
      <x:c r="H44" s="5" t="inlineStr">
        <x:is>
          <x:t xml:space="preserve"/>
        </x:is>
      </x:c>
      <x:c r="I44" s="5" t="inlineStr">
        <x:is>
          <x:t xml:space="preserve"/>
        </x:is>
      </x:c>
      <x:c r="J44" s="5" t="inlineStr">
        <x:is>
          <x:t xml:space="preserve"/>
        </x:is>
      </x:c>
      <x:c r="K44" s="5" t="inlineStr">
        <x:is>
          <x:t xml:space="preserve"/>
        </x:is>
      </x:c>
      <x:c r="L44" s="5" t="inlineStr">
        <x:is>
          <x:t xml:space="preserve"/>
        </x:is>
      </x:c>
      <x:c r="M44" s="5">
        <x:f>IFERROR(AVERAGE(C44:L44),"")</x:f>
      </x:c>
      <x:c r="N44" s="5" t="str">
        <x:f>IF(AND(M44&gt;=4,MIN(C44:L44)&gt;=3),"YES","NO")</x:f>
        <x:v>NO</x:v>
      </x:c>
      <x:c r="O44" s="5" t="inlineStr">
        <x:is>
          <x:t xml:space="preserve"/>
        </x:is>
      </x:c>
    </x:row>
    <x:row r="45" ht="22" customHeight="1">
      <x:c r="A45" s="5" t="inlineStr">
        <x:is>
          <x:t xml:space="preserve">V07_business_clarity</x:t>
        </x:is>
      </x:c>
      <x:c r="B45" s="5" t="inlineStr">
        <x:is>
          <x:t xml:space="preserve">bcc_plus</x:t>
        </x:is>
      </x:c>
      <x:c r="C45" s="5" t="inlineStr">
        <x:is>
          <x:t xml:space="preserve"/>
        </x:is>
      </x:c>
      <x:c r="D45" s="5" t="inlineStr">
        <x:is>
          <x:t xml:space="preserve"/>
        </x:is>
      </x:c>
      <x:c r="E45" s="5" t="inlineStr">
        <x:is>
          <x:t xml:space="preserve"/>
        </x:is>
      </x:c>
      <x:c r="F45" s="5" t="inlineStr">
        <x:is>
          <x:t xml:space="preserve"/>
        </x:is>
      </x:c>
      <x:c r="G45" s="5" t="inlineStr">
        <x:is>
          <x:t xml:space="preserve"/>
        </x:is>
      </x:c>
      <x:c r="H45" s="5" t="inlineStr">
        <x:is>
          <x:t xml:space="preserve"/>
        </x:is>
      </x:c>
      <x:c r="I45" s="5" t="inlineStr">
        <x:is>
          <x:t xml:space="preserve"/>
        </x:is>
      </x:c>
      <x:c r="J45" s="5" t="inlineStr">
        <x:is>
          <x:t xml:space="preserve"/>
        </x:is>
      </x:c>
      <x:c r="K45" s="5" t="inlineStr">
        <x:is>
          <x:t xml:space="preserve"/>
        </x:is>
      </x:c>
      <x:c r="L45" s="5" t="inlineStr">
        <x:is>
          <x:t xml:space="preserve"/>
        </x:is>
      </x:c>
      <x:c r="M45" s="5">
        <x:f>IFERROR(AVERAGE(C45:L45),"")</x:f>
      </x:c>
      <x:c r="N45" s="5" t="str">
        <x:f>IF(AND(M45&gt;=4,MIN(C45:L45)&gt;=3),"YES","NO")</x:f>
        <x:v>NO</x:v>
      </x:c>
      <x:c r="O45" s="5" t="inlineStr">
        <x:is>
          <x:t xml:space="preserve"/>
        </x:is>
      </x:c>
    </x:row>
    <x:row r="46" ht="22" customHeight="1">
      <x:c r="A46" s="5" t="inlineStr">
        <x:is>
          <x:t xml:space="preserve">V07_business_clarity</x:t>
        </x:is>
      </x:c>
      <x:c r="B46" s="5" t="inlineStr">
        <x:is>
          <x:t xml:space="preserve">heavy_bionic</x:t>
        </x:is>
      </x:c>
      <x:c r="C46" s="5" t="inlineStr">
        <x:is>
          <x:t xml:space="preserve"/>
        </x:is>
      </x:c>
      <x:c r="D46" s="5" t="inlineStr">
        <x:is>
          <x:t xml:space="preserve"/>
        </x:is>
      </x:c>
      <x:c r="E46" s="5" t="inlineStr">
        <x:is>
          <x:t xml:space="preserve"/>
        </x:is>
      </x:c>
      <x:c r="F46" s="5" t="inlineStr">
        <x:is>
          <x:t xml:space="preserve"/>
        </x:is>
      </x:c>
      <x:c r="G46" s="5" t="inlineStr">
        <x:is>
          <x:t xml:space="preserve"/>
        </x:is>
      </x:c>
      <x:c r="H46" s="5" t="inlineStr">
        <x:is>
          <x:t xml:space="preserve"/>
        </x:is>
      </x:c>
      <x:c r="I46" s="5" t="inlineStr">
        <x:is>
          <x:t xml:space="preserve"/>
        </x:is>
      </x:c>
      <x:c r="J46" s="5" t="inlineStr">
        <x:is>
          <x:t xml:space="preserve"/>
        </x:is>
      </x:c>
      <x:c r="K46" s="5" t="inlineStr">
        <x:is>
          <x:t xml:space="preserve"/>
        </x:is>
      </x:c>
      <x:c r="L46" s="5" t="inlineStr">
        <x:is>
          <x:t xml:space="preserve"/>
        </x:is>
      </x:c>
      <x:c r="M46" s="5">
        <x:f>IFERROR(AVERAGE(C46:L46),"")</x:f>
      </x:c>
      <x:c r="N46" s="5" t="str">
        <x:f>IF(AND(M46&gt;=4,MIN(C46:L46)&gt;=3),"YES","NO")</x:f>
        <x:v>NO</x:v>
      </x:c>
      <x:c r="O46" s="5" t="inlineStr">
        <x:is>
          <x:t xml:space="preserve"/>
        </x:is>
      </x:c>
    </x:row>
    <x:row r="47" ht="22" customHeight="1">
      <x:c r="A47" s="5" t="inlineStr">
        <x:is>
          <x:t xml:space="preserve">V08_calendar_system</x:t>
        </x:is>
      </x:c>
      <x:c r="B47" s="5" t="inlineStr">
        <x:is>
          <x:t xml:space="preserve">full_transcript</x:t>
        </x:is>
      </x:c>
      <x:c r="C47" s="5" t="inlineStr">
        <x:is>
          <x:t xml:space="preserve"/>
        </x:is>
      </x:c>
      <x:c r="D47" s="5" t="inlineStr">
        <x:is>
          <x:t xml:space="preserve"/>
        </x:is>
      </x:c>
      <x:c r="E47" s="5" t="inlineStr">
        <x:is>
          <x:t xml:space="preserve"/>
        </x:is>
      </x:c>
      <x:c r="F47" s="5" t="inlineStr">
        <x:is>
          <x:t xml:space="preserve"/>
        </x:is>
      </x:c>
      <x:c r="G47" s="5" t="inlineStr">
        <x:is>
          <x:t xml:space="preserve"/>
        </x:is>
      </x:c>
      <x:c r="H47" s="5" t="inlineStr">
        <x:is>
          <x:t xml:space="preserve"/>
        </x:is>
      </x:c>
      <x:c r="I47" s="5" t="inlineStr">
        <x:is>
          <x:t xml:space="preserve"/>
        </x:is>
      </x:c>
      <x:c r="J47" s="5" t="inlineStr">
        <x:is>
          <x:t xml:space="preserve"/>
        </x:is>
      </x:c>
      <x:c r="K47" s="5" t="inlineStr">
        <x:is>
          <x:t xml:space="preserve"/>
        </x:is>
      </x:c>
      <x:c r="L47" s="5" t="inlineStr">
        <x:is>
          <x:t xml:space="preserve"/>
        </x:is>
      </x:c>
      <x:c r="M47" s="5">
        <x:f>IFERROR(AVERAGE(C47:L47),"")</x:f>
      </x:c>
      <x:c r="N47" s="5" t="str">
        <x:f>IF(AND(M47&gt;=4,MIN(C47:L47)&gt;=3),"YES","NO")</x:f>
        <x:v>NO</x:v>
      </x:c>
      <x:c r="O47" s="5" t="inlineStr">
        <x:is>
          <x:t xml:space="preserve"/>
        </x:is>
      </x:c>
    </x:row>
    <x:row r="48" ht="22" customHeight="1">
      <x:c r="A48" s="5" t="inlineStr">
        <x:is>
          <x:t xml:space="preserve">V08_calendar_system</x:t>
        </x:is>
      </x:c>
      <x:c r="B48" s="5" t="inlineStr">
        <x:is>
          <x:t xml:space="preserve">keyword_highlight</x:t>
        </x:is>
      </x:c>
      <x:c r="C48" s="5" t="inlineStr">
        <x:is>
          <x:t xml:space="preserve"/>
        </x:is>
      </x:c>
      <x:c r="D48" s="5" t="inlineStr">
        <x:is>
          <x:t xml:space="preserve"/>
        </x:is>
      </x:c>
      <x:c r="E48" s="5" t="inlineStr">
        <x:is>
          <x:t xml:space="preserve"/>
        </x:is>
      </x:c>
      <x:c r="F48" s="5" t="inlineStr">
        <x:is>
          <x:t xml:space="preserve"/>
        </x:is>
      </x:c>
      <x:c r="G48" s="5" t="inlineStr">
        <x:is>
          <x:t xml:space="preserve"/>
        </x:is>
      </x:c>
      <x:c r="H48" s="5" t="inlineStr">
        <x:is>
          <x:t xml:space="preserve"/>
        </x:is>
      </x:c>
      <x:c r="I48" s="5" t="inlineStr">
        <x:is>
          <x:t xml:space="preserve"/>
        </x:is>
      </x:c>
      <x:c r="J48" s="5" t="inlineStr">
        <x:is>
          <x:t xml:space="preserve"/>
        </x:is>
      </x:c>
      <x:c r="K48" s="5" t="inlineStr">
        <x:is>
          <x:t xml:space="preserve"/>
        </x:is>
      </x:c>
      <x:c r="L48" s="5" t="inlineStr">
        <x:is>
          <x:t xml:space="preserve"/>
        </x:is>
      </x:c>
      <x:c r="M48" s="5">
        <x:f>IFERROR(AVERAGE(C48:L48),"")</x:f>
      </x:c>
      <x:c r="N48" s="5" t="str">
        <x:f>IF(AND(M48&gt;=4,MIN(C48:L48)&gt;=3),"YES","NO")</x:f>
        <x:v>NO</x:v>
      </x:c>
      <x:c r="O48" s="5" t="inlineStr">
        <x:is>
          <x:t xml:space="preserve"/>
        </x:is>
      </x:c>
    </x:row>
    <x:row r="49" ht="22" customHeight="1">
      <x:c r="A49" s="5" t="inlineStr">
        <x:is>
          <x:t xml:space="preserve">V08_calendar_system</x:t>
        </x:is>
      </x:c>
      <x:c r="B49" s="5" t="inlineStr">
        <x:is>
          <x:t xml:space="preserve">semantic_compression</x:t>
        </x:is>
      </x:c>
      <x:c r="C49" s="5" t="inlineStr">
        <x:is>
          <x:t xml:space="preserve"/>
        </x:is>
      </x:c>
      <x:c r="D49" s="5" t="inlineStr">
        <x:is>
          <x:t xml:space="preserve"/>
        </x:is>
      </x:c>
      <x:c r="E49" s="5" t="inlineStr">
        <x:is>
          <x:t xml:space="preserve"/>
        </x:is>
      </x:c>
      <x:c r="F49" s="5" t="inlineStr">
        <x:is>
          <x:t xml:space="preserve"/>
        </x:is>
      </x:c>
      <x:c r="G49" s="5" t="inlineStr">
        <x:is>
          <x:t xml:space="preserve"/>
        </x:is>
      </x:c>
      <x:c r="H49" s="5" t="inlineStr">
        <x:is>
          <x:t xml:space="preserve"/>
        </x:is>
      </x:c>
      <x:c r="I49" s="5" t="inlineStr">
        <x:is>
          <x:t xml:space="preserve"/>
        </x:is>
      </x:c>
      <x:c r="J49" s="5" t="inlineStr">
        <x:is>
          <x:t xml:space="preserve"/>
        </x:is>
      </x:c>
      <x:c r="K49" s="5" t="inlineStr">
        <x:is>
          <x:t xml:space="preserve"/>
        </x:is>
      </x:c>
      <x:c r="L49" s="5" t="inlineStr">
        <x:is>
          <x:t xml:space="preserve"/>
        </x:is>
      </x:c>
      <x:c r="M49" s="5">
        <x:f>IFERROR(AVERAGE(C49:L49),"")</x:f>
      </x:c>
      <x:c r="N49" s="5" t="str">
        <x:f>IF(AND(M49&gt;=4,MIN(C49:L49)&gt;=3),"YES","NO")</x:f>
        <x:v>NO</x:v>
      </x:c>
      <x:c r="O49" s="5" t="inlineStr">
        <x:is>
          <x:t xml:space="preserve"/>
        </x:is>
      </x:c>
    </x:row>
    <x:row r="50" ht="22" customHeight="1">
      <x:c r="A50" s="5" t="inlineStr">
        <x:is>
          <x:t xml:space="preserve">V08_calendar_system</x:t>
        </x:is>
      </x:c>
      <x:c r="B50" s="5" t="inlineStr">
        <x:is>
          <x:t xml:space="preserve">bcc</x:t>
        </x:is>
      </x:c>
      <x:c r="C50" s="5" t="inlineStr">
        <x:is>
          <x:t xml:space="preserve"/>
        </x:is>
      </x:c>
      <x:c r="D50" s="5" t="inlineStr">
        <x:is>
          <x:t xml:space="preserve"/>
        </x:is>
      </x:c>
      <x:c r="E50" s="5" t="inlineStr">
        <x:is>
          <x:t xml:space="preserve"/>
        </x:is>
      </x:c>
      <x:c r="F50" s="5" t="inlineStr">
        <x:is>
          <x:t xml:space="preserve"/>
        </x:is>
      </x:c>
      <x:c r="G50" s="5" t="inlineStr">
        <x:is>
          <x:t xml:space="preserve"/>
        </x:is>
      </x:c>
      <x:c r="H50" s="5" t="inlineStr">
        <x:is>
          <x:t xml:space="preserve"/>
        </x:is>
      </x:c>
      <x:c r="I50" s="5" t="inlineStr">
        <x:is>
          <x:t xml:space="preserve"/>
        </x:is>
      </x:c>
      <x:c r="J50" s="5" t="inlineStr">
        <x:is>
          <x:t xml:space="preserve"/>
        </x:is>
      </x:c>
      <x:c r="K50" s="5" t="inlineStr">
        <x:is>
          <x:t xml:space="preserve"/>
        </x:is>
      </x:c>
      <x:c r="L50" s="5" t="inlineStr">
        <x:is>
          <x:t xml:space="preserve"/>
        </x:is>
      </x:c>
      <x:c r="M50" s="5">
        <x:f>IFERROR(AVERAGE(C50:L50),"")</x:f>
      </x:c>
      <x:c r="N50" s="5" t="str">
        <x:f>IF(AND(M50&gt;=4,MIN(C50:L50)&gt;=3),"YES","NO")</x:f>
        <x:v>NO</x:v>
      </x:c>
      <x:c r="O50" s="5" t="inlineStr">
        <x:is>
          <x:t xml:space="preserve"/>
        </x:is>
      </x:c>
    </x:row>
    <x:row r="51" ht="22" customHeight="1">
      <x:c r="A51" s="5" t="inlineStr">
        <x:is>
          <x:t xml:space="preserve">V08_calendar_system</x:t>
        </x:is>
      </x:c>
      <x:c r="B51" s="5" t="inlineStr">
        <x:is>
          <x:t xml:space="preserve">bcc_plus</x:t>
        </x:is>
      </x:c>
      <x:c r="C51" s="5" t="inlineStr">
        <x:is>
          <x:t xml:space="preserve"/>
        </x:is>
      </x:c>
      <x:c r="D51" s="5" t="inlineStr">
        <x:is>
          <x:t xml:space="preserve"/>
        </x:is>
      </x:c>
      <x:c r="E51" s="5" t="inlineStr">
        <x:is>
          <x:t xml:space="preserve"/>
        </x:is>
      </x:c>
      <x:c r="F51" s="5" t="inlineStr">
        <x:is>
          <x:t xml:space="preserve"/>
        </x:is>
      </x:c>
      <x:c r="G51" s="5" t="inlineStr">
        <x:is>
          <x:t xml:space="preserve"/>
        </x:is>
      </x:c>
      <x:c r="H51" s="5" t="inlineStr">
        <x:is>
          <x:t xml:space="preserve"/>
        </x:is>
      </x:c>
      <x:c r="I51" s="5" t="inlineStr">
        <x:is>
          <x:t xml:space="preserve"/>
        </x:is>
      </x:c>
      <x:c r="J51" s="5" t="inlineStr">
        <x:is>
          <x:t xml:space="preserve"/>
        </x:is>
      </x:c>
      <x:c r="K51" s="5" t="inlineStr">
        <x:is>
          <x:t xml:space="preserve"/>
        </x:is>
      </x:c>
      <x:c r="L51" s="5" t="inlineStr">
        <x:is>
          <x:t xml:space="preserve"/>
        </x:is>
      </x:c>
      <x:c r="M51" s="5">
        <x:f>IFERROR(AVERAGE(C51:L51),"")</x:f>
      </x:c>
      <x:c r="N51" s="5" t="str">
        <x:f>IF(AND(M51&gt;=4,MIN(C51:L51)&gt;=3),"YES","NO")</x:f>
        <x:v>NO</x:v>
      </x:c>
      <x:c r="O51" s="5" t="inlineStr">
        <x:is>
          <x:t xml:space="preserve"/>
        </x:is>
      </x:c>
    </x:row>
    <x:row r="52" ht="22" customHeight="1">
      <x:c r="A52" s="5" t="inlineStr">
        <x:is>
          <x:t xml:space="preserve">V08_calendar_system</x:t>
        </x:is>
      </x:c>
      <x:c r="B52" s="5" t="inlineStr">
        <x:is>
          <x:t xml:space="preserve">heavy_bionic</x:t>
        </x:is>
      </x:c>
      <x:c r="C52" s="5" t="inlineStr">
        <x:is>
          <x:t xml:space="preserve"/>
        </x:is>
      </x:c>
      <x:c r="D52" s="5" t="inlineStr">
        <x:is>
          <x:t xml:space="preserve"/>
        </x:is>
      </x:c>
      <x:c r="E52" s="5" t="inlineStr">
        <x:is>
          <x:t xml:space="preserve"/>
        </x:is>
      </x:c>
      <x:c r="F52" s="5" t="inlineStr">
        <x:is>
          <x:t xml:space="preserve"/>
        </x:is>
      </x:c>
      <x:c r="G52" s="5" t="inlineStr">
        <x:is>
          <x:t xml:space="preserve"/>
        </x:is>
      </x:c>
      <x:c r="H52" s="5" t="inlineStr">
        <x:is>
          <x:t xml:space="preserve"/>
        </x:is>
      </x:c>
      <x:c r="I52" s="5" t="inlineStr">
        <x:is>
          <x:t xml:space="preserve"/>
        </x:is>
      </x:c>
      <x:c r="J52" s="5" t="inlineStr">
        <x:is>
          <x:t xml:space="preserve"/>
        </x:is>
      </x:c>
      <x:c r="K52" s="5" t="inlineStr">
        <x:is>
          <x:t xml:space="preserve"/>
        </x:is>
      </x:c>
      <x:c r="L52" s="5" t="inlineStr">
        <x:is>
          <x:t xml:space="preserve"/>
        </x:is>
      </x:c>
      <x:c r="M52" s="5">
        <x:f>IFERROR(AVERAGE(C52:L52),"")</x:f>
      </x:c>
      <x:c r="N52" s="5" t="str">
        <x:f>IF(AND(M52&gt;=4,MIN(C52:L52)&gt;=3),"YES","NO")</x:f>
        <x:v>NO</x:v>
      </x:c>
      <x:c r="O52" s="5" t="inlineStr">
        <x:is>
          <x:t xml:space="preserve"/>
        </x:is>
      </x:c>
    </x:row>
    <x:row r="53" ht="22" customHeight="1">
      <x:c r="A53" s="5" t="inlineStr">
        <x:is>
          <x:t xml:space="preserve">V09_nutrition_satiety</x:t>
        </x:is>
      </x:c>
      <x:c r="B53" s="5" t="inlineStr">
        <x:is>
          <x:t xml:space="preserve">full_transcript</x:t>
        </x:is>
      </x:c>
      <x:c r="C53" s="5" t="inlineStr">
        <x:is>
          <x:t xml:space="preserve"/>
        </x:is>
      </x:c>
      <x:c r="D53" s="5" t="inlineStr">
        <x:is>
          <x:t xml:space="preserve"/>
        </x:is>
      </x:c>
      <x:c r="E53" s="5" t="inlineStr">
        <x:is>
          <x:t xml:space="preserve"/>
        </x:is>
      </x:c>
      <x:c r="F53" s="5" t="inlineStr">
        <x:is>
          <x:t xml:space="preserve"/>
        </x:is>
      </x:c>
      <x:c r="G53" s="5" t="inlineStr">
        <x:is>
          <x:t xml:space="preserve"/>
        </x:is>
      </x:c>
      <x:c r="H53" s="5" t="inlineStr">
        <x:is>
          <x:t xml:space="preserve"/>
        </x:is>
      </x:c>
      <x:c r="I53" s="5" t="inlineStr">
        <x:is>
          <x:t xml:space="preserve"/>
        </x:is>
      </x:c>
      <x:c r="J53" s="5" t="inlineStr">
        <x:is>
          <x:t xml:space="preserve"/>
        </x:is>
      </x:c>
      <x:c r="K53" s="5" t="inlineStr">
        <x:is>
          <x:t xml:space="preserve"/>
        </x:is>
      </x:c>
      <x:c r="L53" s="5" t="inlineStr">
        <x:is>
          <x:t xml:space="preserve"/>
        </x:is>
      </x:c>
      <x:c r="M53" s="5">
        <x:f>IFERROR(AVERAGE(C53:L53),"")</x:f>
      </x:c>
      <x:c r="N53" s="5" t="str">
        <x:f>IF(AND(M53&gt;=4,MIN(C53:L53)&gt;=3),"YES","NO")</x:f>
        <x:v>NO</x:v>
      </x:c>
      <x:c r="O53" s="5" t="inlineStr">
        <x:is>
          <x:t xml:space="preserve"/>
        </x:is>
      </x:c>
    </x:row>
    <x:row r="54" ht="22" customHeight="1">
      <x:c r="A54" s="5" t="inlineStr">
        <x:is>
          <x:t xml:space="preserve">V09_nutrition_satiety</x:t>
        </x:is>
      </x:c>
      <x:c r="B54" s="5" t="inlineStr">
        <x:is>
          <x:t xml:space="preserve">keyword_highlight</x:t>
        </x:is>
      </x:c>
      <x:c r="C54" s="5" t="inlineStr">
        <x:is>
          <x:t xml:space="preserve"/>
        </x:is>
      </x:c>
      <x:c r="D54" s="5" t="inlineStr">
        <x:is>
          <x:t xml:space="preserve"/>
        </x:is>
      </x:c>
      <x:c r="E54" s="5" t="inlineStr">
        <x:is>
          <x:t xml:space="preserve"/>
        </x:is>
      </x:c>
      <x:c r="F54" s="5" t="inlineStr">
        <x:is>
          <x:t xml:space="preserve"/>
        </x:is>
      </x:c>
      <x:c r="G54" s="5" t="inlineStr">
        <x:is>
          <x:t xml:space="preserve"/>
        </x:is>
      </x:c>
      <x:c r="H54" s="5" t="inlineStr">
        <x:is>
          <x:t xml:space="preserve"/>
        </x:is>
      </x:c>
      <x:c r="I54" s="5" t="inlineStr">
        <x:is>
          <x:t xml:space="preserve"/>
        </x:is>
      </x:c>
      <x:c r="J54" s="5" t="inlineStr">
        <x:is>
          <x:t xml:space="preserve"/>
        </x:is>
      </x:c>
      <x:c r="K54" s="5" t="inlineStr">
        <x:is>
          <x:t xml:space="preserve"/>
        </x:is>
      </x:c>
      <x:c r="L54" s="5" t="inlineStr">
        <x:is>
          <x:t xml:space="preserve"/>
        </x:is>
      </x:c>
      <x:c r="M54" s="5">
        <x:f>IFERROR(AVERAGE(C54:L54),"")</x:f>
      </x:c>
      <x:c r="N54" s="5" t="str">
        <x:f>IF(AND(M54&gt;=4,MIN(C54:L54)&gt;=3),"YES","NO")</x:f>
        <x:v>NO</x:v>
      </x:c>
      <x:c r="O54" s="5" t="inlineStr">
        <x:is>
          <x:t xml:space="preserve"/>
        </x:is>
      </x:c>
    </x:row>
    <x:row r="55" ht="22" customHeight="1">
      <x:c r="A55" s="5" t="inlineStr">
        <x:is>
          <x:t xml:space="preserve">V09_nutrition_satiety</x:t>
        </x:is>
      </x:c>
      <x:c r="B55" s="5" t="inlineStr">
        <x:is>
          <x:t xml:space="preserve">semantic_compression</x:t>
        </x:is>
      </x:c>
      <x:c r="C55" s="5" t="inlineStr">
        <x:is>
          <x:t xml:space="preserve"/>
        </x:is>
      </x:c>
      <x:c r="D55" s="5" t="inlineStr">
        <x:is>
          <x:t xml:space="preserve"/>
        </x:is>
      </x:c>
      <x:c r="E55" s="5" t="inlineStr">
        <x:is>
          <x:t xml:space="preserve"/>
        </x:is>
      </x:c>
      <x:c r="F55" s="5" t="inlineStr">
        <x:is>
          <x:t xml:space="preserve"/>
        </x:is>
      </x:c>
      <x:c r="G55" s="5" t="inlineStr">
        <x:is>
          <x:t xml:space="preserve"/>
        </x:is>
      </x:c>
      <x:c r="H55" s="5" t="inlineStr">
        <x:is>
          <x:t xml:space="preserve"/>
        </x:is>
      </x:c>
      <x:c r="I55" s="5" t="inlineStr">
        <x:is>
          <x:t xml:space="preserve"/>
        </x:is>
      </x:c>
      <x:c r="J55" s="5" t="inlineStr">
        <x:is>
          <x:t xml:space="preserve"/>
        </x:is>
      </x:c>
      <x:c r="K55" s="5" t="inlineStr">
        <x:is>
          <x:t xml:space="preserve"/>
        </x:is>
      </x:c>
      <x:c r="L55" s="5" t="inlineStr">
        <x:is>
          <x:t xml:space="preserve"/>
        </x:is>
      </x:c>
      <x:c r="M55" s="5">
        <x:f>IFERROR(AVERAGE(C55:L55),"")</x:f>
      </x:c>
      <x:c r="N55" s="5" t="str">
        <x:f>IF(AND(M55&gt;=4,MIN(C55:L55)&gt;=3),"YES","NO")</x:f>
        <x:v>NO</x:v>
      </x:c>
      <x:c r="O55" s="5" t="inlineStr">
        <x:is>
          <x:t xml:space="preserve"/>
        </x:is>
      </x:c>
    </x:row>
    <x:row r="56" ht="22" customHeight="1">
      <x:c r="A56" s="5" t="inlineStr">
        <x:is>
          <x:t xml:space="preserve">V09_nutrition_satiety</x:t>
        </x:is>
      </x:c>
      <x:c r="B56" s="5" t="inlineStr">
        <x:is>
          <x:t xml:space="preserve">bcc</x:t>
        </x:is>
      </x:c>
      <x:c r="C56" s="5" t="inlineStr">
        <x:is>
          <x:t xml:space="preserve"/>
        </x:is>
      </x:c>
      <x:c r="D56" s="5" t="inlineStr">
        <x:is>
          <x:t xml:space="preserve"/>
        </x:is>
      </x:c>
      <x:c r="E56" s="5" t="inlineStr">
        <x:is>
          <x:t xml:space="preserve"/>
        </x:is>
      </x:c>
      <x:c r="F56" s="5" t="inlineStr">
        <x:is>
          <x:t xml:space="preserve"/>
        </x:is>
      </x:c>
      <x:c r="G56" s="5" t="inlineStr">
        <x:is>
          <x:t xml:space="preserve"/>
        </x:is>
      </x:c>
      <x:c r="H56" s="5" t="inlineStr">
        <x:is>
          <x:t xml:space="preserve"/>
        </x:is>
      </x:c>
      <x:c r="I56" s="5" t="inlineStr">
        <x:is>
          <x:t xml:space="preserve"/>
        </x:is>
      </x:c>
      <x:c r="J56" s="5" t="inlineStr">
        <x:is>
          <x:t xml:space="preserve"/>
        </x:is>
      </x:c>
      <x:c r="K56" s="5" t="inlineStr">
        <x:is>
          <x:t xml:space="preserve"/>
        </x:is>
      </x:c>
      <x:c r="L56" s="5" t="inlineStr">
        <x:is>
          <x:t xml:space="preserve"/>
        </x:is>
      </x:c>
      <x:c r="M56" s="5">
        <x:f>IFERROR(AVERAGE(C56:L56),"")</x:f>
      </x:c>
      <x:c r="N56" s="5" t="str">
        <x:f>IF(AND(M56&gt;=4,MIN(C56:L56)&gt;=3),"YES","NO")</x:f>
        <x:v>NO</x:v>
      </x:c>
      <x:c r="O56" s="5" t="inlineStr">
        <x:is>
          <x:t xml:space="preserve"/>
        </x:is>
      </x:c>
    </x:row>
    <x:row r="57" ht="22" customHeight="1">
      <x:c r="A57" s="5" t="inlineStr">
        <x:is>
          <x:t xml:space="preserve">V09_nutrition_satiety</x:t>
        </x:is>
      </x:c>
      <x:c r="B57" s="5" t="inlineStr">
        <x:is>
          <x:t xml:space="preserve">bcc_plus</x:t>
        </x:is>
      </x:c>
      <x:c r="C57" s="5" t="inlineStr">
        <x:is>
          <x:t xml:space="preserve"/>
        </x:is>
      </x:c>
      <x:c r="D57" s="5" t="inlineStr">
        <x:is>
          <x:t xml:space="preserve"/>
        </x:is>
      </x:c>
      <x:c r="E57" s="5" t="inlineStr">
        <x:is>
          <x:t xml:space="preserve"/>
        </x:is>
      </x:c>
      <x:c r="F57" s="5" t="inlineStr">
        <x:is>
          <x:t xml:space="preserve"/>
        </x:is>
      </x:c>
      <x:c r="G57" s="5" t="inlineStr">
        <x:is>
          <x:t xml:space="preserve"/>
        </x:is>
      </x:c>
      <x:c r="H57" s="5" t="inlineStr">
        <x:is>
          <x:t xml:space="preserve"/>
        </x:is>
      </x:c>
      <x:c r="I57" s="5" t="inlineStr">
        <x:is>
          <x:t xml:space="preserve"/>
        </x:is>
      </x:c>
      <x:c r="J57" s="5" t="inlineStr">
        <x:is>
          <x:t xml:space="preserve"/>
        </x:is>
      </x:c>
      <x:c r="K57" s="5" t="inlineStr">
        <x:is>
          <x:t xml:space="preserve"/>
        </x:is>
      </x:c>
      <x:c r="L57" s="5" t="inlineStr">
        <x:is>
          <x:t xml:space="preserve"/>
        </x:is>
      </x:c>
      <x:c r="M57" s="5">
        <x:f>IFERROR(AVERAGE(C57:L57),"")</x:f>
      </x:c>
      <x:c r="N57" s="5" t="str">
        <x:f>IF(AND(M57&gt;=4,MIN(C57:L57)&gt;=3),"YES","NO")</x:f>
        <x:v>NO</x:v>
      </x:c>
      <x:c r="O57" s="5" t="inlineStr">
        <x:is>
          <x:t xml:space="preserve"/>
        </x:is>
      </x:c>
    </x:row>
    <x:row r="58" ht="22" customHeight="1">
      <x:c r="A58" s="5" t="inlineStr">
        <x:is>
          <x:t xml:space="preserve">V09_nutrition_satiety</x:t>
        </x:is>
      </x:c>
      <x:c r="B58" s="5" t="inlineStr">
        <x:is>
          <x:t xml:space="preserve">heavy_bionic</x:t>
        </x:is>
      </x:c>
      <x:c r="C58" s="5" t="inlineStr">
        <x:is>
          <x:t xml:space="preserve"/>
        </x:is>
      </x:c>
      <x:c r="D58" s="5" t="inlineStr">
        <x:is>
          <x:t xml:space="preserve"/>
        </x:is>
      </x:c>
      <x:c r="E58" s="5" t="inlineStr">
        <x:is>
          <x:t xml:space="preserve"/>
        </x:is>
      </x:c>
      <x:c r="F58" s="5" t="inlineStr">
        <x:is>
          <x:t xml:space="preserve"/>
        </x:is>
      </x:c>
      <x:c r="G58" s="5" t="inlineStr">
        <x:is>
          <x:t xml:space="preserve"/>
        </x:is>
      </x:c>
      <x:c r="H58" s="5" t="inlineStr">
        <x:is>
          <x:t xml:space="preserve"/>
        </x:is>
      </x:c>
      <x:c r="I58" s="5" t="inlineStr">
        <x:is>
          <x:t xml:space="preserve"/>
        </x:is>
      </x:c>
      <x:c r="J58" s="5" t="inlineStr">
        <x:is>
          <x:t xml:space="preserve"/>
        </x:is>
      </x:c>
      <x:c r="K58" s="5" t="inlineStr">
        <x:is>
          <x:t xml:space="preserve"/>
        </x:is>
      </x:c>
      <x:c r="L58" s="5" t="inlineStr">
        <x:is>
          <x:t xml:space="preserve"/>
        </x:is>
      </x:c>
      <x:c r="M58" s="5">
        <x:f>IFERROR(AVERAGE(C58:L58),"")</x:f>
      </x:c>
      <x:c r="N58" s="5" t="str">
        <x:f>IF(AND(M58&gt;=4,MIN(C58:L58)&gt;=3),"YES","NO")</x:f>
        <x:v>NO</x:v>
      </x:c>
      <x:c r="O58" s="5" t="inlineStr">
        <x:is>
          <x:t xml:space="preserve"/>
        </x:is>
      </x:c>
    </x:row>
    <x:row r="59" ht="22" customHeight="1">
      <x:c r="A59" s="5" t="inlineStr">
        <x:is>
          <x:t xml:space="preserve">V10_tutorial_ui</x:t>
        </x:is>
      </x:c>
      <x:c r="B59" s="5" t="inlineStr">
        <x:is>
          <x:t xml:space="preserve">full_transcript</x:t>
        </x:is>
      </x:c>
      <x:c r="C59" s="5" t="inlineStr">
        <x:is>
          <x:t xml:space="preserve"/>
        </x:is>
      </x:c>
      <x:c r="D59" s="5" t="inlineStr">
        <x:is>
          <x:t xml:space="preserve"/>
        </x:is>
      </x:c>
      <x:c r="E59" s="5" t="inlineStr">
        <x:is>
          <x:t xml:space="preserve"/>
        </x:is>
      </x:c>
      <x:c r="F59" s="5" t="inlineStr">
        <x:is>
          <x:t xml:space="preserve"/>
        </x:is>
      </x:c>
      <x:c r="G59" s="5" t="inlineStr">
        <x:is>
          <x:t xml:space="preserve"/>
        </x:is>
      </x:c>
      <x:c r="H59" s="5" t="inlineStr">
        <x:is>
          <x:t xml:space="preserve"/>
        </x:is>
      </x:c>
      <x:c r="I59" s="5" t="inlineStr">
        <x:is>
          <x:t xml:space="preserve"/>
        </x:is>
      </x:c>
      <x:c r="J59" s="5" t="inlineStr">
        <x:is>
          <x:t xml:space="preserve"/>
        </x:is>
      </x:c>
      <x:c r="K59" s="5" t="inlineStr">
        <x:is>
          <x:t xml:space="preserve"/>
        </x:is>
      </x:c>
      <x:c r="L59" s="5" t="inlineStr">
        <x:is>
          <x:t xml:space="preserve"/>
        </x:is>
      </x:c>
      <x:c r="M59" s="5">
        <x:f>IFERROR(AVERAGE(C59:L59),"")</x:f>
      </x:c>
      <x:c r="N59" s="5" t="str">
        <x:f>IF(AND(M59&gt;=4,MIN(C59:L59)&gt;=3),"YES","NO")</x:f>
        <x:v>NO</x:v>
      </x:c>
      <x:c r="O59" s="5" t="inlineStr">
        <x:is>
          <x:t xml:space="preserve"/>
        </x:is>
      </x:c>
    </x:row>
    <x:row r="60" ht="22" customHeight="1">
      <x:c r="A60" s="5" t="inlineStr">
        <x:is>
          <x:t xml:space="preserve">V10_tutorial_ui</x:t>
        </x:is>
      </x:c>
      <x:c r="B60" s="5" t="inlineStr">
        <x:is>
          <x:t xml:space="preserve">keyword_highlight</x:t>
        </x:is>
      </x:c>
      <x:c r="C60" s="5" t="inlineStr">
        <x:is>
          <x:t xml:space="preserve"/>
        </x:is>
      </x:c>
      <x:c r="D60" s="5" t="inlineStr">
        <x:is>
          <x:t xml:space="preserve"/>
        </x:is>
      </x:c>
      <x:c r="E60" s="5" t="inlineStr">
        <x:is>
          <x:t xml:space="preserve"/>
        </x:is>
      </x:c>
      <x:c r="F60" s="5" t="inlineStr">
        <x:is>
          <x:t xml:space="preserve"/>
        </x:is>
      </x:c>
      <x:c r="G60" s="5" t="inlineStr">
        <x:is>
          <x:t xml:space="preserve"/>
        </x:is>
      </x:c>
      <x:c r="H60" s="5" t="inlineStr">
        <x:is>
          <x:t xml:space="preserve"/>
        </x:is>
      </x:c>
      <x:c r="I60" s="5" t="inlineStr">
        <x:is>
          <x:t xml:space="preserve"/>
        </x:is>
      </x:c>
      <x:c r="J60" s="5" t="inlineStr">
        <x:is>
          <x:t xml:space="preserve"/>
        </x:is>
      </x:c>
      <x:c r="K60" s="5" t="inlineStr">
        <x:is>
          <x:t xml:space="preserve"/>
        </x:is>
      </x:c>
      <x:c r="L60" s="5" t="inlineStr">
        <x:is>
          <x:t xml:space="preserve"/>
        </x:is>
      </x:c>
      <x:c r="M60" s="5">
        <x:f>IFERROR(AVERAGE(C60:L60),"")</x:f>
      </x:c>
      <x:c r="N60" s="5" t="str">
        <x:f>IF(AND(M60&gt;=4,MIN(C60:L60)&gt;=3),"YES","NO")</x:f>
        <x:v>NO</x:v>
      </x:c>
      <x:c r="O60" s="5" t="inlineStr">
        <x:is>
          <x:t xml:space="preserve"/>
        </x:is>
      </x:c>
    </x:row>
    <x:row r="61" ht="22" customHeight="1">
      <x:c r="A61" s="5" t="inlineStr">
        <x:is>
          <x:t xml:space="preserve">V10_tutorial_ui</x:t>
        </x:is>
      </x:c>
      <x:c r="B61" s="5" t="inlineStr">
        <x:is>
          <x:t xml:space="preserve">semantic_compression</x:t>
        </x:is>
      </x:c>
      <x:c r="C61" s="5" t="inlineStr">
        <x:is>
          <x:t xml:space="preserve"/>
        </x:is>
      </x:c>
      <x:c r="D61" s="5" t="inlineStr">
        <x:is>
          <x:t xml:space="preserve"/>
        </x:is>
      </x:c>
      <x:c r="E61" s="5" t="inlineStr">
        <x:is>
          <x:t xml:space="preserve"/>
        </x:is>
      </x:c>
      <x:c r="F61" s="5" t="inlineStr">
        <x:is>
          <x:t xml:space="preserve"/>
        </x:is>
      </x:c>
      <x:c r="G61" s="5" t="inlineStr">
        <x:is>
          <x:t xml:space="preserve"/>
        </x:is>
      </x:c>
      <x:c r="H61" s="5" t="inlineStr">
        <x:is>
          <x:t xml:space="preserve"/>
        </x:is>
      </x:c>
      <x:c r="I61" s="5" t="inlineStr">
        <x:is>
          <x:t xml:space="preserve"/>
        </x:is>
      </x:c>
      <x:c r="J61" s="5" t="inlineStr">
        <x:is>
          <x:t xml:space="preserve"/>
        </x:is>
      </x:c>
      <x:c r="K61" s="5" t="inlineStr">
        <x:is>
          <x:t xml:space="preserve"/>
        </x:is>
      </x:c>
      <x:c r="L61" s="5" t="inlineStr">
        <x:is>
          <x:t xml:space="preserve"/>
        </x:is>
      </x:c>
      <x:c r="M61" s="5">
        <x:f>IFERROR(AVERAGE(C61:L61),"")</x:f>
      </x:c>
      <x:c r="N61" s="5" t="str">
        <x:f>IF(AND(M61&gt;=4,MIN(C61:L61)&gt;=3),"YES","NO")</x:f>
        <x:v>NO</x:v>
      </x:c>
      <x:c r="O61" s="5" t="inlineStr">
        <x:is>
          <x:t xml:space="preserve"/>
        </x:is>
      </x:c>
    </x:row>
    <x:row r="62" ht="22" customHeight="1">
      <x:c r="A62" s="5" t="inlineStr">
        <x:is>
          <x:t xml:space="preserve">V10_tutorial_ui</x:t>
        </x:is>
      </x:c>
      <x:c r="B62" s="5" t="inlineStr">
        <x:is>
          <x:t xml:space="preserve">bcc</x:t>
        </x:is>
      </x:c>
      <x:c r="C62" s="5" t="inlineStr">
        <x:is>
          <x:t xml:space="preserve"/>
        </x:is>
      </x:c>
      <x:c r="D62" s="5" t="inlineStr">
        <x:is>
          <x:t xml:space="preserve"/>
        </x:is>
      </x:c>
      <x:c r="E62" s="5" t="inlineStr">
        <x:is>
          <x:t xml:space="preserve"/>
        </x:is>
      </x:c>
      <x:c r="F62" s="5" t="inlineStr">
        <x:is>
          <x:t xml:space="preserve"/>
        </x:is>
      </x:c>
      <x:c r="G62" s="5" t="inlineStr">
        <x:is>
          <x:t xml:space="preserve"/>
        </x:is>
      </x:c>
      <x:c r="H62" s="5" t="inlineStr">
        <x:is>
          <x:t xml:space="preserve"/>
        </x:is>
      </x:c>
      <x:c r="I62" s="5" t="inlineStr">
        <x:is>
          <x:t xml:space="preserve"/>
        </x:is>
      </x:c>
      <x:c r="J62" s="5" t="inlineStr">
        <x:is>
          <x:t xml:space="preserve"/>
        </x:is>
      </x:c>
      <x:c r="K62" s="5" t="inlineStr">
        <x:is>
          <x:t xml:space="preserve"/>
        </x:is>
      </x:c>
      <x:c r="L62" s="5" t="inlineStr">
        <x:is>
          <x:t xml:space="preserve"/>
        </x:is>
      </x:c>
      <x:c r="M62" s="5">
        <x:f>IFERROR(AVERAGE(C62:L62),"")</x:f>
      </x:c>
      <x:c r="N62" s="5" t="str">
        <x:f>IF(AND(M62&gt;=4,MIN(C62:L62)&gt;=3),"YES","NO")</x:f>
        <x:v>NO</x:v>
      </x:c>
      <x:c r="O62" s="5" t="inlineStr">
        <x:is>
          <x:t xml:space="preserve"/>
        </x:is>
      </x:c>
    </x:row>
    <x:row r="63" ht="22" customHeight="1">
      <x:c r="A63" s="5" t="inlineStr">
        <x:is>
          <x:t xml:space="preserve">V10_tutorial_ui</x:t>
        </x:is>
      </x:c>
      <x:c r="B63" s="5" t="inlineStr">
        <x:is>
          <x:t xml:space="preserve">bcc_plus</x:t>
        </x:is>
      </x:c>
      <x:c r="C63" s="5" t="inlineStr">
        <x:is>
          <x:t xml:space="preserve"/>
        </x:is>
      </x:c>
      <x:c r="D63" s="5" t="inlineStr">
        <x:is>
          <x:t xml:space="preserve"/>
        </x:is>
      </x:c>
      <x:c r="E63" s="5" t="inlineStr">
        <x:is>
          <x:t xml:space="preserve"/>
        </x:is>
      </x:c>
      <x:c r="F63" s="5" t="inlineStr">
        <x:is>
          <x:t xml:space="preserve"/>
        </x:is>
      </x:c>
      <x:c r="G63" s="5" t="inlineStr">
        <x:is>
          <x:t xml:space="preserve"/>
        </x:is>
      </x:c>
      <x:c r="H63" s="5" t="inlineStr">
        <x:is>
          <x:t xml:space="preserve"/>
        </x:is>
      </x:c>
      <x:c r="I63" s="5" t="inlineStr">
        <x:is>
          <x:t xml:space="preserve"/>
        </x:is>
      </x:c>
      <x:c r="J63" s="5" t="inlineStr">
        <x:is>
          <x:t xml:space="preserve"/>
        </x:is>
      </x:c>
      <x:c r="K63" s="5" t="inlineStr">
        <x:is>
          <x:t xml:space="preserve"/>
        </x:is>
      </x:c>
      <x:c r="L63" s="5" t="inlineStr">
        <x:is>
          <x:t xml:space="preserve"/>
        </x:is>
      </x:c>
      <x:c r="M63" s="5">
        <x:f>IFERROR(AVERAGE(C63:L63),"")</x:f>
      </x:c>
      <x:c r="N63" s="5" t="str">
        <x:f>IF(AND(M63&gt;=4,MIN(C63:L63)&gt;=3),"YES","NO")</x:f>
        <x:v>NO</x:v>
      </x:c>
      <x:c r="O63" s="5" t="inlineStr">
        <x:is>
          <x:t xml:space="preserve"/>
        </x:is>
      </x:c>
    </x:row>
    <x:row r="64" ht="22" customHeight="1">
      <x:c r="A64" s="5" t="inlineStr">
        <x:is>
          <x:t xml:space="preserve">V10_tutorial_ui</x:t>
        </x:is>
      </x:c>
      <x:c r="B64" s="5" t="inlineStr">
        <x:is>
          <x:t xml:space="preserve">heavy_bionic</x:t>
        </x:is>
      </x:c>
      <x:c r="C64" s="5" t="inlineStr">
        <x:is>
          <x:t xml:space="preserve"/>
        </x:is>
      </x:c>
      <x:c r="D64" s="5" t="inlineStr">
        <x:is>
          <x:t xml:space="preserve"/>
        </x:is>
      </x:c>
      <x:c r="E64" s="5" t="inlineStr">
        <x:is>
          <x:t xml:space="preserve"/>
        </x:is>
      </x:c>
      <x:c r="F64" s="5" t="inlineStr">
        <x:is>
          <x:t xml:space="preserve"/>
        </x:is>
      </x:c>
      <x:c r="G64" s="5" t="inlineStr">
        <x:is>
          <x:t xml:space="preserve"/>
        </x:is>
      </x:c>
      <x:c r="H64" s="5" t="inlineStr">
        <x:is>
          <x:t xml:space="preserve"/>
        </x:is>
      </x:c>
      <x:c r="I64" s="5" t="inlineStr">
        <x:is>
          <x:t xml:space="preserve"/>
        </x:is>
      </x:c>
      <x:c r="J64" s="5" t="inlineStr">
        <x:is>
          <x:t xml:space="preserve"/>
        </x:is>
      </x:c>
      <x:c r="K64" s="5" t="inlineStr">
        <x:is>
          <x:t xml:space="preserve"/>
        </x:is>
      </x:c>
      <x:c r="L64" s="5" t="inlineStr">
        <x:is>
          <x:t xml:space="preserve"/>
        </x:is>
      </x:c>
      <x:c r="M64" s="5">
        <x:f>IFERROR(AVERAGE(C64:L64),"")</x:f>
      </x:c>
      <x:c r="N64" s="5" t="str">
        <x:f>IF(AND(M64&gt;=4,MIN(C64:L64)&gt;=3),"YES","NO")</x:f>
        <x:v>NO</x:v>
      </x:c>
      <x:c r="O64" s="5" t="inlineStr">
        <x:is>
          <x:t xml:space="preserve"/>
        </x:is>
      </x:c>
    </x:row>
    <x:row r="65" ht="22" customHeight="1">
      <x:c r="A65" s="5" t="inlineStr">
        <x:is>
          <x:t xml:space="preserve">V11_story_burnout</x:t>
        </x:is>
      </x:c>
      <x:c r="B65" s="5" t="inlineStr">
        <x:is>
          <x:t xml:space="preserve">full_transcript</x:t>
        </x:is>
      </x:c>
      <x:c r="C65" s="5" t="inlineStr">
        <x:is>
          <x:t xml:space="preserve"/>
        </x:is>
      </x:c>
      <x:c r="D65" s="5" t="inlineStr">
        <x:is>
          <x:t xml:space="preserve"/>
        </x:is>
      </x:c>
      <x:c r="E65" s="5" t="inlineStr">
        <x:is>
          <x:t xml:space="preserve"/>
        </x:is>
      </x:c>
      <x:c r="F65" s="5" t="inlineStr">
        <x:is>
          <x:t xml:space="preserve"/>
        </x:is>
      </x:c>
      <x:c r="G65" s="5" t="inlineStr">
        <x:is>
          <x:t xml:space="preserve"/>
        </x:is>
      </x:c>
      <x:c r="H65" s="5" t="inlineStr">
        <x:is>
          <x:t xml:space="preserve"/>
        </x:is>
      </x:c>
      <x:c r="I65" s="5" t="inlineStr">
        <x:is>
          <x:t xml:space="preserve"/>
        </x:is>
      </x:c>
      <x:c r="J65" s="5" t="inlineStr">
        <x:is>
          <x:t xml:space="preserve"/>
        </x:is>
      </x:c>
      <x:c r="K65" s="5" t="inlineStr">
        <x:is>
          <x:t xml:space="preserve"/>
        </x:is>
      </x:c>
      <x:c r="L65" s="5" t="inlineStr">
        <x:is>
          <x:t xml:space="preserve"/>
        </x:is>
      </x:c>
      <x:c r="M65" s="5">
        <x:f>IFERROR(AVERAGE(C65:L65),"")</x:f>
      </x:c>
      <x:c r="N65" s="5" t="str">
        <x:f>IF(AND(M65&gt;=4,MIN(C65:L65)&gt;=3),"YES","NO")</x:f>
        <x:v>NO</x:v>
      </x:c>
      <x:c r="O65" s="5" t="inlineStr">
        <x:is>
          <x:t xml:space="preserve"/>
        </x:is>
      </x:c>
    </x:row>
    <x:row r="66" ht="22" customHeight="1">
      <x:c r="A66" s="5" t="inlineStr">
        <x:is>
          <x:t xml:space="preserve">V11_story_burnout</x:t>
        </x:is>
      </x:c>
      <x:c r="B66" s="5" t="inlineStr">
        <x:is>
          <x:t xml:space="preserve">keyword_highlight</x:t>
        </x:is>
      </x:c>
      <x:c r="C66" s="5" t="inlineStr">
        <x:is>
          <x:t xml:space="preserve"/>
        </x:is>
      </x:c>
      <x:c r="D66" s="5" t="inlineStr">
        <x:is>
          <x:t xml:space="preserve"/>
        </x:is>
      </x:c>
      <x:c r="E66" s="5" t="inlineStr">
        <x:is>
          <x:t xml:space="preserve"/>
        </x:is>
      </x:c>
      <x:c r="F66" s="5" t="inlineStr">
        <x:is>
          <x:t xml:space="preserve"/>
        </x:is>
      </x:c>
      <x:c r="G66" s="5" t="inlineStr">
        <x:is>
          <x:t xml:space="preserve"/>
        </x:is>
      </x:c>
      <x:c r="H66" s="5" t="inlineStr">
        <x:is>
          <x:t xml:space="preserve"/>
        </x:is>
      </x:c>
      <x:c r="I66" s="5" t="inlineStr">
        <x:is>
          <x:t xml:space="preserve"/>
        </x:is>
      </x:c>
      <x:c r="J66" s="5" t="inlineStr">
        <x:is>
          <x:t xml:space="preserve"/>
        </x:is>
      </x:c>
      <x:c r="K66" s="5" t="inlineStr">
        <x:is>
          <x:t xml:space="preserve"/>
        </x:is>
      </x:c>
      <x:c r="L66" s="5" t="inlineStr">
        <x:is>
          <x:t xml:space="preserve"/>
        </x:is>
      </x:c>
      <x:c r="M66" s="5">
        <x:f>IFERROR(AVERAGE(C66:L66),"")</x:f>
      </x:c>
      <x:c r="N66" s="5" t="str">
        <x:f>IF(AND(M66&gt;=4,MIN(C66:L66)&gt;=3),"YES","NO")</x:f>
        <x:v>NO</x:v>
      </x:c>
      <x:c r="O66" s="5" t="inlineStr">
        <x:is>
          <x:t xml:space="preserve"/>
        </x:is>
      </x:c>
    </x:row>
    <x:row r="67" ht="22" customHeight="1">
      <x:c r="A67" s="5" t="inlineStr">
        <x:is>
          <x:t xml:space="preserve">V11_story_burnout</x:t>
        </x:is>
      </x:c>
      <x:c r="B67" s="5" t="inlineStr">
        <x:is>
          <x:t xml:space="preserve">semantic_compression</x:t>
        </x:is>
      </x:c>
      <x:c r="C67" s="5" t="inlineStr">
        <x:is>
          <x:t xml:space="preserve"/>
        </x:is>
      </x:c>
      <x:c r="D67" s="5" t="inlineStr">
        <x:is>
          <x:t xml:space="preserve"/>
        </x:is>
      </x:c>
      <x:c r="E67" s="5" t="inlineStr">
        <x:is>
          <x:t xml:space="preserve"/>
        </x:is>
      </x:c>
      <x:c r="F67" s="5" t="inlineStr">
        <x:is>
          <x:t xml:space="preserve"/>
        </x:is>
      </x:c>
      <x:c r="G67" s="5" t="inlineStr">
        <x:is>
          <x:t xml:space="preserve"/>
        </x:is>
      </x:c>
      <x:c r="H67" s="5" t="inlineStr">
        <x:is>
          <x:t xml:space="preserve"/>
        </x:is>
      </x:c>
      <x:c r="I67" s="5" t="inlineStr">
        <x:is>
          <x:t xml:space="preserve"/>
        </x:is>
      </x:c>
      <x:c r="J67" s="5" t="inlineStr">
        <x:is>
          <x:t xml:space="preserve"/>
        </x:is>
      </x:c>
      <x:c r="K67" s="5" t="inlineStr">
        <x:is>
          <x:t xml:space="preserve"/>
        </x:is>
      </x:c>
      <x:c r="L67" s="5" t="inlineStr">
        <x:is>
          <x:t xml:space="preserve"/>
        </x:is>
      </x:c>
      <x:c r="M67" s="5">
        <x:f>IFERROR(AVERAGE(C67:L67),"")</x:f>
      </x:c>
      <x:c r="N67" s="5" t="str">
        <x:f>IF(AND(M67&gt;=4,MIN(C67:L67)&gt;=3),"YES","NO")</x:f>
        <x:v>NO</x:v>
      </x:c>
      <x:c r="O67" s="5" t="inlineStr">
        <x:is>
          <x:t xml:space="preserve"/>
        </x:is>
      </x:c>
    </x:row>
    <x:row r="68" ht="22" customHeight="1">
      <x:c r="A68" s="5" t="inlineStr">
        <x:is>
          <x:t xml:space="preserve">V11_story_burnout</x:t>
        </x:is>
      </x:c>
      <x:c r="B68" s="5" t="inlineStr">
        <x:is>
          <x:t xml:space="preserve">bcc</x:t>
        </x:is>
      </x:c>
      <x:c r="C68" s="5" t="inlineStr">
        <x:is>
          <x:t xml:space="preserve"/>
        </x:is>
      </x:c>
      <x:c r="D68" s="5" t="inlineStr">
        <x:is>
          <x:t xml:space="preserve"/>
        </x:is>
      </x:c>
      <x:c r="E68" s="5" t="inlineStr">
        <x:is>
          <x:t xml:space="preserve"/>
        </x:is>
      </x:c>
      <x:c r="F68" s="5" t="inlineStr">
        <x:is>
          <x:t xml:space="preserve"/>
        </x:is>
      </x:c>
      <x:c r="G68" s="5" t="inlineStr">
        <x:is>
          <x:t xml:space="preserve"/>
        </x:is>
      </x:c>
      <x:c r="H68" s="5" t="inlineStr">
        <x:is>
          <x:t xml:space="preserve"/>
        </x:is>
      </x:c>
      <x:c r="I68" s="5" t="inlineStr">
        <x:is>
          <x:t xml:space="preserve"/>
        </x:is>
      </x:c>
      <x:c r="J68" s="5" t="inlineStr">
        <x:is>
          <x:t xml:space="preserve"/>
        </x:is>
      </x:c>
      <x:c r="K68" s="5" t="inlineStr">
        <x:is>
          <x:t xml:space="preserve"/>
        </x:is>
      </x:c>
      <x:c r="L68" s="5" t="inlineStr">
        <x:is>
          <x:t xml:space="preserve"/>
        </x:is>
      </x:c>
      <x:c r="M68" s="5">
        <x:f>IFERROR(AVERAGE(C68:L68),"")</x:f>
      </x:c>
      <x:c r="N68" s="5" t="str">
        <x:f>IF(AND(M68&gt;=4,MIN(C68:L68)&gt;=3),"YES","NO")</x:f>
        <x:v>NO</x:v>
      </x:c>
      <x:c r="O68" s="5" t="inlineStr">
        <x:is>
          <x:t xml:space="preserve"/>
        </x:is>
      </x:c>
    </x:row>
    <x:row r="69" ht="22" customHeight="1">
      <x:c r="A69" s="5" t="inlineStr">
        <x:is>
          <x:t xml:space="preserve">V11_story_burnout</x:t>
        </x:is>
      </x:c>
      <x:c r="B69" s="5" t="inlineStr">
        <x:is>
          <x:t xml:space="preserve">bcc_plus</x:t>
        </x:is>
      </x:c>
      <x:c r="C69" s="5" t="inlineStr">
        <x:is>
          <x:t xml:space="preserve"/>
        </x:is>
      </x:c>
      <x:c r="D69" s="5" t="inlineStr">
        <x:is>
          <x:t xml:space="preserve"/>
        </x:is>
      </x:c>
      <x:c r="E69" s="5" t="inlineStr">
        <x:is>
          <x:t xml:space="preserve"/>
        </x:is>
      </x:c>
      <x:c r="F69" s="5" t="inlineStr">
        <x:is>
          <x:t xml:space="preserve"/>
        </x:is>
      </x:c>
      <x:c r="G69" s="5" t="inlineStr">
        <x:is>
          <x:t xml:space="preserve"/>
        </x:is>
      </x:c>
      <x:c r="H69" s="5" t="inlineStr">
        <x:is>
          <x:t xml:space="preserve"/>
        </x:is>
      </x:c>
      <x:c r="I69" s="5" t="inlineStr">
        <x:is>
          <x:t xml:space="preserve"/>
        </x:is>
      </x:c>
      <x:c r="J69" s="5" t="inlineStr">
        <x:is>
          <x:t xml:space="preserve"/>
        </x:is>
      </x:c>
      <x:c r="K69" s="5" t="inlineStr">
        <x:is>
          <x:t xml:space="preserve"/>
        </x:is>
      </x:c>
      <x:c r="L69" s="5" t="inlineStr">
        <x:is>
          <x:t xml:space="preserve"/>
        </x:is>
      </x:c>
      <x:c r="M69" s="5">
        <x:f>IFERROR(AVERAGE(C69:L69),"")</x:f>
      </x:c>
      <x:c r="N69" s="5" t="str">
        <x:f>IF(AND(M69&gt;=4,MIN(C69:L69)&gt;=3),"YES","NO")</x:f>
        <x:v>NO</x:v>
      </x:c>
      <x:c r="O69" s="5" t="inlineStr">
        <x:is>
          <x:t xml:space="preserve"/>
        </x:is>
      </x:c>
    </x:row>
    <x:row r="70" ht="22" customHeight="1">
      <x:c r="A70" s="5" t="inlineStr">
        <x:is>
          <x:t xml:space="preserve">V11_story_burnout</x:t>
        </x:is>
      </x:c>
      <x:c r="B70" s="5" t="inlineStr">
        <x:is>
          <x:t xml:space="preserve">heavy_bionic</x:t>
        </x:is>
      </x:c>
      <x:c r="C70" s="5" t="inlineStr">
        <x:is>
          <x:t xml:space="preserve"/>
        </x:is>
      </x:c>
      <x:c r="D70" s="5" t="inlineStr">
        <x:is>
          <x:t xml:space="preserve"/>
        </x:is>
      </x:c>
      <x:c r="E70" s="5" t="inlineStr">
        <x:is>
          <x:t xml:space="preserve"/>
        </x:is>
      </x:c>
      <x:c r="F70" s="5" t="inlineStr">
        <x:is>
          <x:t xml:space="preserve"/>
        </x:is>
      </x:c>
      <x:c r="G70" s="5" t="inlineStr">
        <x:is>
          <x:t xml:space="preserve"/>
        </x:is>
      </x:c>
      <x:c r="H70" s="5" t="inlineStr">
        <x:is>
          <x:t xml:space="preserve"/>
        </x:is>
      </x:c>
      <x:c r="I70" s="5" t="inlineStr">
        <x:is>
          <x:t xml:space="preserve"/>
        </x:is>
      </x:c>
      <x:c r="J70" s="5" t="inlineStr">
        <x:is>
          <x:t xml:space="preserve"/>
        </x:is>
      </x:c>
      <x:c r="K70" s="5" t="inlineStr">
        <x:is>
          <x:t xml:space="preserve"/>
        </x:is>
      </x:c>
      <x:c r="L70" s="5" t="inlineStr">
        <x:is>
          <x:t xml:space="preserve"/>
        </x:is>
      </x:c>
      <x:c r="M70" s="5">
        <x:f>IFERROR(AVERAGE(C70:L70),"")</x:f>
      </x:c>
      <x:c r="N70" s="5" t="str">
        <x:f>IF(AND(M70&gt;=4,MIN(C70:L70)&gt;=3),"YES","NO")</x:f>
        <x:v>NO</x:v>
      </x:c>
      <x:c r="O70" s="5" t="inlineStr">
        <x:is>
          <x:t xml:space="preserve"/>
        </x:is>
      </x:c>
    </x:row>
    <x:row r="71" ht="22" customHeight="1">
      <x:c r="A71" s="5" t="inlineStr">
        <x:is>
          <x:t xml:space="preserve">V12_creativity_constraints</x:t>
        </x:is>
      </x:c>
      <x:c r="B71" s="5" t="inlineStr">
        <x:is>
          <x:t xml:space="preserve">full_transcript</x:t>
        </x:is>
      </x:c>
      <x:c r="C71" s="5" t="inlineStr">
        <x:is>
          <x:t xml:space="preserve"/>
        </x:is>
      </x:c>
      <x:c r="D71" s="5" t="inlineStr">
        <x:is>
          <x:t xml:space="preserve"/>
        </x:is>
      </x:c>
      <x:c r="E71" s="5" t="inlineStr">
        <x:is>
          <x:t xml:space="preserve"/>
        </x:is>
      </x:c>
      <x:c r="F71" s="5" t="inlineStr">
        <x:is>
          <x:t xml:space="preserve"/>
        </x:is>
      </x:c>
      <x:c r="G71" s="5" t="inlineStr">
        <x:is>
          <x:t xml:space="preserve"/>
        </x:is>
      </x:c>
      <x:c r="H71" s="5" t="inlineStr">
        <x:is>
          <x:t xml:space="preserve"/>
        </x:is>
      </x:c>
      <x:c r="I71" s="5" t="inlineStr">
        <x:is>
          <x:t xml:space="preserve"/>
        </x:is>
      </x:c>
      <x:c r="J71" s="5" t="inlineStr">
        <x:is>
          <x:t xml:space="preserve"/>
        </x:is>
      </x:c>
      <x:c r="K71" s="5" t="inlineStr">
        <x:is>
          <x:t xml:space="preserve"/>
        </x:is>
      </x:c>
      <x:c r="L71" s="5" t="inlineStr">
        <x:is>
          <x:t xml:space="preserve"/>
        </x:is>
      </x:c>
      <x:c r="M71" s="5">
        <x:f>IFERROR(AVERAGE(C71:L71),"")</x:f>
      </x:c>
      <x:c r="N71" s="5" t="str">
        <x:f>IF(AND(M71&gt;=4,MIN(C71:L71)&gt;=3),"YES","NO")</x:f>
        <x:v>NO</x:v>
      </x:c>
      <x:c r="O71" s="5" t="inlineStr">
        <x:is>
          <x:t xml:space="preserve"/>
        </x:is>
      </x:c>
    </x:row>
    <x:row r="72" ht="22" customHeight="1">
      <x:c r="A72" s="5" t="inlineStr">
        <x:is>
          <x:t xml:space="preserve">V12_creativity_constraints</x:t>
        </x:is>
      </x:c>
      <x:c r="B72" s="5" t="inlineStr">
        <x:is>
          <x:t xml:space="preserve">keyword_highlight</x:t>
        </x:is>
      </x:c>
      <x:c r="C72" s="5" t="inlineStr">
        <x:is>
          <x:t xml:space="preserve"/>
        </x:is>
      </x:c>
      <x:c r="D72" s="5" t="inlineStr">
        <x:is>
          <x:t xml:space="preserve"/>
        </x:is>
      </x:c>
      <x:c r="E72" s="5" t="inlineStr">
        <x:is>
          <x:t xml:space="preserve"/>
        </x:is>
      </x:c>
      <x:c r="F72" s="5" t="inlineStr">
        <x:is>
          <x:t xml:space="preserve"/>
        </x:is>
      </x:c>
      <x:c r="G72" s="5" t="inlineStr">
        <x:is>
          <x:t xml:space="preserve"/>
        </x:is>
      </x:c>
      <x:c r="H72" s="5" t="inlineStr">
        <x:is>
          <x:t xml:space="preserve"/>
        </x:is>
      </x:c>
      <x:c r="I72" s="5" t="inlineStr">
        <x:is>
          <x:t xml:space="preserve"/>
        </x:is>
      </x:c>
      <x:c r="J72" s="5" t="inlineStr">
        <x:is>
          <x:t xml:space="preserve"/>
        </x:is>
      </x:c>
      <x:c r="K72" s="5" t="inlineStr">
        <x:is>
          <x:t xml:space="preserve"/>
        </x:is>
      </x:c>
      <x:c r="L72" s="5" t="inlineStr">
        <x:is>
          <x:t xml:space="preserve"/>
        </x:is>
      </x:c>
      <x:c r="M72" s="5">
        <x:f>IFERROR(AVERAGE(C72:L72),"")</x:f>
      </x:c>
      <x:c r="N72" s="5" t="str">
        <x:f>IF(AND(M72&gt;=4,MIN(C72:L72)&gt;=3),"YES","NO")</x:f>
        <x:v>NO</x:v>
      </x:c>
      <x:c r="O72" s="5" t="inlineStr">
        <x:is>
          <x:t xml:space="preserve"/>
        </x:is>
      </x:c>
    </x:row>
    <x:row r="73" ht="22" customHeight="1">
      <x:c r="A73" s="5" t="inlineStr">
        <x:is>
          <x:t xml:space="preserve">V12_creativity_constraints</x:t>
        </x:is>
      </x:c>
      <x:c r="B73" s="5" t="inlineStr">
        <x:is>
          <x:t xml:space="preserve">semantic_compression</x:t>
        </x:is>
      </x:c>
      <x:c r="C73" s="5" t="inlineStr">
        <x:is>
          <x:t xml:space="preserve"/>
        </x:is>
      </x:c>
      <x:c r="D73" s="5" t="inlineStr">
        <x:is>
          <x:t xml:space="preserve"/>
        </x:is>
      </x:c>
      <x:c r="E73" s="5" t="inlineStr">
        <x:is>
          <x:t xml:space="preserve"/>
        </x:is>
      </x:c>
      <x:c r="F73" s="5" t="inlineStr">
        <x:is>
          <x:t xml:space="preserve"/>
        </x:is>
      </x:c>
      <x:c r="G73" s="5" t="inlineStr">
        <x:is>
          <x:t xml:space="preserve"/>
        </x:is>
      </x:c>
      <x:c r="H73" s="5" t="inlineStr">
        <x:is>
          <x:t xml:space="preserve"/>
        </x:is>
      </x:c>
      <x:c r="I73" s="5" t="inlineStr">
        <x:is>
          <x:t xml:space="preserve"/>
        </x:is>
      </x:c>
      <x:c r="J73" s="5" t="inlineStr">
        <x:is>
          <x:t xml:space="preserve"/>
        </x:is>
      </x:c>
      <x:c r="K73" s="5" t="inlineStr">
        <x:is>
          <x:t xml:space="preserve"/>
        </x:is>
      </x:c>
      <x:c r="L73" s="5" t="inlineStr">
        <x:is>
          <x:t xml:space="preserve"/>
        </x:is>
      </x:c>
      <x:c r="M73" s="5">
        <x:f>IFERROR(AVERAGE(C73:L73),"")</x:f>
      </x:c>
      <x:c r="N73" s="5" t="str">
        <x:f>IF(AND(M73&gt;=4,MIN(C73:L73)&gt;=3),"YES","NO")</x:f>
        <x:v>NO</x:v>
      </x:c>
      <x:c r="O73" s="5" t="inlineStr">
        <x:is>
          <x:t xml:space="preserve"/>
        </x:is>
      </x:c>
    </x:row>
    <x:row r="74" ht="22" customHeight="1">
      <x:c r="A74" s="5" t="inlineStr">
        <x:is>
          <x:t xml:space="preserve">V12_creativity_constraints</x:t>
        </x:is>
      </x:c>
      <x:c r="B74" s="5" t="inlineStr">
        <x:is>
          <x:t xml:space="preserve">bcc</x:t>
        </x:is>
      </x:c>
      <x:c r="C74" s="5" t="inlineStr">
        <x:is>
          <x:t xml:space="preserve"/>
        </x:is>
      </x:c>
      <x:c r="D74" s="5" t="inlineStr">
        <x:is>
          <x:t xml:space="preserve"/>
        </x:is>
      </x:c>
      <x:c r="E74" s="5" t="inlineStr">
        <x:is>
          <x:t xml:space="preserve"/>
        </x:is>
      </x:c>
      <x:c r="F74" s="5" t="inlineStr">
        <x:is>
          <x:t xml:space="preserve"/>
        </x:is>
      </x:c>
      <x:c r="G74" s="5" t="inlineStr">
        <x:is>
          <x:t xml:space="preserve"/>
        </x:is>
      </x:c>
      <x:c r="H74" s="5" t="inlineStr">
        <x:is>
          <x:t xml:space="preserve"/>
        </x:is>
      </x:c>
      <x:c r="I74" s="5" t="inlineStr">
        <x:is>
          <x:t xml:space="preserve"/>
        </x:is>
      </x:c>
      <x:c r="J74" s="5" t="inlineStr">
        <x:is>
          <x:t xml:space="preserve"/>
        </x:is>
      </x:c>
      <x:c r="K74" s="5" t="inlineStr">
        <x:is>
          <x:t xml:space="preserve"/>
        </x:is>
      </x:c>
      <x:c r="L74" s="5" t="inlineStr">
        <x:is>
          <x:t xml:space="preserve"/>
        </x:is>
      </x:c>
      <x:c r="M74" s="5">
        <x:f>IFERROR(AVERAGE(C74:L74),"")</x:f>
      </x:c>
      <x:c r="N74" s="5" t="str">
        <x:f>IF(AND(M74&gt;=4,MIN(C74:L74)&gt;=3),"YES","NO")</x:f>
        <x:v>NO</x:v>
      </x:c>
      <x:c r="O74" s="5" t="inlineStr">
        <x:is>
          <x:t xml:space="preserve"/>
        </x:is>
      </x:c>
    </x:row>
    <x:row r="75" ht="22" customHeight="1">
      <x:c r="A75" s="5" t="inlineStr">
        <x:is>
          <x:t xml:space="preserve">V12_creativity_constraints</x:t>
        </x:is>
      </x:c>
      <x:c r="B75" s="5" t="inlineStr">
        <x:is>
          <x:t xml:space="preserve">bcc_plus</x:t>
        </x:is>
      </x:c>
      <x:c r="C75" s="5" t="inlineStr">
        <x:is>
          <x:t xml:space="preserve"/>
        </x:is>
      </x:c>
      <x:c r="D75" s="5" t="inlineStr">
        <x:is>
          <x:t xml:space="preserve"/>
        </x:is>
      </x:c>
      <x:c r="E75" s="5" t="inlineStr">
        <x:is>
          <x:t xml:space="preserve"/>
        </x:is>
      </x:c>
      <x:c r="F75" s="5" t="inlineStr">
        <x:is>
          <x:t xml:space="preserve"/>
        </x:is>
      </x:c>
      <x:c r="G75" s="5" t="inlineStr">
        <x:is>
          <x:t xml:space="preserve"/>
        </x:is>
      </x:c>
      <x:c r="H75" s="5" t="inlineStr">
        <x:is>
          <x:t xml:space="preserve"/>
        </x:is>
      </x:c>
      <x:c r="I75" s="5" t="inlineStr">
        <x:is>
          <x:t xml:space="preserve"/>
        </x:is>
      </x:c>
      <x:c r="J75" s="5" t="inlineStr">
        <x:is>
          <x:t xml:space="preserve"/>
        </x:is>
      </x:c>
      <x:c r="K75" s="5" t="inlineStr">
        <x:is>
          <x:t xml:space="preserve"/>
        </x:is>
      </x:c>
      <x:c r="L75" s="5" t="inlineStr">
        <x:is>
          <x:t xml:space="preserve"/>
        </x:is>
      </x:c>
      <x:c r="M75" s="5">
        <x:f>IFERROR(AVERAGE(C75:L75),"")</x:f>
      </x:c>
      <x:c r="N75" s="5" t="str">
        <x:f>IF(AND(M75&gt;=4,MIN(C75:L75)&gt;=3),"YES","NO")</x:f>
        <x:v>NO</x:v>
      </x:c>
      <x:c r="O75" s="5" t="inlineStr">
        <x:is>
          <x:t xml:space="preserve"/>
        </x:is>
      </x:c>
    </x:row>
    <x:row r="76" ht="22" customHeight="1">
      <x:c r="A76" s="5" t="inlineStr">
        <x:is>
          <x:t xml:space="preserve">V12_creativity_constraints</x:t>
        </x:is>
      </x:c>
      <x:c r="B76" s="5" t="inlineStr">
        <x:is>
          <x:t xml:space="preserve">heavy_bionic</x:t>
        </x:is>
      </x:c>
      <x:c r="C76" s="5" t="inlineStr">
        <x:is>
          <x:t xml:space="preserve"/>
        </x:is>
      </x:c>
      <x:c r="D76" s="5" t="inlineStr">
        <x:is>
          <x:t xml:space="preserve"/>
        </x:is>
      </x:c>
      <x:c r="E76" s="5" t="inlineStr">
        <x:is>
          <x:t xml:space="preserve"/>
        </x:is>
      </x:c>
      <x:c r="F76" s="5" t="inlineStr">
        <x:is>
          <x:t xml:space="preserve"/>
        </x:is>
      </x:c>
      <x:c r="G76" s="5" t="inlineStr">
        <x:is>
          <x:t xml:space="preserve"/>
        </x:is>
      </x:c>
      <x:c r="H76" s="5" t="inlineStr">
        <x:is>
          <x:t xml:space="preserve"/>
        </x:is>
      </x:c>
      <x:c r="I76" s="5" t="inlineStr">
        <x:is>
          <x:t xml:space="preserve"/>
        </x:is>
      </x:c>
      <x:c r="J76" s="5" t="inlineStr">
        <x:is>
          <x:t xml:space="preserve"/>
        </x:is>
      </x:c>
      <x:c r="K76" s="5" t="inlineStr">
        <x:is>
          <x:t xml:space="preserve"/>
        </x:is>
      </x:c>
      <x:c r="L76" s="5" t="inlineStr">
        <x:is>
          <x:t xml:space="preserve"/>
        </x:is>
      </x:c>
      <x:c r="M76" s="5">
        <x:f>IFERROR(AVERAGE(C76:L76),"")</x:f>
      </x:c>
      <x:c r="N76" s="5" t="str">
        <x:f>IF(AND(M76&gt;=4,MIN(C76:L76)&gt;=3),"YES","NO")</x:f>
        <x:v>NO</x:v>
      </x:c>
      <x:c r="O76" s="5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b82f895adabf4a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2" customWidth="1"/>
    <x:col min="3" max="3" width="72" customWidth="1"/>
    <x:col min="4" max="4" width="35" customWidth="1"/>
    <x:col min="5" max="5" width="16" customWidth="1"/>
    <x:col min="6" max="6" width="10" customWidth="1"/>
    <x:col min="7" max="7" width="10" customWidth="1"/>
    <x:col min="8" max="8" width="10" customWidth="1"/>
  </x:cols>
  <x:sheetData>
    <x:row r="1" ht="30" customHeight="1">
      <x:c r="A1" s="1" t="inlineStr">
        <x:is>
          <x:t xml:space="preserve">Research Backlog</x:t>
        </x:is>
      </x:c>
    </x:row>
    <x:row r="2" ht="24" customHeight="1">
      <x:c r="A2" s="3" t="inlineStr">
        <x:is>
          <x:t xml:space="preserve">Ranked unknowns and experiments.</x:t>
        </x:is>
      </x:c>
    </x:row>
    <x:row r="3" ht="24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 ht="42" customHeight="1">
      <x:c r="A4" s="4" t="inlineStr">
        <x:is>
          <x:t xml:space="preserve">Priority</x:t>
        </x:is>
      </x:c>
      <x:c r="B4" s="4" t="inlineStr">
        <x:is>
          <x:t xml:space="preserve">Unknown</x:t>
        </x:is>
      </x:c>
      <x:c r="C4" s="4" t="inlineStr">
        <x:is>
          <x:t xml:space="preserve">Research Question</x:t>
        </x:is>
      </x:c>
      <x:c r="D4" s="4" t="inlineStr">
        <x:is>
          <x:t xml:space="preserve">Test Method</x:t>
        </x:is>
      </x:c>
      <x:c r="E4" s="4" t="inlineStr">
        <x:is>
          <x:t xml:space="preserve">Importance</x:t>
        </x:is>
      </x:c>
      <x:c r="F4" s="5" t="n"/>
      <x:c r="G4" s="5" t="n"/>
      <x:c r="H4" s="5" t="n"/>
    </x:row>
    <x:row r="5" ht="24" customHeight="1">
      <x:c r="A5" s="5" t="n">
        <x:v>1</x:v>
      </x:c>
      <x:c r="B5" s="5" t="inlineStr">
        <x:is>
          <x:t xml:space="preserve">BCC vs semantic compression</x:t>
        </x:is>
      </x:c>
      <x:c r="C5" s="5" t="inlineStr">
        <x:is>
          <x:t xml:space="preserve">Does bionic anchoring add value beyond compression?</x:t>
        </x:is>
      </x:c>
      <x:c r="D5" s="5" t="inlineStr">
        <x:is>
          <x:t xml:space="preserve">Controlled pilot</x:t>
        </x:is>
      </x:c>
      <x:c r="E5" s="5" t="inlineStr">
        <x:is>
          <x:t xml:space="preserve">Highest</x:t>
        </x:is>
      </x:c>
      <x:c r="F5" s="5" t="n"/>
      <x:c r="G5" s="5" t="n"/>
      <x:c r="H5" s="5" t="n"/>
    </x:row>
    <x:row r="6" ht="24" customHeight="1">
      <x:c r="A6" s="5" t="n">
        <x:v>2</x:v>
      </x:c>
      <x:c r="B6" s="5" t="inlineStr">
        <x:is>
          <x:t xml:space="preserve">BCC+ vs BCC</x:t>
        </x:is>
      </x:c>
      <x:c r="C6" s="5" t="inlineStr">
        <x:is>
          <x:t xml:space="preserve">Do placement and visual-load rules add value?</x:t>
        </x:is>
      </x:c>
      <x:c r="D6" s="5" t="inlineStr">
        <x:is>
          <x:t xml:space="preserve">Controlled pilot + platform A/B</x:t>
        </x:is>
      </x:c>
      <x:c r="E6" s="5" t="inlineStr">
        <x:is>
          <x:t xml:space="preserve">Highest</x:t>
        </x:is>
      </x:c>
      <x:c r="F6" s="5" t="n"/>
      <x:c r="G6" s="5" t="n"/>
      <x:c r="H6" s="5" t="n"/>
    </x:row>
    <x:row r="7" ht="24" customHeight="1">
      <x:c r="A7" s="5" t="n">
        <x:v>3</x:v>
      </x:c>
      <x:c r="B7" s="5" t="inlineStr">
        <x:is>
          <x:t xml:space="preserve">Optimal text amount</x:t>
        </x:is>
      </x:c>
      <x:c r="C7" s="5" t="inlineStr">
        <x:is>
          <x:t xml:space="preserve">What % transcript preserves gist/action?</x:t>
        </x:is>
      </x:c>
      <x:c r="D7" s="5" t="inlineStr">
        <x:is>
          <x:t xml:space="preserve">Dose-response study</x:t>
        </x:is>
      </x:c>
      <x:c r="E7" s="5" t="inlineStr">
        <x:is>
          <x:t xml:space="preserve">High</x:t>
        </x:is>
      </x:c>
      <x:c r="F7" s="5" t="n"/>
      <x:c r="G7" s="5" t="n"/>
      <x:c r="H7" s="5" t="n"/>
    </x:row>
    <x:row r="8" ht="24" customHeight="1">
      <x:c r="A8" s="5" t="n">
        <x:v>4</x:v>
      </x:c>
      <x:c r="B8" s="5" t="inlineStr">
        <x:is>
          <x:t xml:space="preserve">Highlight density</x:t>
        </x:is>
      </x:c>
      <x:c r="C8" s="5" t="inlineStr">
        <x:is>
          <x:t xml:space="preserve">How many anchors before overload?</x:t>
        </x:is>
      </x:c>
      <x:c r="D8" s="5" t="inlineStr">
        <x:is>
          <x:t xml:space="preserve">Density test</x:t>
        </x:is>
      </x:c>
      <x:c r="E8" s="5" t="inlineStr">
        <x:is>
          <x:t xml:space="preserve">High</x:t>
        </x:is>
      </x:c>
      <x:c r="F8" s="5" t="n"/>
      <x:c r="G8" s="5" t="n"/>
      <x:c r="H8" s="5" t="n"/>
    </x:row>
    <x:row r="9" ht="24" customHeight="1">
      <x:c r="A9" s="5" t="n">
        <x:v>5</x:v>
      </x:c>
      <x:c r="B9" s="5" t="inlineStr">
        <x:is>
          <x:t xml:space="preserve">Vertical placement zones</x:t>
        </x:is>
      </x:c>
      <x:c r="C9" s="5" t="inlineStr">
        <x:is>
          <x:t xml:space="preserve">Where should text live by video type?</x:t>
        </x:is>
      </x:c>
      <x:c r="D9" s="5" t="inlineStr">
        <x:is>
          <x:t xml:space="preserve">Eye tracking / saliency</x:t>
        </x:is>
      </x:c>
      <x:c r="E9" s="5" t="inlineStr">
        <x:is>
          <x:t xml:space="preserve">High</x:t>
        </x:is>
      </x:c>
      <x:c r="F9" s="5" t="n"/>
      <x:c r="G9" s="5" t="n"/>
      <x:c r="H9" s="5" t="n"/>
    </x:row>
    <x:row r="10" ht="24" customHeight="1">
      <x:c r="A10" s="5" t="n">
        <x:v>6</x:v>
      </x:c>
      <x:c r="B10" s="5" t="inlineStr">
        <x:is>
          <x:t xml:space="preserve">Timing offsets</x:t>
        </x:is>
      </x:c>
      <x:c r="C10" s="5" t="inlineStr">
        <x:is>
          <x:t xml:space="preserve">Should semantic cues appear before/sync/after speech?</x:t>
        </x:is>
      </x:c>
      <x:c r="D10" s="5" t="inlineStr">
        <x:is>
          <x:t xml:space="preserve">Timing study</x:t>
        </x:is>
      </x:c>
      <x:c r="E10" s="5" t="inlineStr">
        <x:is>
          <x:t xml:space="preserve">Medium</x:t>
        </x:is>
      </x:c>
      <x:c r="F10" s="5" t="n"/>
      <x:c r="G10" s="5" t="n"/>
      <x:c r="H10" s="5" t="n"/>
    </x:row>
    <x:row r="11" ht="24" customHeight="1">
      <x:c r="A11" s="5" t="n">
        <x:v>7</x:v>
      </x:c>
      <x:c r="B11" s="5" t="inlineStr">
        <x:is>
          <x:t xml:space="preserve">Motion dose</x:t>
        </x:is>
      </x:c>
      <x:c r="C11" s="5" t="inlineStr">
        <x:is>
          <x:t xml:space="preserve">How much motion guides vs distracts?</x:t>
        </x:is>
      </x:c>
      <x:c r="D11" s="5" t="inlineStr">
        <x:is>
          <x:t xml:space="preserve">Motion A/B</x:t>
        </x:is>
      </x:c>
      <x:c r="E11" s="5" t="inlineStr">
        <x:is>
          <x:t xml:space="preserve">Medium</x:t>
        </x:is>
      </x:c>
      <x:c r="F11" s="5" t="n"/>
      <x:c r="G11" s="5" t="n"/>
      <x:c r="H11" s="5" t="n"/>
    </x:row>
    <x:row r="12" ht="24" customHeight="1">
      <x:c r="A12" s="5" t="n">
        <x:v>8</x:v>
      </x:c>
      <x:c r="B12" s="5" t="inlineStr">
        <x:is>
          <x:t xml:space="preserve">Viewer segments</x:t>
        </x:is>
      </x:c>
      <x:c r="C12" s="5" t="inlineStr">
        <x:is>
          <x:t xml:space="preserve">Which viewers benefit/suffer?</x:t>
        </x:is>
      </x:c>
      <x:c r="D12" s="5" t="inlineStr">
        <x:is>
          <x:t xml:space="preserve">Segmented study</x:t>
        </x:is>
      </x:c>
      <x:c r="E12" s="5" t="inlineStr">
        <x:is>
          <x:t xml:space="preserve">Medium</x:t>
        </x:is>
      </x:c>
      <x:c r="F12" s="5" t="n"/>
      <x:c r="G12" s="5" t="n"/>
      <x:c r="H12" s="5" t="n"/>
    </x:row>
    <x:row r="13" ht="24" customHeight="1">
      <x:c r="A13" s="5" t="n">
        <x:v>9</x:v>
      </x:c>
      <x:c r="B13" s="5" t="inlineStr">
        <x:is>
          <x:t xml:space="preserve">Saliency + meaning maps</x:t>
        </x:is>
      </x:c>
      <x:c r="C13" s="5" t="inlineStr">
        <x:is>
          <x:t xml:space="preserve">Can we automate placement?</x:t>
        </x:is>
      </x:c>
      <x:c r="D13" s="5" t="inlineStr">
        <x:is>
          <x:t xml:space="preserve">CV model prototype</x:t>
        </x:is>
      </x:c>
      <x:c r="E13" s="5" t="inlineStr">
        <x:is>
          <x:t xml:space="preserve">Medium</x:t>
        </x:is>
      </x:c>
      <x:c r="F13" s="5" t="n"/>
      <x:c r="G13" s="5" t="n"/>
      <x:c r="H13" s="5" t="n"/>
    </x:row>
    <x:row r="14" ht="24" customHeight="1">
      <x:c r="A14" s="5" t="n">
        <x:v>10</x:v>
      </x:c>
      <x:c r="B14" s="5" t="inlineStr">
        <x:is>
          <x:t xml:space="preserve">Memory object design</x:t>
        </x:is>
      </x:c>
      <x:c r="C14" s="5" t="inlineStr">
        <x:is>
          <x:t xml:space="preserve">Which phrase structures stick best?</x:t>
        </x:is>
      </x:c>
      <x:c r="D14" s="5" t="inlineStr">
        <x:is>
          <x:t xml:space="preserve">Recall-focused test</x:t>
        </x:is>
      </x:c>
      <x:c r="E14" s="5" t="inlineStr">
        <x:is>
          <x:t xml:space="preserve">Medium</x:t>
        </x:is>
      </x:c>
      <x:c r="F14" s="5" t="n"/>
      <x:c r="G14" s="5" t="n"/>
      <x:c r="H14" s="5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bcfc0f028bc64e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56" customWidth="1"/>
    <x:col min="3" max="3" width="58" customWidth="1"/>
    <x:col min="4" max="4" width="30" customWidth="1"/>
    <x:col min="5" max="5" width="10" customWidth="1"/>
    <x:col min="6" max="6" width="10" customWidth="1"/>
    <x:col min="7" max="7" width="10" customWidth="1"/>
    <x:col min="8" max="8" width="10" customWidth="1"/>
  </x:cols>
  <x:sheetData>
    <x:row r="1" ht="30" customHeight="1">
      <x:c r="A1" s="1" t="inlineStr">
        <x:is>
          <x:t xml:space="preserve">Automation Spec</x:t>
        </x:is>
      </x:c>
    </x:row>
    <x:row r="2" ht="24" customHeight="1">
      <x:c r="A2" s="3" t="inlineStr">
        <x:is>
          <x:t xml:space="preserve">Future semantic overlay generator architecture.</x:t>
        </x:is>
      </x:c>
    </x:row>
    <x:row r="3" ht="24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 ht="42" customHeight="1">
      <x:c r="A4" s="4" t="inlineStr">
        <x:is>
          <x:t xml:space="preserve">Module</x:t>
        </x:is>
      </x:c>
      <x:c r="B4" s="4" t="inlineStr">
        <x:is>
          <x:t xml:space="preserve">Function</x:t>
        </x:is>
      </x:c>
      <x:c r="C4" s="4" t="inlineStr">
        <x:is>
          <x:t xml:space="preserve">Possible Approach</x:t>
        </x:is>
      </x:c>
      <x:c r="D4" s="4" t="inlineStr">
        <x:is>
          <x:t xml:space="preserve">Status</x:t>
        </x:is>
      </x:c>
      <x:c r="E4" s="5" t="n"/>
      <x:c r="F4" s="5" t="n"/>
      <x:c r="G4" s="5" t="n"/>
      <x:c r="H4" s="5" t="n"/>
    </x:row>
    <x:row r="5" ht="24" customHeight="1">
      <x:c r="A5" s="5" t="inlineStr">
        <x:is>
          <x:t xml:space="preserve">Transcript parser</x:t>
        </x:is>
      </x:c>
      <x:c r="B5" s="5" t="inlineStr">
        <x:is>
          <x:t xml:space="preserve">Split speech into candidate beats.</x:t>
        </x:is>
      </x:c>
      <x:c r="C5" s="5" t="inlineStr">
        <x:is>
          <x:t xml:space="preserve">Whisper/ASR transcript + punctuation + pauses.</x:t>
        </x:is>
      </x:c>
      <x:c r="D5" s="5" t="inlineStr">
        <x:is>
          <x:t xml:space="preserve">MVP: manual beat sheet.</x:t>
        </x:is>
      </x:c>
      <x:c r="E5" s="5" t="n"/>
      <x:c r="F5" s="5" t="n"/>
      <x:c r="G5" s="5" t="n"/>
      <x:c r="H5" s="5" t="n"/>
    </x:row>
    <x:row r="6" ht="24" customHeight="1">
      <x:c r="A6" s="5" t="inlineStr">
        <x:is>
          <x:t xml:space="preserve">Proposition extractor</x:t>
        </x:is>
      </x:c>
      <x:c r="B6" s="5" t="inlineStr">
        <x:is>
          <x:t xml:space="preserve">Identify claim, contrast, mechanism, action, payoff.</x:t>
        </x:is>
      </x:c>
      <x:c r="C6" s="5" t="inlineStr">
        <x:is>
          <x:t xml:space="preserve">LLM or rule-assisted semantic parsing.</x:t>
        </x:is>
      </x:c>
      <x:c r="D6" s="5" t="inlineStr">
        <x:is>
          <x:t xml:space="preserve">Must be human-reviewable.</x:t>
        </x:is>
      </x:c>
      <x:c r="E6" s="5" t="n"/>
      <x:c r="F6" s="5" t="n"/>
      <x:c r="G6" s="5" t="n"/>
      <x:c r="H6" s="5" t="n"/>
    </x:row>
    <x:row r="7" ht="24" customHeight="1">
      <x:c r="A7" s="5" t="inlineStr">
        <x:is>
          <x:t xml:space="preserve">Semantic compressor</x:t>
        </x:is>
      </x:c>
      <x:c r="B7" s="5" t="inlineStr">
        <x:is>
          <x:t xml:space="preserve">Rewrite speech into compact visual meaning.</x:t>
        </x:is>
      </x:c>
      <x:c r="C7" s="5" t="inlineStr">
        <x:is>
          <x:t xml:space="preserve">LLM with constraints and examples.</x:t>
        </x:is>
      </x:c>
      <x:c r="D7" s="5" t="inlineStr">
        <x:is>
          <x:t xml:space="preserve">Core product gap.</x:t>
        </x:is>
      </x:c>
      <x:c r="E7" s="5" t="n"/>
      <x:c r="F7" s="5" t="n"/>
      <x:c r="G7" s="5" t="n"/>
      <x:c r="H7" s="5" t="n"/>
    </x:row>
    <x:row r="8" ht="24" customHeight="1">
      <x:c r="A8" s="5" t="inlineStr">
        <x:is>
          <x:t xml:space="preserve">Operator detector</x:t>
        </x:is>
      </x:c>
      <x:c r="B8" s="5" t="inlineStr">
        <x:is>
          <x:t xml:space="preserve">Detect not/no/stop/start/less/more/first/then.</x:t>
        </x:is>
      </x:c>
      <x:c r="C8" s="5" t="inlineStr">
        <x:is>
          <x:t xml:space="preserve">Rules + prompt output.</x:t>
        </x:is>
      </x:c>
      <x:c r="D8" s="5" t="inlineStr">
        <x:is>
          <x:t xml:space="preserve">High confidence.</x:t>
        </x:is>
      </x:c>
      <x:c r="E8" s="5" t="n"/>
      <x:c r="F8" s="5" t="n"/>
      <x:c r="G8" s="5" t="n"/>
      <x:c r="H8" s="5" t="n"/>
    </x:row>
    <x:row r="9" ht="24" customHeight="1">
      <x:c r="A9" s="5" t="inlineStr">
        <x:is>
          <x:t xml:space="preserve">Concept detector</x:t>
        </x:is>
      </x:c>
      <x:c r="B9" s="5" t="inlineStr">
        <x:is>
          <x:t xml:space="preserve">Identify words to anchor.</x:t>
        </x:is>
      </x:c>
      <x:c r="C9" s="5" t="inlineStr">
        <x:is>
          <x:t xml:space="preserve">Keyword extraction + human review.</x:t>
        </x:is>
      </x:c>
      <x:c r="D9" s="5" t="inlineStr">
        <x:is>
          <x:t xml:space="preserve">Must avoid filler.</x:t>
        </x:is>
      </x:c>
      <x:c r="E9" s="5" t="n"/>
      <x:c r="F9" s="5" t="n"/>
      <x:c r="G9" s="5" t="n"/>
      <x:c r="H9" s="5" t="n"/>
    </x:row>
    <x:row r="10" ht="24" customHeight="1">
      <x:c r="A10" s="5" t="inlineStr">
        <x:is>
          <x:t xml:space="preserve">Saliency detector</x:t>
        </x:is>
      </x:c>
      <x:c r="B10" s="5" t="inlineStr">
        <x:is>
          <x:t xml:space="preserve">Predict likely gaze zones.</x:t>
        </x:is>
      </x:c>
      <x:c r="C10" s="5" t="inlineStr">
        <x:is>
          <x:t xml:space="preserve">Video saliency model.</x:t>
        </x:is>
      </x:c>
      <x:c r="D10" s="5" t="inlineStr">
        <x:is>
          <x:t xml:space="preserve">Future module.</x:t>
        </x:is>
      </x:c>
      <x:c r="E10" s="5" t="n"/>
      <x:c r="F10" s="5" t="n"/>
      <x:c r="G10" s="5" t="n"/>
      <x:c r="H10" s="5" t="n"/>
    </x:row>
    <x:row r="11" ht="24" customHeight="1">
      <x:c r="A11" s="5" t="inlineStr">
        <x:is>
          <x:t xml:space="preserve">Face/mouth detector</x:t>
        </x:is>
      </x:c>
      <x:c r="B11" s="5" t="inlineStr">
        <x:is>
          <x:t xml:space="preserve">Protect speech/emotion cues.</x:t>
        </x:is>
      </x:c>
      <x:c r="C11" s="5" t="inlineStr">
        <x:is>
          <x:t xml:space="preserve">MediaPipe or CV detector.</x:t>
        </x:is>
      </x:c>
      <x:c r="D11" s="5" t="inlineStr">
        <x:is>
          <x:t xml:space="preserve">Future module.</x:t>
        </x:is>
      </x:c>
      <x:c r="E11" s="5" t="n"/>
      <x:c r="F11" s="5" t="n"/>
      <x:c r="G11" s="5" t="n"/>
      <x:c r="H11" s="5" t="n"/>
    </x:row>
    <x:row r="12" ht="24" customHeight="1">
      <x:c r="A12" s="5" t="inlineStr">
        <x:is>
          <x:t xml:space="preserve">Object/hand detector</x:t>
        </x:is>
      </x:c>
      <x:c r="B12" s="5" t="inlineStr">
        <x:is>
          <x:t xml:space="preserve">Protect demos/products.</x:t>
        </x:is>
      </x:c>
      <x:c r="C12" s="5" t="inlineStr">
        <x:is>
          <x:t xml:space="preserve">Object/hand tracking.</x:t>
        </x:is>
      </x:c>
      <x:c r="D12" s="5" t="inlineStr">
        <x:is>
          <x:t xml:space="preserve">Future module.</x:t>
        </x:is>
      </x:c>
      <x:c r="E12" s="5" t="n"/>
      <x:c r="F12" s="5" t="n"/>
      <x:c r="G12" s="5" t="n"/>
      <x:c r="H12" s="5" t="n"/>
    </x:row>
    <x:row r="13" ht="24" customHeight="1">
      <x:c r="A13" s="5" t="inlineStr">
        <x:is>
          <x:t xml:space="preserve">Visual-load estimator</x:t>
        </x:is>
      </x:c>
      <x:c r="B13" s="5" t="inlineStr">
        <x:is>
          <x:t xml:space="preserve">Reduce density during busy frames.</x:t>
        </x:is>
      </x:c>
      <x:c r="C13" s="5" t="inlineStr">
        <x:is>
          <x:t xml:space="preserve">Clutter/motion/background complexity.</x:t>
        </x:is>
      </x:c>
      <x:c r="D13" s="5" t="inlineStr">
        <x:is>
          <x:t xml:space="preserve">Future module.</x:t>
        </x:is>
      </x:c>
      <x:c r="E13" s="5" t="n"/>
      <x:c r="F13" s="5" t="n"/>
      <x:c r="G13" s="5" t="n"/>
      <x:c r="H13" s="5" t="n"/>
    </x:row>
    <x:row r="14" ht="24" customHeight="1">
      <x:c r="A14" s="5" t="inlineStr">
        <x:is>
          <x:t xml:space="preserve">Timing optimizer</x:t>
        </x:is>
      </x:c>
      <x:c r="B14" s="5" t="inlineStr">
        <x:is>
          <x:t xml:space="preserve">Align overlays with semantic beats.</x:t>
        </x:is>
      </x:c>
      <x:c r="C14" s="5" t="inlineStr">
        <x:is>
          <x:t xml:space="preserve">Speech timestamps + cuts + pauses.</x:t>
        </x:is>
      </x:c>
      <x:c r="D14" s="5" t="inlineStr">
        <x:is>
          <x:t xml:space="preserve">MVP: manual timestamps.</x:t>
        </x:is>
      </x:c>
      <x:c r="E14" s="5" t="n"/>
      <x:c r="F14" s="5" t="n"/>
      <x:c r="G14" s="5" t="n"/>
      <x:c r="H14" s="5" t="n"/>
    </x:row>
    <x:row r="15" ht="24" customHeight="1">
      <x:c r="A15" s="5" t="inlineStr">
        <x:is>
          <x:t xml:space="preserve">Exporter</x:t>
        </x:is>
      </x:c>
      <x:c r="B15" s="5" t="inlineStr">
        <x:is>
          <x:t xml:space="preserve">Generate SRT/VTT/ASS/JSON/CSV.</x:t>
        </x:is>
      </x:c>
      <x:c r="C15" s="5" t="inlineStr">
        <x:is>
          <x:t xml:space="preserve">Current prototype script.</x:t>
        </x:is>
      </x:c>
      <x:c r="D15" s="5" t="inlineStr">
        <x:is>
          <x:t xml:space="preserve">Implemented.</x:t>
        </x:is>
      </x:c>
      <x:c r="E15" s="5" t="n"/>
      <x:c r="F15" s="5" t="n"/>
      <x:c r="G15" s="5" t="n"/>
      <x:c r="H15" s="5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6179ec51596b47a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10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</x:cols>
  <x:sheetData>
    <x:row r="1" ht="30" customHeight="1">
      <x:c r="A1" s="1" t="inlineStr">
        <x:is>
          <x:t xml:space="preserve">Source URLs</x:t>
        </x:is>
      </x:c>
    </x:row>
    <x:row r="2" ht="38" customHeight="1">
      <x:c r="A2" s="3" t="inlineStr">
        <x:is>
          <x:t xml:space="preserve">Plain-text source URLs. Use web citations in prose, URLs inside spreadsheets.</x:t>
        </x:is>
      </x:c>
    </x:row>
    <x:row r="3" ht="24" customHeight="1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 ht="42" customHeight="1">
      <x:c r="A4" s="4" t="inlineStr">
        <x:is>
          <x:t xml:space="preserve">Source</x:t>
        </x:is>
      </x:c>
      <x:c r="B4" s="4" t="inlineStr">
        <x:is>
          <x:t xml:space="preserve">URL</x:t>
        </x:is>
      </x:c>
      <x:c r="C4" s="5" t="n"/>
      <x:c r="D4" s="5" t="n"/>
      <x:c r="E4" s="5" t="n"/>
      <x:c r="F4" s="5" t="n"/>
      <x:c r="G4" s="5" t="n"/>
      <x:c r="H4" s="5" t="n"/>
    </x:row>
    <x:row r="5" ht="24" customHeight="1">
      <x:c r="A5" s="5" t="inlineStr">
        <x:is>
          <x:t xml:space="preserve">W3C Captions</x:t>
        </x:is>
      </x:c>
      <x:c r="B5" s="12" t="inlineStr">
        <x:is>
          <x:t xml:space="preserve">https://www.w3.org/WAI/media/av/captions/</x:t>
        </x:is>
      </x:c>
      <x:c r="C5" s="5" t="n"/>
      <x:c r="D5" s="5" t="n"/>
      <x:c r="E5" s="5" t="n"/>
      <x:c r="F5" s="5" t="n"/>
      <x:c r="G5" s="5" t="n"/>
      <x:c r="H5" s="5" t="n"/>
    </x:row>
    <x:row r="6" ht="24" customHeight="1">
      <x:c r="A6" s="5" t="inlineStr">
        <x:is>
          <x:t xml:space="preserve">Section 508 Captioning guidance</x:t>
        </x:is>
      </x:c>
      <x:c r="B6" s="12" t="inlineStr">
        <x:is>
          <x:t xml:space="preserve">https://www.section508.gov/create/captions-transcripts/</x:t>
        </x:is>
      </x:c>
      <x:c r="C6" s="5" t="n"/>
      <x:c r="D6" s="5" t="n"/>
      <x:c r="E6" s="5" t="n"/>
      <x:c r="F6" s="5" t="n"/>
      <x:c r="G6" s="5" t="n"/>
      <x:c r="H6" s="5" t="n"/>
    </x:row>
    <x:row r="7" ht="58" customHeight="1">
      <x:c r="A7" s="5" t="inlineStr">
        <x:is>
          <x:t xml:space="preserve">Kruger et al. subtitle speed</x:t>
        </x:is>
      </x:c>
      <x:c r="B7" s="12" t="inlineStr">
        <x:is>
          <x:t xml:space="preserve">https://www.cambridge.org/core/journals/applied-psycholinguistics/article/why-subtitle-speed-matters-evidence-from-word-skipping-and-rereading/A7DB0CBF5910353143738CF9C1721317</x:t>
        </x:is>
      </x:c>
      <x:c r="C7" s="5" t="n"/>
      <x:c r="D7" s="5" t="n"/>
      <x:c r="E7" s="5" t="n"/>
      <x:c r="F7" s="5" t="n"/>
      <x:c r="G7" s="5" t="n"/>
      <x:c r="H7" s="5" t="n"/>
    </x:row>
    <x:row r="8" ht="58" customHeight="1">
      <x:c r="A8" s="5" t="inlineStr">
        <x:is>
          <x:t xml:space="preserve">Partial and Synchronized Captioning</x:t>
        </x:is>
      </x:c>
      <x:c r="B8" s="12" t="inlineStr">
        <x:is>
          <x:t xml:space="preserve">https://www.cambridge.org/core/journals/recall/article/partial-and-synchronized-captioning-a-new-tool-to-assist-learners-in-developing-second-language-listening-skill/9394E3F0AD25FD5F32895F965F7ECCAD</x:t>
        </x:is>
      </x:c>
      <x:c r="C8" s="5" t="n"/>
      <x:c r="D8" s="5" t="n"/>
      <x:c r="E8" s="5" t="n"/>
      <x:c r="F8" s="5" t="n"/>
      <x:c r="G8" s="5" t="n"/>
      <x:c r="H8" s="5" t="n"/>
    </x:row>
    <x:row r="9" ht="38" customHeight="1">
      <x:c r="A9" s="5" t="inlineStr">
        <x:is>
          <x:t xml:space="preserve">Signaling meta-analysis</x:t>
        </x:is>
      </x:c>
      <x:c r="B9" s="12" t="inlineStr">
        <x:is>
          <x:t xml:space="preserve">https://www.sciencedirect.com/science/article/abs/pii/S1747938X17300581</x:t>
        </x:is>
      </x:c>
      <x:c r="C9" s="5" t="n"/>
      <x:c r="D9" s="5" t="n"/>
      <x:c r="E9" s="5" t="n"/>
      <x:c r="F9" s="5" t="n"/>
      <x:c r="G9" s="5" t="n"/>
      <x:c r="H9" s="5" t="n"/>
    </x:row>
    <x:row r="10" ht="24" customHeight="1">
      <x:c r="A10" s="5" t="inlineStr">
        <x:is>
          <x:t xml:space="preserve">Meaning maps and attention</x:t>
        </x:is>
      </x:c>
      <x:c r="B10" s="12" t="inlineStr">
        <x:is>
          <x:t xml:space="preserve">https://www.nature.com/articles/s41598-018-31894-5</x:t>
        </x:is>
      </x:c>
      <x:c r="C10" s="5" t="n"/>
      <x:c r="D10" s="5" t="n"/>
      <x:c r="E10" s="5" t="n"/>
      <x:c r="F10" s="5" t="n"/>
      <x:c r="G10" s="5" t="n"/>
      <x:c r="H10" s="5" t="n"/>
    </x:row>
    <x:row r="11" ht="38" customHeight="1">
      <x:c r="A11" s="5" t="inlineStr">
        <x:is>
          <x:t xml:space="preserve">Bionic Reading 2024 Acta Psychologica</x:t>
        </x:is>
      </x:c>
      <x:c r="B11" s="12" t="inlineStr">
        <x:is>
          <x:t xml:space="preserve">https://www.sciencedirect.com/science/article/pii/S0001691824001811</x:t>
        </x:is>
      </x:c>
      <x:c r="C11" s="5" t="n"/>
      <x:c r="D11" s="5" t="n"/>
      <x:c r="E11" s="5" t="n"/>
      <x:c r="F11" s="5" t="n"/>
      <x:c r="G11" s="5" t="n"/>
      <x:c r="H11" s="5" t="n"/>
    </x:row>
    <x:row r="12" ht="38" customHeight="1">
      <x:c r="A12" s="5" t="inlineStr">
        <x:is>
          <x:t xml:space="preserve">Sound-off viewing / subtitles cognitive load</x:t>
        </x:is>
      </x:c>
      <x:c r="B12" s="12" t="inlineStr">
        <x:is>
          <x:t xml:space="preserve">https://journals.plos.org/plosone/article?id=10.1371/journal.pone.0306251</x:t>
        </x:is>
      </x:c>
      <x:c r="C12" s="5" t="n"/>
      <x:c r="D12" s="5" t="n"/>
      <x:c r="E12" s="5" t="n"/>
      <x:c r="F12" s="5" t="n"/>
      <x:c r="G12" s="5" t="n"/>
      <x:c r="H12" s="5" t="n"/>
    </x:row>
    <x:row r="13" ht="38" customHeight="1">
      <x:c r="A13" s="5" t="inlineStr">
        <x:is>
          <x:t xml:space="preserve">Video saliency prediction challenge / AViMoS</x:t>
        </x:is>
      </x:c>
      <x:c r="B13" s="12" t="inlineStr">
        <x:is>
          <x:t xml:space="preserve">https://github.com/msu-video-group/ECCVW24_Saliency_Prediction</x:t>
        </x:is>
      </x:c>
      <x:c r="C13" s="5" t="n"/>
      <x:c r="D13" s="5" t="n"/>
      <x:c r="E13" s="5" t="n"/>
      <x:c r="F13" s="5" t="n"/>
      <x:c r="G13" s="5" t="n"/>
      <x:c r="H13" s="5" t="n"/>
    </x:row>
    <x:row r="14" ht="24" customHeight="1">
      <x:c r="A14" s="5" t="inlineStr">
        <x:is>
          <x:t xml:space="preserve">Kinetic typography review</x:t>
        </x:is>
      </x:c>
      <x:c r="B14" s="12" t="inlineStr">
        <x:is>
          <x:t xml:space="preserve">https://www.nature.com/articles/s41599-023-01646-6</x:t>
        </x:is>
      </x:c>
      <x:c r="C14" s="5" t="n"/>
      <x:c r="D14" s="5" t="n"/>
      <x:c r="E14" s="5" t="n"/>
      <x:c r="F14" s="5" t="n"/>
      <x:c r="G14" s="5" t="n"/>
      <x:c r="H14" s="5" t="n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6d92e64dfce14a25"/>
  </x:tableParts>
</x:worksheet>
</file>