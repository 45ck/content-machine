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comments1.xml" ContentType="application/vnd.openxmlformats-officedocument.spreadsheetml.comments+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13a6c782b26424a" /></Relationships>
</file>

<file path=xl/workbook.xml><?xml version="1.0" encoding="utf-8"?>
<x:workbook xmlns:x="http://schemas.openxmlformats.org/spreadsheetml/2006/main">
  <x:sheets>
    <x:sheet xmlns:r="http://schemas.openxmlformats.org/officeDocument/2006/relationships" name="Proceed Plan" sheetId="1" r:id="R3896d463654743e9"/>
    <x:sheet xmlns:r="http://schemas.openxmlformats.org/officeDocument/2006/relationships" name="Overview" sheetId="2" r:id="Rb4cbce37d35b457d"/>
    <x:sheet xmlns:r="http://schemas.openxmlformats.org/officeDocument/2006/relationships" name="Evidence Map" sheetId="3" r:id="Rf9d0caac8e44496d"/>
    <x:sheet xmlns:r="http://schemas.openxmlformats.org/officeDocument/2006/relationships" name="Method Taxonomy" sheetId="4" r:id="Rad9c37312e564e54"/>
    <x:sheet xmlns:r="http://schemas.openxmlformats.org/officeDocument/2006/relationships" name="Hypotheses" sheetId="5" r:id="R51767229b5bb464a"/>
    <x:sheet xmlns:r="http://schemas.openxmlformats.org/officeDocument/2006/relationships" name="Experiment Design" sheetId="6" r:id="Rec93565ca1c741fa"/>
    <x:sheet xmlns:r="http://schemas.openxmlformats.org/officeDocument/2006/relationships" name="Pilot Pack" sheetId="7" r:id="R0a8798f5286a4f4f"/>
    <x:sheet xmlns:r="http://schemas.openxmlformats.org/officeDocument/2006/relationships" name="Production Workflow" sheetId="8" r:id="Rdd44208e79474eb5"/>
    <x:sheet xmlns:r="http://schemas.openxmlformats.org/officeDocument/2006/relationships" name="BCC+ Scoring" sheetId="9" r:id="R968fa94dea3b49b0"/>
    <x:sheet xmlns:r="http://schemas.openxmlformats.org/officeDocument/2006/relationships" name="Data Dictionary" sheetId="10" r:id="R7406c022ba1b4256"/>
    <x:sheet xmlns:r="http://schemas.openxmlformats.org/officeDocument/2006/relationships" name="Decisions &amp; Risks" sheetId="11" r:id="Rbf0ecdd5bf044893"/>
    <x:sheet xmlns:r="http://schemas.openxmlformats.org/officeDocument/2006/relationships" name="Sources" sheetId="12" r:id="R292dc9c948914e29"/>
    <x:sheet xmlns:r="http://schemas.openxmlformats.org/officeDocument/2006/relationships" name="Research Backlog" sheetId="13" r:id="R11b6cbff71564e13"/>
    <x:sheet xmlns:r="http://schemas.openxmlformats.org/officeDocument/2006/relationships" name="Pilot Protocol" sheetId="14" r:id="Rc018c96913644f6e"/>
    <x:sheet xmlns:r="http://schemas.openxmlformats.org/officeDocument/2006/relationships" name="Stimulus Scripts" sheetId="15" r:id="R572d2e0be635433d"/>
    <x:sheet xmlns:r="http://schemas.openxmlformats.org/officeDocument/2006/relationships" name="Overlay Variant Builder" sheetId="16" r:id="Rd375e2384b624a55"/>
    <x:sheet xmlns:r="http://schemas.openxmlformats.org/officeDocument/2006/relationships" name="Trial Randomization" sheetId="17" r:id="R85358790f5c446de"/>
    <x:sheet xmlns:r="http://schemas.openxmlformats.org/officeDocument/2006/relationships" name="Participant Survey" sheetId="18" r:id="R4889f1311b6c417a"/>
    <x:sheet xmlns:r="http://schemas.openxmlformats.org/officeDocument/2006/relationships" name="Data Entry Template" sheetId="19" r:id="Ra0eca08c78bd454f"/>
    <x:sheet xmlns:r="http://schemas.openxmlformats.org/officeDocument/2006/relationships" name="Summary Dashboard" sheetId="20" r:id="Rae7a8df24cce4efd"/>
    <x:sheet xmlns:r="http://schemas.openxmlformats.org/officeDocument/2006/relationships" name="Analysis Plan" sheetId="21" r:id="Ra2b6de703d0a416c"/>
    <x:sheet xmlns:r="http://schemas.openxmlformats.org/officeDocument/2006/relationships" name="Platform AB Tracker" sheetId="22" r:id="R4dcf32ea62a9499a"/>
    <x:sheet xmlns:r="http://schemas.openxmlformats.org/officeDocument/2006/relationships" name="BCC+ Rubric Use" sheetId="23" r:id="R91d70c37eb15439f"/>
    <x:sheet xmlns:r="http://schemas.openxmlformats.org/officeDocument/2006/relationships" name="Automation Spec" sheetId="24" r:id="R4e98db8cc79f4a5c"/>
  </x:sheets>
</x:workbook>
</file>

<file path=xl/comments1.xml><?xml version="1.0" encoding="utf-8"?>
<x:comments xmlns:x="http://schemas.openxmlformats.org/spreadsheetml/2006/main">
  <x:authors>
    <x:author>OpenAI</x:author>
  </x:authors>
  <x:commentList>
    <x:comment ref="E16" authorId="0">
      <x:text>
        <x:r>
          <x:t>Derived formula: total weighted score = SUM(E5:E14).</x:t>
        </x:r>
      </x:text>
    </x:comment>
    <x:comment ref="E17" authorId="0">
      <x:text>
        <x:r>
          <x:t>Derived formula: weighted average = total weighted score divided by total weight.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00"/>
    <x:numFmt numFmtId="166" formatCode="0.0"/>
  </x:numFmts>
  <x:fonts count="9">
    <x:font>
      <x:sz val="11"/>
      <x:color theme="1"/>
      <x:name val="Calibri"/>
      <x:family val="2"/>
      <x:scheme val="minor"/>
    </x:font>
    <x:font>
      <x:b/>
      <x:sz val="16"/>
      <x:color rgb="00FFFFFF"/>
    </x:font>
    <x:font>
      <x:i/>
      <x:color rgb="00666666"/>
    </x:font>
    <x:font>
      <x:b/>
      <x:color rgb="00FFFFFF"/>
    </x:font>
    <x:font>
      <x:color rgb="00006100"/>
    </x:font>
    <x:font>
      <x:b/>
    </x:font>
    <x:font>
      <x:b/>
      <x:sz val="14"/>
      <x:color rgb="00FFFFFF"/>
    </x:font>
    <x:font>
      <x:b/>
      <x:color rgb="00000000"/>
    </x:font>
    <x:font>
      <x:color rgb="00000000"/>
    </x:font>
  </x:fonts>
  <x:fills count="13">
    <x:fill>
      <x:patternFill patternType="none"/>
    </x:fill>
    <x:fill>
      <x:patternFill patternType="gray125"/>
    </x:fill>
    <x:fill>
      <x:patternFill patternType="solid">
        <x:fgColor rgb="001F4E78"/>
      </x:patternFill>
    </x:fill>
    <x:fill>
      <x:patternFill patternType="solid">
        <x:fgColor rgb="00FFFFFF"/>
      </x:patternFill>
    </x:fill>
    <x:fill>
      <x:patternFill patternType="solid">
        <x:fgColor rgb="00E7E6E6"/>
      </x:patternFill>
    </x:fill>
    <x:fill>
      <x:patternFill patternType="solid">
        <x:fgColor rgb="007030A0"/>
      </x:patternFill>
    </x:fill>
    <x:fill>
      <x:patternFill patternType="solid">
        <x:fgColor rgb="00C65911"/>
      </x:patternFill>
    </x:fill>
    <x:fill>
      <x:patternFill patternType="solid">
        <x:fgColor rgb="00E2F0D9"/>
      </x:patternFill>
    </x:fill>
    <x:fill>
      <x:patternFill patternType="solid">
        <x:fgColor rgb="00E4DFEC"/>
      </x:patternFill>
    </x:fill>
    <x:fill>
      <x:patternFill patternType="solid">
        <x:fgColor rgb="00DDEBF7"/>
      </x:patternFill>
    </x:fill>
    <x:fill>
      <x:patternFill patternType="solid">
        <x:fgColor rgb="00FCE4D6"/>
      </x:patternFill>
    </x:fill>
    <x:fill>
      <x:patternFill patternType="solid">
        <x:fgColor rgb="00548235"/>
      </x:patternFill>
    </x:fill>
    <x:fill>
      <x:patternFill patternType="solid">
        <x:fgColor rgb="00FFF2CC"/>
      </x:patternFill>
    </x:fill>
  </x:fills>
  <x:borders count="4">
    <x:border>
      <x:left/>
      <x:right/>
      <x:top/>
      <x:bottom/>
      <x:diagonal/>
    </x:border>
    <x:border>
      <x:bottom style="thin">
        <x:color rgb="00D9D9D9"/>
      </x:bottom>
    </x:border>
    <x:border>
      <x:bottom style="medium">
        <x:color rgb="001F4E78"/>
      </x:bottom>
    </x:border>
    <x:border>
      <x:bottom style="thin">
        <x:color rgb="00D9E2F3"/>
      </x:bottom>
    </x:border>
  </x:borders>
  <x:cellStyleXfs count="1">
    <x:xf numFmtId="0" fontId="0" fillId="0" borderId="0"/>
  </x:cellStyleXfs>
  <x:cellXfs count="40">
    <x:xf numFmtId="0" fontId="0" fillId="0" borderId="0" xfId="0"/>
    <x:xf numFmtId="0" fontId="1" fillId="2" borderId="0" xfId="0" applyAlignment="1">
      <x:alignment vertical="top" wrapText="1"/>
    </x:xf>
    <x:xf numFmtId="0" fontId="0" fillId="0" borderId="0" xfId="0" applyAlignment="1">
      <x:alignment vertical="top" wrapText="1"/>
    </x:xf>
    <x:xf numFmtId="0" fontId="2" fillId="0" borderId="0" xfId="0" applyAlignment="1">
      <x:alignment vertical="top" wrapText="1"/>
    </x:xf>
    <x:xf numFmtId="0" fontId="3" fillId="2"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3" fillId="5" borderId="0" xfId="0" applyAlignment="1">
      <x:alignment vertical="top" wrapText="1"/>
    </x:xf>
    <x:xf numFmtId="0" fontId="3" fillId="6" borderId="0" xfId="0" applyAlignment="1">
      <x:alignment vertical="top" wrapText="1"/>
    </x:xf>
    <x:xf numFmtId="0" fontId="4" fillId="7" borderId="1" xfId="0" applyAlignment="1">
      <x:alignment vertical="top" wrapText="1"/>
    </x:xf>
    <x:xf numFmtId="0" fontId="0" fillId="8" borderId="1" xfId="0" applyAlignment="1">
      <x:alignment vertical="top" wrapText="1"/>
    </x:xf>
    <x:xf numFmtId="0" fontId="0" fillId="9" borderId="1" xfId="0" applyAlignment="1">
      <x:alignment vertical="top" wrapText="1"/>
    </x:xf>
    <x:xf numFmtId="0" fontId="5" fillId="0" borderId="0" xfId="0" applyAlignment="1">
      <x:alignment vertical="top" wrapText="1"/>
    </x:xf>
    <x:xf numFmtId="0" fontId="0" fillId="10" borderId="1" xfId="0" applyAlignment="1">
      <x:alignment vertical="top" wrapText="1"/>
    </x:xf>
    <x:xf numFmtId="0" fontId="6" fillId="2" borderId="0" xfId="0" applyAlignment="1">
      <x:alignment vertical="center"/>
    </x:xf>
    <x:xf numFmtId="0" fontId="3" fillId="2" borderId="2" xfId="0" applyAlignment="1">
      <x:alignment vertical="center" wrapText="1"/>
    </x:xf>
    <x:xf numFmtId="0" fontId="0" fillId="3" borderId="3" xfId="0" applyAlignment="1">
      <x:alignment vertical="top" wrapText="1"/>
    </x:xf>
    <x:xf numFmtId="0" fontId="0" fillId="4" borderId="3" xfId="0" applyAlignment="1">
      <x:alignment vertical="top" wrapText="1"/>
    </x:xf>
    <x:xf numFmtId="0" fontId="4" fillId="7" borderId="3" xfId="0" applyAlignment="1">
      <x:alignment vertical="top" wrapText="1"/>
    </x:xf>
    <x:xf numFmtId="0" fontId="0" fillId="0" borderId="3" xfId="0" applyAlignment="1">
      <x:alignment vertical="top" wrapText="1"/>
    </x:xf>
    <x:xf numFmtId="0" fontId="3" fillId="11" borderId="0" xfId="0" applyAlignment="1">
      <x:alignment vertical="top" wrapText="1"/>
    </x:xf>
    <x:xf numFmtId="0" fontId="0" fillId="3" borderId="3" xfId="0" applyAlignment="1">
      <x:alignment horizontal="center" vertical="top" wrapText="1"/>
    </x:xf>
    <x:xf numFmtId="164" fontId="8" fillId="3" borderId="3" xfId="0" applyAlignment="1">
      <x:alignment horizontal="center" vertical="top" wrapText="1"/>
    </x:xf>
    <x:xf numFmtId="165" fontId="8" fillId="3" borderId="3" xfId="0" applyAlignment="1">
      <x:alignment horizontal="center" vertical="top" wrapText="1"/>
    </x:xf>
    <x:xf numFmtId="0" fontId="0" fillId="4" borderId="3" xfId="0" applyAlignment="1">
      <x:alignment horizontal="center" vertical="top" wrapText="1"/>
    </x:xf>
    <x:xf numFmtId="164" fontId="8" fillId="4" borderId="3" xfId="0" applyAlignment="1">
      <x:alignment horizontal="center" vertical="top" wrapText="1"/>
    </x:xf>
    <x:xf numFmtId="165" fontId="8" fillId="4" borderId="3" xfId="0" applyAlignment="1">
      <x:alignment horizontal="center" vertical="top" wrapText="1"/>
    </x:xf>
    <x:xf numFmtId="164" fontId="8" fillId="3" borderId="3" xfId="0" applyAlignment="1">
      <x:alignment vertical="top" wrapText="1"/>
    </x:xf>
    <x:xf numFmtId="165" fontId="8" fillId="3" borderId="3" xfId="0" applyAlignment="1">
      <x:alignment vertical="top" wrapText="1"/>
    </x:xf>
    <x:xf numFmtId="166" fontId="8" fillId="3" borderId="3" xfId="0" applyAlignment="1">
      <x:alignment vertical="top" wrapText="1"/>
    </x:xf>
    <x:xf numFmtId="164" fontId="0" fillId="3" borderId="3" xfId="0" applyAlignment="1">
      <x:alignment vertical="top" wrapText="1"/>
    </x:xf>
    <x:xf numFmtId="164" fontId="8" fillId="4" borderId="3" xfId="0" applyAlignment="1">
      <x:alignment vertical="top" wrapText="1"/>
    </x:xf>
    <x:xf numFmtId="165" fontId="8" fillId="4" borderId="3" xfId="0" applyAlignment="1">
      <x:alignment vertical="top" wrapText="1"/>
    </x:xf>
    <x:xf numFmtId="166" fontId="8" fillId="4" borderId="3" xfId="0" applyAlignment="1">
      <x:alignment vertical="top" wrapText="1"/>
    </x:xf>
    <x:xf numFmtId="164" fontId="0" fillId="4" borderId="3" xfId="0" applyAlignment="1">
      <x:alignment vertical="top" wrapText="1"/>
    </x:xf>
    <x:xf numFmtId="0" fontId="7" fillId="12" borderId="0" xfId="0"/>
    <x:xf numFmtId="0" fontId="8" fillId="4" borderId="3" xfId="0" applyAlignment="1">
      <x:alignment vertical="top" wrapText="1"/>
    </x:xf>
    <x:xf numFmtId="0" fontId="8" fillId="3" borderId="3" xfId="0" applyAlignment="1">
      <x:alignment vertical="top" wrapText="1"/>
    </x:xf>
    <x:xf numFmtId="1" fontId="8" fillId="3" borderId="3" xfId="0" applyAlignment="1">
      <x:alignment vertical="top" wrapText="1"/>
    </x:xf>
    <x:xf numFmtId="1" fontId="8" fillId="4" borderId="3" xfId="0" applyAlignment="1">
      <x:alignment vertical="top" wrapText="1"/>
    </x:xf>
  </x:cellXfs>
  <x:cellStyles count="1">
    <x:cellStyle name="Normal" xfId="0"/>
  </x:cellStyles>
  <x:dxfs count="2">
    <x:dxf>
      <x:fill>
        <x:patternFill>
          <x:bgColor rgb="00F4CCCC"/>
        </x:patternFill>
      </x:fill>
    </x:dxf>
    <x:dxf>
      <x:fill>
        <x:patternFill>
          <x:bgColor rgb="00C6EF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a3b82a6ae7345a5" /><Relationship Type="http://schemas.openxmlformats.org/officeDocument/2006/relationships/theme" Target="/xl/theme/theme1.xml" Id="R105eb5485ee742b1" /><Relationship Type="http://schemas.openxmlformats.org/officeDocument/2006/relationships/sharedStrings" Target="/xl/sharedStrings.xml" Id="Rc99c0b1475f74231" /><Relationship Type="http://schemas.openxmlformats.org/officeDocument/2006/relationships/worksheet" Target="/xl/worksheets/sheet1.xml" Id="R3896d463654743e9" /><Relationship Type="http://schemas.openxmlformats.org/officeDocument/2006/relationships/worksheet" Target="/xl/worksheets/sheet2.xml" Id="Rb4cbce37d35b457d" /><Relationship Type="http://schemas.openxmlformats.org/officeDocument/2006/relationships/worksheet" Target="/xl/worksheets/sheet3.xml" Id="Rf9d0caac8e44496d" /><Relationship Type="http://schemas.openxmlformats.org/officeDocument/2006/relationships/worksheet" Target="/xl/worksheets/sheet4.xml" Id="Rad9c37312e564e54" /><Relationship Type="http://schemas.openxmlformats.org/officeDocument/2006/relationships/worksheet" Target="/xl/worksheets/sheet5.xml" Id="R51767229b5bb464a" /><Relationship Type="http://schemas.openxmlformats.org/officeDocument/2006/relationships/worksheet" Target="/xl/worksheets/sheet6.xml" Id="Rec93565ca1c741fa" /><Relationship Type="http://schemas.openxmlformats.org/officeDocument/2006/relationships/worksheet" Target="/xl/worksheets/sheet7.xml" Id="R0a8798f5286a4f4f" /><Relationship Type="http://schemas.openxmlformats.org/officeDocument/2006/relationships/worksheet" Target="/xl/worksheets/sheet8.xml" Id="Rdd44208e79474eb5" /><Relationship Type="http://schemas.openxmlformats.org/officeDocument/2006/relationships/worksheet" Target="/xl/worksheets/sheet9.xml" Id="R968fa94dea3b49b0" /><Relationship Type="http://schemas.openxmlformats.org/officeDocument/2006/relationships/worksheet" Target="/xl/worksheets/sheet10.xml" Id="R7406c022ba1b4256" /><Relationship Type="http://schemas.openxmlformats.org/officeDocument/2006/relationships/worksheet" Target="/xl/worksheets/sheet11.xml" Id="Rbf0ecdd5bf044893" /><Relationship Type="http://schemas.openxmlformats.org/officeDocument/2006/relationships/worksheet" Target="/xl/worksheets/sheet12.xml" Id="R292dc9c948914e29" /><Relationship Type="http://schemas.openxmlformats.org/officeDocument/2006/relationships/worksheet" Target="/xl/worksheets/sheet13.xml" Id="R11b6cbff71564e13" /><Relationship Type="http://schemas.openxmlformats.org/officeDocument/2006/relationships/worksheet" Target="/xl/worksheets/sheet14.xml" Id="Rc018c96913644f6e" /><Relationship Type="http://schemas.openxmlformats.org/officeDocument/2006/relationships/worksheet" Target="/xl/worksheets/sheet15.xml" Id="R572d2e0be635433d" /><Relationship Type="http://schemas.openxmlformats.org/officeDocument/2006/relationships/worksheet" Target="/xl/worksheets/sheet16.xml" Id="Rd375e2384b624a55" /><Relationship Type="http://schemas.openxmlformats.org/officeDocument/2006/relationships/worksheet" Target="/xl/worksheets/sheet17.xml" Id="R85358790f5c446de" /><Relationship Type="http://schemas.openxmlformats.org/officeDocument/2006/relationships/worksheet" Target="/xl/worksheets/sheet18.xml" Id="R4889f1311b6c417a" /><Relationship Type="http://schemas.openxmlformats.org/officeDocument/2006/relationships/worksheet" Target="/xl/worksheets/sheet19.xml" Id="Ra0eca08c78bd454f" /><Relationship Type="http://schemas.openxmlformats.org/officeDocument/2006/relationships/worksheet" Target="/xl/worksheets/sheet20.xml" Id="Rae7a8df24cce4efd" /><Relationship Type="http://schemas.openxmlformats.org/officeDocument/2006/relationships/worksheet" Target="/xl/worksheets/sheet21.xml" Id="Ra2b6de703d0a416c" /><Relationship Type="http://schemas.openxmlformats.org/officeDocument/2006/relationships/worksheet" Target="/xl/worksheets/sheet22.xml" Id="R4dcf32ea62a9499a" /><Relationship Type="http://schemas.openxmlformats.org/officeDocument/2006/relationships/worksheet" Target="/xl/worksheets/sheet23.xml" Id="R91d70c37eb15439f" /><Relationship Type="http://schemas.openxmlformats.org/officeDocument/2006/relationships/worksheet" Target="/xl/worksheets/sheet24.xml" Id="R4e98db8cc79f4a5c" /><Relationship Type="http://schemas.microsoft.com/office/2017/10/relationships/person" Target="/xl/persons/person.xml" Id="R30f94839c6e94583" /></Relationships>
</file>

<file path=xl/persons/person.xml><?xml version="1.0" encoding="utf-8"?>
<xltc:personList xmlns:xltc="http://schemas.microsoft.com/office/spreadsheetml/2018/threadedcomments">
  <xltc:person displayName="OpenAI" id="{3A960467-4FBB-00F3-42CF-570EBA4840CA}"/>
</xltc:personList>
</file>

<file path=xl/tables/table1.xml><?xml version="1.0" encoding="utf-8"?>
<x:table xmlns:x="http://schemas.openxmlformats.org/spreadsheetml/2006/main" id="1" name="OverviewTable" displayName="OverviewTable" ref="A4:C11" headerRowCount="1">
  <x:autoFilter ref="A4:C11"/>
  <x:tableColumns count="3">
    <x:tableColumn id="1" name="Level"/>
    <x:tableColumn id="2" name="Name"/>
    <x:tableColumn id="3" name="Definition / use"/>
  </x:tableColumns>
  <x:tableStyleInfo name="TableStyleMedium2" showRowStripes="1"/>
</x:table>
</file>

<file path=xl/tables/table2.xml><?xml version="1.0" encoding="utf-8"?>
<x:table xmlns:x="http://schemas.openxmlformats.org/spreadsheetml/2006/main" id="2" name="EvidenceTable" displayName="EvidenceTable" ref="A4:E24" headerRowCount="1">
  <x:autoFilter ref="A4:E24"/>
  <x:tableColumns count="5">
    <x:tableColumn id="1" name="Mechanism"/>
    <x:tableColumn id="2" name="Finding"/>
    <x:tableColumn id="3" name="Evidence strength"/>
    <x:tableColumn id="4" name="Design implication"/>
    <x:tableColumn id="5" name="Primary source"/>
  </x:tableColumns>
  <x:tableStyleInfo name="TableStyleMedium2" showRowStripes="1"/>
</x:table>
</file>

<file path=xl/tables/table3.xml><?xml version="1.0" encoding="utf-8"?>
<x:table xmlns:x="http://schemas.openxmlformats.org/spreadsheetml/2006/main" id="3" name="MethodTaxonomyTable" displayName="MethodTaxonomyTable" ref="A4:E19" headerRowCount="1">
  <x:autoFilter ref="A4:E19"/>
  <x:tableColumns count="5">
    <x:tableColumn id="1" name="Method"/>
    <x:tableColumn id="2" name="Status"/>
    <x:tableColumn id="3" name="Definition"/>
    <x:tableColumn id="4" name="Primary goal"/>
    <x:tableColumn id="5" name="Best use"/>
  </x:tableColumns>
  <x:tableStyleInfo name="TableStyleMedium2" showRowStripes="1"/>
</x:table>
</file>

<file path=xl/tables/table4.xml><?xml version="1.0" encoding="utf-8"?>
<x:table xmlns:x="http://schemas.openxmlformats.org/spreadsheetml/2006/main" id="4" name="HypothesisTable" displayName="HypothesisTable" ref="A4:F14" headerRowCount="1">
  <x:autoFilter ref="A4:F14"/>
  <x:tableColumns count="6">
    <x:tableColumn id="1" name="ID"/>
    <x:tableColumn id="2" name="Priority"/>
    <x:tableColumn id="3" name="Hypothesis"/>
    <x:tableColumn id="4" name="Independent variable"/>
    <x:tableColumn id="5" name="Primary measures"/>
    <x:tableColumn id="6" name="Expected result"/>
  </x:tableColumns>
  <x:tableStyleInfo name="TableStyleMedium2" showRowStripes="1"/>
</x:table>
</file>

<file path=xl/tables/table5.xml><?xml version="1.0" encoding="utf-8"?>
<x:table xmlns:x="http://schemas.openxmlformats.org/spreadsheetml/2006/main" id="5" name="ExperimentConditions" displayName="ExperimentConditions" ref="A4:D13" headerRowCount="1">
  <x:autoFilter ref="A4:D13"/>
  <x:tableColumns count="4">
    <x:tableColumn id="1" name="Variant"/>
    <x:tableColumn id="2" name="Condition"/>
    <x:tableColumn id="3" name="Treatment"/>
    <x:tableColumn id="4" name="Purpose"/>
  </x:tableColumns>
  <x:tableStyleInfo name="TableStyleMedium2" showRowStripes="1"/>
</x:table>
</file>

<file path=xl/tables/table6.xml><?xml version="1.0" encoding="utf-8"?>
<x:table xmlns:x="http://schemas.openxmlformats.org/spreadsheetml/2006/main" id="6" name="ExperimentMeasures" displayName="ExperimentMeasures" ref="A17:D28" headerRowCount="1">
  <x:autoFilter ref="A17:D28"/>
  <x:tableColumns count="4">
    <x:tableColumn id="1" name="Measure"/>
    <x:tableColumn id="2" name="Prompt / computation"/>
    <x:tableColumn id="3" name="Scale"/>
    <x:tableColumn id="4" name="Purpose"/>
  </x:tableColumns>
  <x:tableStyleInfo name="TableStyleMedium2" showRowStripes="1"/>
</x:table>
</file>

<file path=xl/tables/table7.xml><?xml version="1.0" encoding="utf-8"?>
<x:table xmlns:x="http://schemas.openxmlformats.org/spreadsheetml/2006/main" id="7" name="PilotPackTable" displayName="PilotPackTable" ref="A4:C11" headerRowCount="1">
  <x:autoFilter ref="A4:C11"/>
  <x:tableColumns count="3">
    <x:tableColumn id="1" name="Item"/>
    <x:tableColumn id="2" name="Text"/>
    <x:tableColumn id="3" name="Notes"/>
  </x:tableColumns>
  <x:tableStyleInfo name="TableStyleMedium2" showRowStripes="1"/>
</x:table>
</file>

<file path=xl/tables/table8.xml><?xml version="1.0" encoding="utf-8"?>
<x:table xmlns:x="http://schemas.openxmlformats.org/spreadsheetml/2006/main" id="8" name="WorkflowTable" displayName="WorkflowTable" ref="A4:D16" headerRowCount="1">
  <x:autoFilter ref="A4:D16"/>
  <x:tableColumns count="4">
    <x:tableColumn id="1" name="Step"/>
    <x:tableColumn id="2" name="Name"/>
    <x:tableColumn id="3" name="Action"/>
    <x:tableColumn id="4" name="Rule"/>
  </x:tableColumns>
  <x:tableStyleInfo name="TableStyleMedium2" showRowStripes="1"/>
</x:table>
</file>

<file path=xl/tables/table9.xml><?xml version="1.0" encoding="utf-8"?>
<x:table xmlns:x="http://schemas.openxmlformats.org/spreadsheetml/2006/main" id="9" name="ScoringRubric" displayName="ScoringRubric" ref="A4:F14" headerRowCount="1">
  <x:autoFilter ref="A4:F14"/>
  <x:tableColumns count="6">
    <x:tableColumn id="1" name="Dimension"/>
    <x:tableColumn id="2" name="Question"/>
    <x:tableColumn id="3" name="Score input (1-5)"/>
    <x:tableColumn id="4" name="Weight"/>
    <x:tableColumn id="5" name="Weighted score"/>
    <x:tableColumn id="6" name="Failure threshold"/>
  </x:tableColumns>
  <x:tableStyleInfo name="TableStyleMedium2" showRowStripes="1"/>
</x:table>
</file>

<file path=xl/tables/table10.xml><?xml version="1.0" encoding="utf-8"?>
<x:table xmlns:x="http://schemas.openxmlformats.org/spreadsheetml/2006/main" id="10" name="DataDictionary" displayName="DataDictionary" ref="A4:D24" headerRowCount="1">
  <x:autoFilter ref="A4:D24"/>
  <x:tableColumns count="4">
    <x:tableColumn id="1" name="Column"/>
    <x:tableColumn id="2" name="Type"/>
    <x:tableColumn id="3" name="Definition"/>
    <x:tableColumn id="4" name="Notes"/>
  </x:tableColumns>
  <x:tableStyleInfo name="TableStyleMedium2" showRowStripes="1"/>
</x:table>
</file>

<file path=xl/tables/table11.xml><?xml version="1.0" encoding="utf-8"?>
<x:table xmlns:x="http://schemas.openxmlformats.org/spreadsheetml/2006/main" id="11" name="RiskTable" displayName="RiskTable" ref="A4:D13" headerRowCount="1">
  <x:autoFilter ref="A4:D13"/>
  <x:tableColumns count="4">
    <x:tableColumn id="1" name="Risk type"/>
    <x:tableColumn id="2" name="Risk"/>
    <x:tableColumn id="3" name="Severity"/>
    <x:tableColumn id="4" name="Mitigation"/>
  </x:tableColumns>
  <x:tableStyleInfo name="TableStyleMedium2" showRowStripes="1"/>
</x:table>
</file>

<file path=xl/tables/table12.xml><?xml version="1.0" encoding="utf-8"?>
<x:table xmlns:x="http://schemas.openxmlformats.org/spreadsheetml/2006/main" id="12" name="UnknownsTable" displayName="UnknownsTable" ref="A16:C22" headerRowCount="1">
  <x:autoFilter ref="A16:C22"/>
  <x:tableColumns count="3">
    <x:tableColumn id="1" name="Unknown ID"/>
    <x:tableColumn id="2" name="What remains unknown"/>
    <x:tableColumn id="3" name="Next research action"/>
  </x:tableColumns>
  <x:tableStyleInfo name="TableStyleMedium2" showRowStripes="1"/>
</x:table>
</file>

<file path=xl/tables/table13.xml><?xml version="1.0" encoding="utf-8"?>
<x:table xmlns:x="http://schemas.openxmlformats.org/spreadsheetml/2006/main" id="13" name="SourcesTable" displayName="SourcesTable" ref="A4:C30" headerRowCount="1">
  <x:autoFilter ref="A4:C30"/>
  <x:tableColumns count="3">
    <x:tableColumn id="1" name="Source name"/>
    <x:tableColumn id="2" name="Use in workbook"/>
    <x:tableColumn id="3" name="Plain UR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77fe44f7a64b2b" /></Relationships>
</file>

<file path=xl/worksheets/_rels/sheet3.xml.rels>&#65279;<?xml version="1.0" encoding="utf-8"?><Relationships xmlns="http://schemas.openxmlformats.org/package/2006/relationships"><Relationship Type="http://schemas.openxmlformats.org/officeDocument/2006/relationships/table" Target="/xl/tables/table2.xml" Id="Rb4c4bafc6f304d60" /></Relationships>
</file>

<file path=xl/worksheets/_rels/sheet4.xml.rels>&#65279;<?xml version="1.0" encoding="utf-8"?><Relationships xmlns="http://schemas.openxmlformats.org/package/2006/relationships"><Relationship Type="http://schemas.openxmlformats.org/officeDocument/2006/relationships/table" Target="/xl/tables/table3.xml" Id="R3ebab4c08e6745f5" /></Relationships>
</file>

<file path=xl/worksheets/_rels/sheet5.xml.rels>&#65279;<?xml version="1.0" encoding="utf-8"?><Relationships xmlns="http://schemas.openxmlformats.org/package/2006/relationships"><Relationship Type="http://schemas.openxmlformats.org/officeDocument/2006/relationships/table" Target="/xl/tables/table4.xml" Id="Rf09c149c05644d69" /></Relationships>
</file>

<file path=xl/worksheets/_rels/sheet6.xml.rels>&#65279;<?xml version="1.0" encoding="utf-8"?><Relationships xmlns="http://schemas.openxmlformats.org/package/2006/relationships"><Relationship Type="http://schemas.openxmlformats.org/officeDocument/2006/relationships/table" Target="/xl/tables/table5.xml" Id="Rd6fa132864a94e5f" /><Relationship Type="http://schemas.openxmlformats.org/officeDocument/2006/relationships/table" Target="/xl/tables/table6.xml" Id="R88dba291477f433e" /></Relationships>
</file>

<file path=xl/worksheets/_rels/sheet7.xml.rels>&#65279;<?xml version="1.0" encoding="utf-8"?><Relationships xmlns="http://schemas.openxmlformats.org/package/2006/relationships"><Relationship Type="http://schemas.openxmlformats.org/officeDocument/2006/relationships/table" Target="/xl/tables/table7.xml" Id="Rd52491fab4db41ba" /></Relationships>
</file>

<file path=xl/worksheets/_rels/sheet8.xml.rels>&#65279;<?xml version="1.0" encoding="utf-8"?><Relationships xmlns="http://schemas.openxmlformats.org/package/2006/relationships"><Relationship Type="http://schemas.openxmlformats.org/officeDocument/2006/relationships/table" Target="/xl/tables/table8.xml" Id="R19b3d5663ee84aba" /></Relationships>
</file>

<file path=xl/worksheets/_rels/sheet9.xml.rels>&#65279;<?xml version="1.0" encoding="utf-8"?><Relationships xmlns="http://schemas.openxmlformats.org/package/2006/relationships"><Relationship Type="http://schemas.openxmlformats.org/officeDocument/2006/relationships/comments" Target="/xl/comments1.xml" Id="Ra0015667671942d9" /><Relationship Type="http://schemas.openxmlformats.org/officeDocument/2006/relationships/vmlDrawing" Target="/xl/drawings/vmldrawing.vml" Id="R8d1de4effe89438c" /><Relationship Type="http://schemas.openxmlformats.org/officeDocument/2006/relationships/table" Target="/xl/tables/table9.xml" Id="Rf48bfdd865944f65" /></Relationships>
</file>

<file path=xl/worksheets/_rels/sheet10.xml.rels>&#65279;<?xml version="1.0" encoding="utf-8"?><Relationships xmlns="http://schemas.openxmlformats.org/package/2006/relationships"><Relationship Type="http://schemas.openxmlformats.org/officeDocument/2006/relationships/table" Target="/xl/tables/table10.xml" Id="R750c22a85f00427c" /></Relationships>
</file>

<file path=xl/worksheets/_rels/sheet11.xml.rels>&#65279;<?xml version="1.0" encoding="utf-8"?><Relationships xmlns="http://schemas.openxmlformats.org/package/2006/relationships"><Relationship Type="http://schemas.openxmlformats.org/officeDocument/2006/relationships/table" Target="/xl/tables/table11.xml" Id="Rf2c025d7091f4de3" /><Relationship Type="http://schemas.openxmlformats.org/officeDocument/2006/relationships/table" Target="/xl/tables/table12.xml" Id="Raa0eefa80cda4065" /></Relationships>
</file>

<file path=xl/worksheets/_rels/sheet12.xml.rels>&#65279;<?xml version="1.0" encoding="utf-8"?><Relationships xmlns="http://schemas.openxmlformats.org/package/2006/relationships"><Relationship Type="http://schemas.openxmlformats.org/officeDocument/2006/relationships/table" Target="/xl/tables/table13.xml" Id="R598680a962f64ed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8" customWidth="1"/>
    <x:col min="2" max="2" width="28" customWidth="1"/>
    <x:col min="3" max="3" width="32" customWidth="1"/>
    <x:col min="4" max="4" width="18" customWidth="1"/>
    <x:col min="5" max="5" width="22" customWidth="1"/>
    <x:col min="6" max="6" width="30" customWidth="1"/>
    <x:col min="7" max="7" width="36" customWidth="1"/>
    <x:col min="8" max="8" width="24" customWidth="1"/>
    <x:col min="9" max="9" width="34" customWidth="1"/>
  </x:cols>
  <x:sheetData>
    <x:row r="1" ht="24" customHeight="1">
      <x:c r="A1" s="14" t="inlineStr">
        <x:is>
          <x:t xml:space="preserve">Proceed Plan — BCC+ Validation Sprint</x:t>
        </x:is>
      </x:c>
    </x:row>
    <x:row r="2" ht="32" customHeight="1">
      <x:c r="A2" s="3" t="inlineStr">
        <x:is>
          <x:t xml:space="preserve">This sheet converts the theory into an executable validation and production plan. Use it as the operating map for the next 2–4 weeks.</x:t>
        </x:is>
      </x:c>
    </x:row>
    <x:row r="4">
      <x:c r="A4" s="15" t="inlineStr">
        <x:is>
          <x:t xml:space="preserve">Phase</x:t>
        </x:is>
      </x:c>
      <x:c r="B4" s="15" t="inlineStr">
        <x:is>
          <x:t xml:space="preserve">Goal</x:t>
        </x:is>
      </x:c>
      <x:c r="C4" s="15" t="inlineStr">
        <x:is>
          <x:t xml:space="preserve">Concrete output</x:t>
        </x:is>
      </x:c>
      <x:c r="D4" s="15" t="inlineStr">
        <x:is>
          <x:t xml:space="preserve">Owner / role</x:t>
        </x:is>
      </x:c>
      <x:c r="E4" s="15" t="inlineStr">
        <x:is>
          <x:t xml:space="preserve">Start trigger</x:t>
        </x:is>
      </x:c>
      <x:c r="F4" s="15" t="inlineStr">
        <x:is>
          <x:t xml:space="preserve">Done when</x:t>
        </x:is>
      </x:c>
      <x:c r="G4" s="15" t="inlineStr">
        <x:is>
          <x:t xml:space="preserve">Decision gate</x:t>
        </x:is>
      </x:c>
      <x:c r="H4" s="15" t="inlineStr">
        <x:is>
          <x:t xml:space="preserve">Risk</x:t>
        </x:is>
      </x:c>
      <x:c r="I4" s="15" t="inlineStr">
        <x:is>
          <x:t xml:space="preserve">Mitigation</x:t>
        </x:is>
      </x:c>
    </x:row>
    <x:row r="5" ht="72" customHeight="1">
      <x:c r="A5" s="16" t="inlineStr">
        <x:is>
          <x:t xml:space="preserve">0. Lock scope</x:t>
        </x:is>
      </x:c>
      <x:c r="B5" s="16" t="inlineStr">
        <x:is>
          <x:t xml:space="preserve">Treat BCC as one candidate, not the whole field.</x:t>
        </x:is>
      </x:c>
      <x:c r="C5" s="16" t="inlineStr">
        <x:is>
          <x:t xml:space="preserve">Named methods + comparison set.</x:t>
        </x:is>
      </x:c>
      <x:c r="D5" s="16" t="inlineStr">
        <x:is>
          <x:t xml:space="preserve">Research lead</x:t>
        </x:is>
      </x:c>
      <x:c r="E5" s="16" t="inlineStr">
        <x:is>
          <x:t xml:space="preserve">Workbook v2 complete</x:t>
        </x:is>
      </x:c>
      <x:c r="F5" s="16" t="inlineStr">
        <x:is>
          <x:t xml:space="preserve">All methods defined and separated.</x:t>
        </x:is>
      </x:c>
      <x:c r="G5" s="16" t="inlineStr">
        <x:is>
          <x:t xml:space="preserve">Do not build automation until BCC beats controls.</x:t>
        </x:is>
      </x:c>
      <x:c r="H5" s="16" t="inlineStr">
        <x:is>
          <x:t xml:space="preserve">Over-investing in bionic styling.</x:t>
        </x:is>
      </x:c>
      <x:c r="I5" s="16" t="inlineStr">
        <x:is>
          <x:t xml:space="preserve">Use compression-only as the main control.</x:t>
        </x:is>
      </x:c>
    </x:row>
    <x:row r="6" ht="72" customHeight="1">
      <x:c r="A6" s="17" t="inlineStr">
        <x:is>
          <x:t xml:space="preserve">1. Stimulus build</x:t>
        </x:is>
      </x:c>
      <x:c r="B6" s="17" t="inlineStr">
        <x:is>
          <x:t xml:space="preserve">Create videos and all text variants.</x:t>
        </x:is>
      </x:c>
      <x:c r="C6" s="17" t="inlineStr">
        <x:is>
          <x:t xml:space="preserve">12 pilot videos × 6 variants.</x:t>
        </x:is>
      </x:c>
      <x:c r="D6" s="17" t="inlineStr">
        <x:is>
          <x:t xml:space="preserve">Creator/editor</x:t>
        </x:is>
      </x:c>
      <x:c r="E6" s="17" t="inlineStr">
        <x:is>
          <x:t xml:space="preserve">Scripts approved</x:t>
        </x:is>
      </x:c>
      <x:c r="F6" s="17" t="inlineStr">
        <x:is>
          <x:t xml:space="preserve">Every variant exported at same length/edit.</x:t>
        </x:is>
      </x:c>
      <x:c r="G6" s="17" t="inlineStr">
        <x:is>
          <x:t xml:space="preserve">Proceed when variants are visually comparable.</x:t>
        </x:is>
      </x:c>
      <x:c r="H6" s="17" t="inlineStr">
        <x:is>
          <x:t xml:space="preserve">Confounded edits.</x:t>
        </x:is>
      </x:c>
      <x:c r="I6" s="17" t="inlineStr">
        <x:is>
          <x:t xml:space="preserve">Only text overlay changes between variants.</x:t>
        </x:is>
      </x:c>
    </x:row>
    <x:row r="7" ht="72" customHeight="1">
      <x:c r="A7" s="16" t="inlineStr">
        <x:is>
          <x:t xml:space="preserve">2. Controlled pilot</x:t>
        </x:is>
      </x:c>
      <x:c r="B7" s="16" t="inlineStr">
        <x:is>
          <x:t xml:space="preserve">Measure comprehension and effort.</x:t>
        </x:is>
      </x:c>
      <x:c r="C7" s="16" t="inlineStr">
        <x:is>
          <x:t xml:space="preserve">30–50 participant pilot.</x:t>
        </x:is>
      </x:c>
      <x:c r="D7" s="16" t="inlineStr">
        <x:is>
          <x:t xml:space="preserve">Research operator</x:t>
        </x:is>
      </x:c>
      <x:c r="E7" s="16" t="inlineStr">
        <x:is>
          <x:t xml:space="preserve">Stimuli exported</x:t>
        </x:is>
      </x:c>
      <x:c r="F7" s="16" t="inlineStr">
        <x:is>
          <x:t xml:space="preserve">Recall/effort data collected.</x:t>
        </x:is>
      </x:c>
      <x:c r="G7" s="16" t="inlineStr">
        <x:is>
          <x:t xml:space="preserve">BCC must beat or equal compression on meaningful metric.</x:t>
        </x:is>
      </x:c>
      <x:c r="H7" s="16" t="inlineStr">
        <x:is>
          <x:t xml:space="preserve">Small sample noise.</x:t>
        </x:is>
      </x:c>
      <x:c r="I7" s="16" t="inlineStr">
        <x:is>
          <x:t xml:space="preserve">Use within-subject balancing and clear decision thresholds.</x:t>
        </x:is>
      </x:c>
    </x:row>
    <x:row r="8" ht="72" customHeight="1">
      <x:c r="A8" s="17" t="inlineStr">
        <x:is>
          <x:t xml:space="preserve">3. Platform pilot</x:t>
        </x:is>
      </x:c>
      <x:c r="B8" s="17" t="inlineStr">
        <x:is>
          <x:t xml:space="preserve">Measure retention in feed context.</x:t>
        </x:is>
      </x:c>
      <x:c r="C8" s="17" t="inlineStr">
        <x:is>
          <x:t xml:space="preserve">A/B tests on TikTok/Reels/Shorts.</x:t>
        </x:is>
      </x:c>
      <x:c r="D8" s="17" t="inlineStr">
        <x:is>
          <x:t xml:space="preserve">Publisher</x:t>
        </x:is>
      </x:c>
      <x:c r="E8" s="17" t="inlineStr">
        <x:is>
          <x:t xml:space="preserve">Controlled pilot selects best variants</x:t>
        </x:is>
      </x:c>
      <x:c r="F8" s="17" t="inlineStr">
        <x:is>
          <x:t xml:space="preserve">Metrics exported after enough views.</x:t>
        </x:is>
      </x:c>
      <x:c r="G8" s="17" t="inlineStr">
        <x:is>
          <x:t xml:space="preserve">Only keep variants that improve retention without clarity failures.</x:t>
        </x:is>
      </x:c>
      <x:c r="H8" s="17" t="inlineStr">
        <x:is>
          <x:t xml:space="preserve">Algorithm noise.</x:t>
        </x:is>
      </x:c>
      <x:c r="I8" s="17" t="inlineStr">
        <x:is>
          <x:t xml:space="preserve">Rotate posting times and content categories.</x:t>
        </x:is>
      </x:c>
    </x:row>
    <x:row r="9" ht="72" customHeight="1">
      <x:c r="A9" s="16" t="inlineStr">
        <x:is>
          <x:t xml:space="preserve">4. Eye/gaze study</x:t>
        </x:is>
      </x:c>
      <x:c r="B9" s="16" t="inlineStr">
        <x:is>
          <x:t xml:space="preserve">Quantify visual interference.</x:t>
        </x:is>
      </x:c>
      <x:c r="C9" s="16" t="inlineStr">
        <x:is>
          <x:t xml:space="preserve">Optional gaze study or webcam gaze pilot.</x:t>
        </x:is>
      </x:c>
      <x:c r="D9" s="16" t="inlineStr">
        <x:is>
          <x:t xml:space="preserve">Research operator</x:t>
        </x:is>
      </x:c>
      <x:c r="E9" s="16" t="inlineStr">
        <x:is>
          <x:t xml:space="preserve">Platform shows signal</x:t>
        </x:is>
      </x:c>
      <x:c r="F9" s="16" t="inlineStr">
        <x:is>
          <x:t xml:space="preserve">Dwell/saccade patterns compared.</x:t>
        </x:is>
      </x:c>
      <x:c r="G9" s="16" t="inlineStr">
        <x:is>
          <x:t xml:space="preserve">BCC+ should preserve face/object dwell better than BCC.</x:t>
        </x:is>
      </x:c>
      <x:c r="H9" s="16" t="inlineStr">
        <x:is>
          <x:t xml:space="preserve">Equipment complexity.</x:t>
        </x:is>
      </x:c>
      <x:c r="I9" s="16" t="inlineStr">
        <x:is>
          <x:t xml:space="preserve">Start with low-cost webcam gaze or manual saliency analysis.</x:t>
        </x:is>
      </x:c>
    </x:row>
    <x:row r="10" ht="72" customHeight="1">
      <x:c r="A10" s="17" t="inlineStr">
        <x:is>
          <x:t xml:space="preserve">5. Tool prototype</x:t>
        </x:is>
      </x:c>
      <x:c r="B10" s="17" t="inlineStr">
        <x:is>
          <x:t xml:space="preserve">Convert manual workflow into generator.</x:t>
        </x:is>
      </x:c>
      <x:c r="C10" s="17" t="inlineStr">
        <x:is>
          <x:t xml:space="preserve">Semantic Overlay Generator spec/prototype.</x:t>
        </x:is>
      </x:c>
      <x:c r="D10" s="17" t="inlineStr">
        <x:is>
          <x:t xml:space="preserve">Engineer</x:t>
        </x:is>
      </x:c>
      <x:c r="E10" s="17" t="inlineStr">
        <x:is>
          <x:t xml:space="preserve">Validated decision gates passed</x:t>
        </x:is>
      </x:c>
      <x:c r="F10" s="17" t="inlineStr">
        <x:is>
          <x:t xml:space="preserve">Prototype generates variants + scoring.</x:t>
        </x:is>
      </x:c>
      <x:c r="G10" s="17" t="inlineStr">
        <x:is>
          <x:t xml:space="preserve">Build only features that survived tests.</x:t>
        </x:is>
      </x:c>
      <x:c r="H10" s="17" t="inlineStr">
        <x:is>
          <x:t xml:space="preserve">Feature creep.</x:t>
        </x:is>
      </x:c>
      <x:c r="I10" s="17" t="inlineStr">
        <x:is>
          <x:t xml:space="preserve">Start with transcript→proposition→overlay, not full video AI.</x:t>
        </x:is>
      </x:c>
    </x:row>
    <x:row r="12" ht="68" customHeight="1">
      <x:c r="A12" s="8" t="inlineStr">
        <x:is>
          <x:t xml:space="preserve">Decision discipline</x:t>
        </x:is>
      </x:c>
      <x:c r="B12" s="2" t="inlineStr">
        <x:is>
          <x:t xml:space="preserve">The next objective is not to prove BCC is right. The objective is to discover whether bionic concept anchors add measurable value beyond semantic compression, and whether BCC+ placement/adaptive-density adds value beyond BCC.</x:t>
        </x:is>
      </x:c>
    </x:row>
  </x:sheetData>
  <x:mergeCells>
    <x:mergeCell ref="A1:I1"/>
    <x:mergeCell ref="A2:I2"/>
    <x:mergeCell ref="B12:I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8" customWidth="1"/>
    <x:col min="2" max="2" width="35" customWidth="1"/>
    <x:col min="3" max="3" width="100" customWidth="1"/>
    <x:col min="4" max="4" width="12" customWidth="1"/>
    <x:col min="5" max="5" width="12" customWidth="1"/>
    <x:col min="6" max="6" width="12" customWidth="1"/>
    <x:col min="7" max="7" width="12" customWidth="1"/>
    <x:col min="8" max="8" width="12" customWidth="1"/>
  </x:cols>
  <x:sheetData>
    <x:row r="1" ht="28" customHeight="1">
      <x:c r="A1" s="1" t="inlineStr">
        <x:is>
          <x:t xml:space="preserve">Cognitive Overlay Design + BCC Research Workbook</x:t>
        </x:is>
      </x:c>
    </x:row>
    <x:row r="2" ht="36" customHeight="1">
      <x:c r="A2" s="3" t="inlineStr">
        <x:is>
          <x:t xml:space="preserve">A working research and production system for short-form video overlays, with Bionic Compression Captioning kept as one candidate method inside a broader physiology-aware framework.</x:t>
        </x:is>
      </x:c>
    </x:row>
    <x:row r="3" ht="20" customHeight="1">
      <x:c r="A3" s="2" t="n"/>
      <x:c r="B3" s="2" t="n"/>
      <x:c r="C3" s="2" t="n"/>
      <x:c r="D3" s="2" t="n"/>
      <x:c r="E3" s="2" t="n"/>
      <x:c r="F3" s="2" t="n"/>
      <x:c r="G3" s="2" t="n"/>
      <x:c r="H3" s="2" t="n"/>
    </x:row>
    <x:row r="4" ht="32" customHeight="1">
      <x:c r="A4" s="4" t="inlineStr">
        <x:is>
          <x:t xml:space="preserve">Level</x:t>
        </x:is>
      </x:c>
      <x:c r="B4" s="4" t="inlineStr">
        <x:is>
          <x:t xml:space="preserve">Name</x:t>
        </x:is>
      </x:c>
      <x:c r="C4" s="4" t="inlineStr">
        <x:is>
          <x:t xml:space="preserve">Definition / use</x:t>
        </x:is>
      </x:c>
      <x:c r="D4" s="2" t="n"/>
      <x:c r="E4" s="2" t="n"/>
      <x:c r="F4" s="2" t="n"/>
      <x:c r="G4" s="2" t="n"/>
      <x:c r="H4" s="2" t="n"/>
    </x:row>
    <x:row r="5" ht="20" customHeight="1">
      <x:c r="A5" s="5" t="inlineStr">
        <x:is>
          <x:t xml:space="preserve">Broad field</x:t>
        </x:is>
      </x:c>
      <x:c r="B5" s="5" t="inlineStr">
        <x:is>
          <x:t xml:space="preserve">Cognitive Overlay Design</x:t>
        </x:is>
      </x:c>
      <x:c r="C5" s="5" t="inlineStr">
        <x:is>
          <x:t xml:space="preserve">Design text, timing, motion, placement, and emphasis to improve comprehension and reduce visual load.</x:t>
        </x:is>
      </x:c>
      <x:c r="D5" s="2" t="n"/>
      <x:c r="E5" s="2" t="n"/>
      <x:c r="F5" s="2" t="n"/>
      <x:c r="G5" s="2" t="n"/>
      <x:c r="H5" s="2" t="n"/>
    </x:row>
    <x:row r="6" ht="20" customHeight="1">
      <x:c r="A6" s="6" t="inlineStr">
        <x:is>
          <x:t xml:space="preserve">Short-form branch</x:t>
        </x:is>
      </x:c>
      <x:c r="B6" s="6" t="inlineStr">
        <x:is>
          <x:t xml:space="preserve">Physiological Retention Typography</x:t>
        </x:is>
      </x:c>
      <x:c r="C6" s="6" t="inlineStr">
        <x:is>
          <x:t xml:space="preserve">Overlay design around eyes, attention, working memory, screen ergonomics, and scroll behavior.</x:t>
        </x:is>
      </x:c>
      <x:c r="D6" s="2" t="n"/>
      <x:c r="E6" s="2" t="n"/>
      <x:c r="F6" s="2" t="n"/>
      <x:c r="G6" s="2" t="n"/>
      <x:c r="H6" s="2" t="n"/>
    </x:row>
    <x:row r="7" ht="20" customHeight="1">
      <x:c r="A7" s="5" t="inlineStr">
        <x:is>
          <x:t xml:space="preserve">Method family</x:t>
        </x:is>
      </x:c>
      <x:c r="B7" s="5" t="inlineStr">
        <x:is>
          <x:t xml:space="preserve">Semantic Compression Captions</x:t>
        </x:is>
      </x:c>
      <x:c r="C7" s="5" t="inlineStr">
        <x:is>
          <x:t xml:space="preserve">Rewrite speech into compact meaning units instead of verbatim subtitles.</x:t>
        </x:is>
      </x:c>
      <x:c r="D7" s="2" t="n"/>
      <x:c r="E7" s="2" t="n"/>
      <x:c r="F7" s="2" t="n"/>
      <x:c r="G7" s="2" t="n"/>
      <x:c r="H7" s="2" t="n"/>
    </x:row>
    <x:row r="8" ht="20" customHeight="1">
      <x:c r="A8" s="6" t="inlineStr">
        <x:is>
          <x:t xml:space="preserve">Named method</x:t>
        </x:is>
      </x:c>
      <x:c r="B8" s="6" t="inlineStr">
        <x:is>
          <x:t xml:space="preserve">Bionic Compression Captioning (BCC)</x:t>
        </x:is>
      </x:c>
      <x:c r="C8" s="6" t="inlineStr">
        <x:is>
          <x:t xml:space="preserve">Semantic compression + operator anchors + bionic concept anchors + beat timing.</x:t>
        </x:is>
      </x:c>
      <x:c r="D8" s="2" t="n"/>
      <x:c r="E8" s="2" t="n"/>
      <x:c r="F8" s="2" t="n"/>
      <x:c r="G8" s="2" t="n"/>
      <x:c r="H8" s="2" t="n"/>
    </x:row>
    <x:row r="9" ht="20" customHeight="1">
      <x:c r="A9" s="5" t="inlineStr">
        <x:is>
          <x:t xml:space="preserve">Advanced protocol</x:t>
        </x:is>
      </x:c>
      <x:c r="B9" s="5" t="inlineStr">
        <x:is>
          <x:t xml:space="preserve">BCC+</x:t>
        </x:is>
      </x:c>
      <x:c r="C9" s="5" t="inlineStr">
        <x:is>
          <x:t xml:space="preserve">BCC + gaze-safe placement + visual-load adaptation + muted-first testing + full captions.</x:t>
        </x:is>
      </x:c>
      <x:c r="D9" s="2" t="n"/>
      <x:c r="E9" s="2" t="n"/>
      <x:c r="F9" s="2" t="n"/>
      <x:c r="G9" s="2" t="n"/>
      <x:c r="H9" s="2" t="n"/>
    </x:row>
    <x:row r="10" ht="20" customHeight="1">
      <x:c r="A10" s="6" t="inlineStr">
        <x:is>
          <x:t xml:space="preserve">Master metric</x:t>
        </x:is>
      </x:c>
      <x:c r="B10" s="6" t="inlineStr">
        <x:is>
          <x:t xml:space="preserve">Meaning per fixation</x:t>
        </x:is>
      </x:c>
      <x:c r="C10" s="6" t="inlineStr">
        <x:is>
          <x:t xml:space="preserve">How much useful meaning is retained for each unit of visual attention consumed.</x:t>
        </x:is>
      </x:c>
      <x:c r="D10" s="2" t="n"/>
      <x:c r="E10" s="2" t="n"/>
      <x:c r="F10" s="2" t="n"/>
      <x:c r="G10" s="2" t="n"/>
      <x:c r="H10" s="2" t="n"/>
    </x:row>
    <x:row r="11" ht="20" customHeight="1">
      <x:c r="A11" s="5" t="inlineStr">
        <x:is>
          <x:t xml:space="preserve">Core law</x:t>
        </x:is>
      </x:c>
      <x:c r="B11" s="5" t="inlineStr">
        <x:is>
          <x:t xml:space="preserve">Reduce required reading</x:t>
        </x:is>
      </x:c>
      <x:c r="C11" s="5" t="inlineStr">
        <x:is>
          <x:t xml:space="preserve">Do not force faster reading; engineer fewer fixations for more meaning.</x:t>
        </x:is>
      </x:c>
      <x:c r="D11" s="2" t="n"/>
      <x:c r="E11" s="2" t="n"/>
      <x:c r="F11" s="2" t="n"/>
      <x:c r="G11" s="2" t="n"/>
      <x:c r="H11" s="2" t="n"/>
    </x:row>
    <x:row r="12" ht="20" customHeight="1">
      <x:c r="A12" s="2" t="n"/>
      <x:c r="B12" s="2" t="n"/>
      <x:c r="C12" s="2" t="n"/>
      <x:c r="D12" s="2" t="n"/>
      <x:c r="E12" s="2" t="n"/>
      <x:c r="F12" s="2" t="n"/>
      <x:c r="G12" s="2" t="n"/>
      <x:c r="H12" s="2" t="n"/>
    </x:row>
    <x:row r="13" ht="64" customHeight="1">
      <x:c r="A13" s="7" t="inlineStr">
        <x:is>
          <x:t xml:space="preserve">Locked Position</x:t>
        </x:is>
      </x:c>
      <x:c r="B13" s="2" t="inlineStr">
        <x:is>
          <x:t xml:space="preserve">BCC should be tested as a candidate method. It should not be assumed to work until semantic compression, anchors, placement, and timing are isolated.</x:t>
        </x:is>
      </x:c>
    </x:row>
    <x:row r="14" ht="20" customHeight="1">
      <x:c r="A14" s="2" t="n"/>
      <x:c r="B14" s="2" t="n"/>
      <x:c r="C14" s="2" t="n"/>
      <x:c r="D14" s="2" t="n"/>
      <x:c r="E14" s="2" t="n"/>
      <x:c r="F14" s="2" t="n"/>
      <x:c r="G14" s="2" t="n"/>
      <x:c r="H14" s="2" t="n"/>
    </x:row>
    <x:row r="15" ht="80" customHeight="1">
      <x:c r="A15" s="8" t="inlineStr">
        <x:is>
          <x:t xml:space="preserve">Immediate Decision Rule</x:t>
        </x:is>
      </x:c>
      <x:c r="B15" s="2" t="inlineStr">
        <x:is>
          <x:t xml:space="preserve">If Semantic Compression performs nearly as well as BCC, keep bionic anchors as optional styling. If BCC improves recall/effort, formalize BCC as a distinct protocol.</x:t>
        </x:is>
      </x:c>
    </x:row>
  </x:sheetData>
  <x:mergeCells>
    <x:mergeCell ref="B13:H13"/>
    <x:mergeCell ref="A2:H2"/>
    <x:mergeCell ref="B15:H15"/>
    <x:mergeCell ref="A1:H1"/>
  </x:mergeCells>
  <x:pageMargins left="0.7" right="0.7" top="0.75" bottom="0.75" header="0.3" footer="0.3"/>
  <x:tableParts count="1">
    <x:tablePart xmlns:r="http://schemas.openxmlformats.org/officeDocument/2006/relationships" r:id="R5277fe44f7a64b2b"/>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5" customWidth="1"/>
    <x:col min="2" max="2" width="60" customWidth="1"/>
    <x:col min="3" max="3" width="22" customWidth="1"/>
    <x:col min="4" max="4" width="60" customWidth="1"/>
    <x:col min="5" max="5" width="38" customWidth="1"/>
    <x:col min="6" max="6" width="12" customWidth="1"/>
    <x:col min="7" max="7" width="12" customWidth="1"/>
    <x:col min="8" max="8" width="12" customWidth="1"/>
  </x:cols>
  <x:sheetData>
    <x:row r="1" ht="28" customHeight="1">
      <x:c r="A1" s="1" t="inlineStr">
        <x:is>
          <x:t xml:space="preserve">Evidence Map</x:t>
        </x:is>
      </x:c>
    </x:row>
    <x:row r="2" ht="36" customHeight="1">
      <x:c r="A2" s="3" t="inlineStr">
        <x:is>
          <x:t xml:space="preserve">Evidence is grouped by mechanism. Strength ratings are working judgments for product/research prioritization, not final scientific certainty.</x:t>
        </x:is>
      </x:c>
    </x:row>
    <x:row r="3" ht="20" customHeight="1">
      <x:c r="A3" s="2" t="n"/>
      <x:c r="B3" s="2" t="n"/>
      <x:c r="C3" s="2" t="n"/>
      <x:c r="D3" s="2" t="n"/>
      <x:c r="E3" s="2" t="n"/>
      <x:c r="F3" s="2" t="n"/>
      <x:c r="G3" s="2" t="n"/>
      <x:c r="H3" s="2" t="n"/>
    </x:row>
    <x:row r="4" ht="32" customHeight="1">
      <x:c r="A4" s="4" t="inlineStr">
        <x:is>
          <x:t xml:space="preserve">Mechanism</x:t>
        </x:is>
      </x:c>
      <x:c r="B4" s="4" t="inlineStr">
        <x:is>
          <x:t xml:space="preserve">Finding</x:t>
        </x:is>
      </x:c>
      <x:c r="C4" s="4" t="inlineStr">
        <x:is>
          <x:t xml:space="preserve">Evidence strength</x:t>
        </x:is>
      </x:c>
      <x:c r="D4" s="4" t="inlineStr">
        <x:is>
          <x:t xml:space="preserve">Design implication</x:t>
        </x:is>
      </x:c>
      <x:c r="E4" s="4" t="inlineStr">
        <x:is>
          <x:t xml:space="preserve">Primary source</x:t>
        </x:is>
      </x:c>
      <x:c r="F4" s="2" t="n"/>
      <x:c r="G4" s="2" t="n"/>
      <x:c r="H4" s="2" t="n"/>
    </x:row>
    <x:row r="5" ht="32" customHeight="1">
      <x:c r="A5" s="5" t="inlineStr">
        <x:is>
          <x:t xml:space="preserve">Captions/accessibility</x:t>
        </x:is>
      </x:c>
      <x:c r="B5" s="5" t="inlineStr">
        <x:is>
          <x:t xml:space="preserve">Captions must preserve speech and meaningful audio; closed captions remain necessary.</x:t>
        </x:is>
      </x:c>
      <x:c r="C5" s="9" t="inlineStr">
        <x:is>
          <x:t xml:space="preserve">Strong</x:t>
        </x:is>
      </x:c>
      <x:c r="D5" s="5" t="inlineStr">
        <x:is>
          <x:t xml:space="preserve">Use full closed captions as the accessibility layer; BCC is only a semantic overlay.</x:t>
        </x:is>
      </x:c>
      <x:c r="E5" s="9" t="inlineStr">
        <x:is>
          <x:t xml:space="preserve">W3C captions overview</x:t>
        </x:is>
      </x:c>
      <x:c r="F5" s="2" t="n"/>
      <x:c r="G5" s="2" t="n"/>
      <x:c r="H5" s="2" t="n"/>
    </x:row>
    <x:row r="6" ht="32" customHeight="1">
      <x:c r="A6" s="6" t="inlineStr">
        <x:is>
          <x:t xml:space="preserve">Caption speed</x:t>
        </x:is>
      </x:c>
      <x:c r="B6" s="6" t="inlineStr">
        <x:is>
          <x:t xml:space="preserve">Higher subtitle speed can reduce comprehension and complete reading.</x:t>
        </x:is>
      </x:c>
      <x:c r="C6" s="9" t="inlineStr">
        <x:is>
          <x:t xml:space="preserve">Strong</x:t>
        </x:is>
      </x:c>
      <x:c r="D6" s="6" t="inlineStr">
        <x:is>
          <x:t xml:space="preserve">Compress text rather than pushing reading speed.</x:t>
        </x:is>
      </x:c>
      <x:c r="E6" s="9" t="inlineStr">
        <x:is>
          <x:t xml:space="preserve">Kruger et al.; Section 508; Netflix</x:t>
        </x:is>
      </x:c>
      <x:c r="F6" s="2" t="n"/>
      <x:c r="G6" s="2" t="n"/>
      <x:c r="H6" s="2" t="n"/>
    </x:row>
    <x:row r="7" ht="32" customHeight="1">
      <x:c r="A7" s="5" t="inlineStr">
        <x:is>
          <x:t xml:space="preserve">Sound-off viewing</x:t>
        </x:is>
      </x:c>
      <x:c r="B7" s="5" t="inlineStr">
        <x:is>
          <x:t xml:space="preserve">No-sound subtitled viewing increases visual load and reduces immersion/enjoyment.</x:t>
        </x:is>
      </x:c>
      <x:c r="C7" s="9" t="inlineStr">
        <x:is>
          <x:t xml:space="preserve">Strong</x:t>
        </x:is>
      </x:c>
      <x:c r="D7" s="5" t="inlineStr">
        <x:is>
          <x:t xml:space="preserve">Design muted-first overlays and test them without sound.</x:t>
        </x:is>
      </x:c>
      <x:c r="E7" s="9" t="inlineStr">
        <x:is>
          <x:t xml:space="preserve">Szarkowska et al. 2024</x:t>
        </x:is>
      </x:c>
      <x:c r="F7" s="2" t="n"/>
      <x:c r="G7" s="2" t="n"/>
      <x:c r="H7" s="2" t="n"/>
    </x:row>
    <x:row r="8" ht="32" customHeight="1">
      <x:c r="A8" s="6" t="inlineStr">
        <x:is>
          <x:t xml:space="preserve">Partial captions</x:t>
        </x:is>
      </x:c>
      <x:c r="B8" s="6" t="inlineStr">
        <x:is>
          <x:t xml:space="preserve">PSC preserved comprehension with less than 30% of transcript in L2 video.</x:t>
        </x:is>
      </x:c>
      <x:c r="C8" s="9" t="inlineStr">
        <x:is>
          <x:t xml:space="preserve">Moderate-strong</x:t>
        </x:is>
      </x:c>
      <x:c r="D8" s="6" t="inlineStr">
        <x:is>
          <x:t xml:space="preserve">Test semantic overlays at 20–40% transcript density.</x:t>
        </x:is>
      </x:c>
      <x:c r="E8" s="9" t="inlineStr">
        <x:is>
          <x:t xml:space="preserve">Mirzaei et al. PSC</x:t>
        </x:is>
      </x:c>
      <x:c r="F8" s="2" t="n"/>
      <x:c r="G8" s="2" t="n"/>
      <x:c r="H8" s="2" t="n"/>
    </x:row>
    <x:row r="9" ht="32" customHeight="1">
      <x:c r="A9" s="5" t="inlineStr">
        <x:is>
          <x:t xml:space="preserve">Keyword highlighting</x:t>
        </x:is>
      </x:c>
      <x:c r="B9" s="5" t="inlineStr">
        <x:is>
          <x:t xml:space="preserve">Sparse keyword highlighting can reduce perceived workload and improve following.</x:t>
        </x:is>
      </x:c>
      <x:c r="C9" s="9" t="inlineStr">
        <x:is>
          <x:t xml:space="preserve">Moderate</x:t>
        </x:is>
      </x:c>
      <x:c r="D9" s="5" t="inlineStr">
        <x:is>
          <x:t xml:space="preserve">Use sparse highlights; maximum 1–3 anchors per screen.</x:t>
        </x:is>
      </x:c>
      <x:c r="E9" s="9" t="inlineStr">
        <x:is>
          <x:t xml:space="preserve">Kafle et al. 2019</x:t>
        </x:is>
      </x:c>
      <x:c r="F9" s="2" t="n"/>
      <x:c r="G9" s="2" t="n"/>
      <x:c r="H9" s="2" t="n"/>
    </x:row>
    <x:row r="10" ht="32" customHeight="1">
      <x:c r="A10" s="6" t="inlineStr">
        <x:is>
          <x:t xml:space="preserve">Signaling</x:t>
        </x:is>
      </x:c>
      <x:c r="B10" s="6" t="inlineStr">
        <x:is>
          <x:t xml:space="preserve">Cues that highlight relevant organization improve learning and reduce cognitive load.</x:t>
        </x:is>
      </x:c>
      <x:c r="C10" s="9" t="inlineStr">
        <x:is>
          <x:t xml:space="preserve">Strong</x:t>
        </x:is>
      </x:c>
      <x:c r="D10" s="6" t="inlineStr">
        <x:is>
          <x:t xml:space="preserve">Use overlay text to show structure: Not X → Y, Problem → Cause → Fix.</x:t>
        </x:is>
      </x:c>
      <x:c r="E10" s="9" t="inlineStr">
        <x:is>
          <x:t xml:space="preserve">Signaling meta-analysis</x:t>
        </x:is>
      </x:c>
      <x:c r="F10" s="2" t="n"/>
      <x:c r="G10" s="2" t="n"/>
      <x:c r="H10" s="2" t="n"/>
    </x:row>
    <x:row r="11" ht="32" customHeight="1">
      <x:c r="A11" s="5" t="inlineStr">
        <x:is>
          <x:t xml:space="preserve">Redundancy</x:t>
        </x:is>
      </x:c>
      <x:c r="B11" s="5" t="inlineStr">
        <x:is>
          <x:t xml:space="preserve">Duplicated text can help or overload depending on cognitive channel demands.</x:t>
        </x:is>
      </x:c>
      <x:c r="C11" s="9" t="inlineStr">
        <x:is>
          <x:t xml:space="preserve">Strong</x:t>
        </x:is>
      </x:c>
      <x:c r="D11" s="5" t="inlineStr">
        <x:is>
          <x:t xml:space="preserve">Do not duplicate transcript unless needed; make overlay semantically distinct.</x:t>
        </x:is>
      </x:c>
      <x:c r="E11" s="9" t="inlineStr">
        <x:is>
          <x:t xml:space="preserve">Redundancy review</x:t>
        </x:is>
      </x:c>
      <x:c r="F11" s="2" t="n"/>
      <x:c r="G11" s="2" t="n"/>
      <x:c r="H11" s="2" t="n"/>
    </x:row>
    <x:row r="12" ht="20" customHeight="1">
      <x:c r="A12" s="6" t="inlineStr">
        <x:is>
          <x:t xml:space="preserve">Meaning-guided attention</x:t>
        </x:is>
      </x:c>
      <x:c r="B12" s="6" t="inlineStr">
        <x:is>
          <x:t xml:space="preserve">Meaning maps explain attention beyond low-level salience.</x:t>
        </x:is>
      </x:c>
      <x:c r="C12" s="9" t="inlineStr">
        <x:is>
          <x:t xml:space="preserve">Strong</x:t>
        </x:is>
      </x:c>
      <x:c r="D12" s="6" t="inlineStr">
        <x:is>
          <x:t xml:space="preserve">Overlay meaning, not just high-contrast decoration.</x:t>
        </x:is>
      </x:c>
      <x:c r="E12" s="9" t="inlineStr">
        <x:is>
          <x:t xml:space="preserve">Henderson et al.</x:t>
        </x:is>
      </x:c>
      <x:c r="F12" s="2" t="n"/>
      <x:c r="G12" s="2" t="n"/>
      <x:c r="H12" s="2" t="n"/>
    </x:row>
    <x:row r="13" ht="20" customHeight="1">
      <x:c r="A13" s="5" t="inlineStr">
        <x:is>
          <x:t xml:space="preserve">Visual crowding</x:t>
        </x:is>
      </x:c>
      <x:c r="B13" s="5" t="inlineStr">
        <x:is>
          <x:t xml:space="preserve">Clutter impairs peripheral object/letter recognition.</x:t>
        </x:is>
      </x:c>
      <x:c r="C13" s="9" t="inlineStr">
        <x:is>
          <x:t xml:space="preserve">Strong</x:t>
        </x:is>
      </x:c>
      <x:c r="D13" s="5" t="inlineStr">
        <x:is>
          <x:t xml:space="preserve">Avoid UI/busy backgrounds/native captions; score visual clutter.</x:t>
        </x:is>
      </x:c>
      <x:c r="E13" s="9" t="inlineStr">
        <x:is>
          <x:t xml:space="preserve">Visual crowding review</x:t>
        </x:is>
      </x:c>
      <x:c r="F13" s="2" t="n"/>
      <x:c r="G13" s="2" t="n"/>
      <x:c r="H13" s="2" t="n"/>
    </x:row>
    <x:row r="14" ht="32" customHeight="1">
      <x:c r="A14" s="6" t="inlineStr">
        <x:is>
          <x:t xml:space="preserve">Reading physiology</x:t>
        </x:is>
      </x:c>
      <x:c r="B14" s="6" t="inlineStr">
        <x:is>
          <x:t xml:space="preserve">Reading depends on foveal/parafoveal processing and fixation timing.</x:t>
        </x:is>
      </x:c>
      <x:c r="C14" s="9" t="inlineStr">
        <x:is>
          <x:t xml:space="preserve">Strong</x:t>
        </x:is>
      </x:c>
      <x:c r="D14" s="6" t="inlineStr">
        <x:is>
          <x:t xml:space="preserve">Use phrases, not fragmented word streams; avoid heavy RSVP-like delivery.</x:t>
        </x:is>
      </x:c>
      <x:c r="E14" s="9" t="inlineStr">
        <x:is>
          <x:t xml:space="preserve">Rayner; Schotter</x:t>
        </x:is>
      </x:c>
      <x:c r="F14" s="2" t="n"/>
      <x:c r="G14" s="2" t="n"/>
      <x:c r="H14" s="2" t="n"/>
    </x:row>
    <x:row r="15" ht="32" customHeight="1">
      <x:c r="A15" s="5" t="inlineStr">
        <x:is>
          <x:t xml:space="preserve">Working memory</x:t>
        </x:is>
      </x:c>
      <x:c r="B15" s="5" t="inlineStr">
        <x:is>
          <x:t xml:space="preserve">Visual working memory is limited; simple object capacity often ~3–4.</x:t>
        </x:is>
      </x:c>
      <x:c r="C15" s="9" t="inlineStr">
        <x:is>
          <x:t xml:space="preserve">Strong</x:t>
        </x:is>
      </x:c>
      <x:c r="D15" s="5" t="inlineStr">
        <x:is>
          <x:t xml:space="preserve">Use one idea per beat and avoid long sentence fragments.</x:t>
        </x:is>
      </x:c>
      <x:c r="E15" s="9" t="inlineStr">
        <x:is>
          <x:t xml:space="preserve">Luck &amp; Vogel</x:t>
        </x:is>
      </x:c>
      <x:c r="F15" s="2" t="n"/>
      <x:c r="G15" s="2" t="n"/>
      <x:c r="H15" s="2" t="n"/>
    </x:row>
    <x:row r="16" ht="32" customHeight="1">
      <x:c r="A16" s="6" t="inlineStr">
        <x:is>
          <x:t xml:space="preserve">Face/mouth speech cues</x:t>
        </x:is>
      </x:c>
      <x:c r="B16" s="6" t="inlineStr">
        <x:is>
          <x:t xml:space="preserve">Visible articulation supports speech understanding, especially in degraded audio.</x:t>
        </x:is>
      </x:c>
      <x:c r="C16" s="9" t="inlineStr">
        <x:is>
          <x:t xml:space="preserve">Strong</x:t>
        </x:is>
      </x:c>
      <x:c r="D16" s="6" t="inlineStr">
        <x:is>
          <x:t xml:space="preserve">Mouth-safe captioning for speech-heavy videos.</x:t>
        </x:is>
      </x:c>
      <x:c r="E16" s="9" t="inlineStr">
        <x:is>
          <x:t xml:space="preserve">Ross et al.</x:t>
        </x:is>
      </x:c>
      <x:c r="F16" s="2" t="n"/>
      <x:c r="G16" s="2" t="n"/>
      <x:c r="H16" s="2" t="n"/>
    </x:row>
    <x:row r="17" ht="32" customHeight="1">
      <x:c r="A17" s="5" t="inlineStr">
        <x:is>
          <x:t xml:space="preserve">Mobile ergonomics</x:t>
        </x:is>
      </x:c>
      <x:c r="B17" s="5" t="inlineStr">
        <x:is>
          <x:t xml:space="preserve">Smartphone viewing distances are short and small font sizes strain viewing.</x:t>
        </x:is>
      </x:c>
      <x:c r="C17" s="9" t="inlineStr">
        <x:is>
          <x:t xml:space="preserve">Moderate-strong</x:t>
        </x:is>
      </x:c>
      <x:c r="D17" s="5" t="inlineStr">
        <x:is>
          <x:t xml:space="preserve">Use large, sparse, high-contrast text; phone-first preview.</x:t>
        </x:is>
      </x:c>
      <x:c r="E17" s="9" t="inlineStr">
        <x:is>
          <x:t xml:space="preserve">Naipal et al. 2024</x:t>
        </x:is>
      </x:c>
      <x:c r="F17" s="2" t="n"/>
      <x:c r="G17" s="2" t="n"/>
      <x:c r="H17" s="2" t="n"/>
    </x:row>
    <x:row r="18" ht="32" customHeight="1">
      <x:c r="A18" s="6" t="inlineStr">
        <x:is>
          <x:t xml:space="preserve">Blink/fatigue</x:t>
        </x:is>
      </x:c>
      <x:c r="B18" s="6" t="inlineStr">
        <x:is>
          <x:t xml:space="preserve">Screen use can reduce blink frequency and increase incomplete blinks.</x:t>
        </x:is>
      </x:c>
      <x:c r="C18" s="9" t="inlineStr">
        <x:is>
          <x:t xml:space="preserve">Moderate</x:t>
        </x:is>
      </x:c>
      <x:c r="D18" s="6" t="inlineStr">
        <x:is>
          <x:t xml:space="preserve">Use micro-rest caption rhythm; avoid constant reading pressure.</x:t>
        </x:is>
      </x:c>
      <x:c r="E18" s="9" t="inlineStr">
        <x:is>
          <x:t xml:space="preserve">Xu et al. 2025</x:t>
        </x:is>
      </x:c>
      <x:c r="F18" s="2" t="n"/>
      <x:c r="G18" s="2" t="n"/>
      <x:c r="H18" s="2" t="n"/>
    </x:row>
    <x:row r="19" ht="32" customHeight="1">
      <x:c r="A19" s="5" t="inlineStr">
        <x:is>
          <x:t xml:space="preserve">Saliency prediction</x:t>
        </x:is>
      </x:c>
      <x:c r="B19" s="5" t="inlineStr">
        <x:is>
          <x:t xml:space="preserve">Recent datasets include vertical videos and large-scale mouse-fixation data.</x:t>
        </x:is>
      </x:c>
      <x:c r="C19" s="9" t="inlineStr">
        <x:is>
          <x:t xml:space="preserve">Emerging-strong</x:t>
        </x:is>
      </x:c>
      <x:c r="D19" s="5" t="inlineStr">
        <x:is>
          <x:t xml:space="preserve">Automate placement with saliency + face/object/UI conflict scoring.</x:t>
        </x:is>
      </x:c>
      <x:c r="E19" s="9" t="inlineStr">
        <x:is>
          <x:t xml:space="preserve">AIM 2024 AViMoS</x:t>
        </x:is>
      </x:c>
      <x:c r="F19" s="2" t="n"/>
      <x:c r="G19" s="2" t="n"/>
      <x:c r="H19" s="2" t="n"/>
    </x:row>
    <x:row r="20" ht="20" customHeight="1">
      <x:c r="A20" s="6" t="inlineStr">
        <x:is>
          <x:t xml:space="preserve">Dynamic placement</x:t>
        </x:is>
      </x:c>
      <x:c r="B20" s="6" t="inlineStr">
        <x:is>
          <x:t xml:space="preserve">Dynamic/speaker-following subtitles can reduce gaze disruption.</x:t>
        </x:is>
      </x:c>
      <x:c r="C20" s="9" t="inlineStr">
        <x:is>
          <x:t xml:space="preserve">Moderate</x:t>
        </x:is>
      </x:c>
      <x:c r="D20" s="6" t="inlineStr">
        <x:is>
          <x:t xml:space="preserve">Test gaze-safe placement against fixed bottom captions.</x:t>
        </x:is>
      </x:c>
      <x:c r="E20" s="9" t="inlineStr">
        <x:is>
          <x:t xml:space="preserve">Brown et al.; speaker-following subtitles</x:t>
        </x:is>
      </x:c>
      <x:c r="F20" s="2" t="n"/>
      <x:c r="G20" s="2" t="n"/>
      <x:c r="H20" s="2" t="n"/>
    </x:row>
    <x:row r="21" ht="20" customHeight="1">
      <x:c r="A21" s="5" t="inlineStr">
        <x:is>
          <x:t xml:space="preserve">Kinetic typography</x:t>
        </x:is>
      </x:c>
      <x:c r="B21" s="5" t="inlineStr">
        <x:is>
          <x:t xml:space="preserve">Motion helps when tied to logical flow; overuse risks overload.</x:t>
        </x:is>
      </x:c>
      <x:c r="C21" s="9" t="inlineStr">
        <x:is>
          <x:t xml:space="preserve">Moderate</x:t>
        </x:is>
      </x:c>
      <x:c r="D21" s="5" t="inlineStr">
        <x:is>
          <x:t xml:space="preserve">Animate structure, not every word.</x:t>
        </x:is>
      </x:c>
      <x:c r="E21" s="9" t="inlineStr">
        <x:is>
          <x:t xml:space="preserve">Lee &amp; Park 2023</x:t>
        </x:is>
      </x:c>
      <x:c r="F21" s="2" t="n"/>
      <x:c r="G21" s="2" t="n"/>
      <x:c r="H21" s="2" t="n"/>
    </x:row>
    <x:row r="22" ht="32" customHeight="1">
      <x:c r="A22" s="6" t="inlineStr">
        <x:is>
          <x:t xml:space="preserve">TikTok subtitle culture</x:t>
        </x:is>
      </x:c>
      <x:c r="B22" s="6" t="inlineStr">
        <x:is>
          <x:t xml:space="preserve">Non-standard TikTok subtitle style can affect engagement.</x:t>
        </x:is>
      </x:c>
      <x:c r="C22" s="9" t="inlineStr">
        <x:is>
          <x:t xml:space="preserve">Emerging</x:t>
        </x:is>
      </x:c>
      <x:c r="D22" s="6" t="inlineStr">
        <x:is>
          <x:t xml:space="preserve">Platform-native styling matters, but it should not override clarity.</x:t>
        </x:is>
      </x:c>
      <x:c r="E22" s="9" t="inlineStr">
        <x:is>
          <x:t xml:space="preserve">Duraj &amp; Szarkowska 2025</x:t>
        </x:is>
      </x:c>
      <x:c r="F22" s="2" t="n"/>
      <x:c r="G22" s="2" t="n"/>
      <x:c r="H22" s="2" t="n"/>
    </x:row>
    <x:row r="23" ht="32" customHeight="1">
      <x:c r="A23" s="5" t="inlineStr">
        <x:is>
          <x:t xml:space="preserve">Short-form attention state</x:t>
        </x:is>
      </x:c>
      <x:c r="B23" s="5" t="inlineStr">
        <x:is>
          <x:t xml:space="preserve">Scroll immersion predicts attention difficulty, working memory disruption, and fatigue.</x:t>
        </x:is>
      </x:c>
      <x:c r="C23" s="9" t="inlineStr">
        <x:is>
          <x:t xml:space="preserve">Emerging</x:t>
        </x:is>
      </x:c>
      <x:c r="D23" s="5" t="inlineStr">
        <x:is>
          <x:t xml:space="preserve">Prioritize fast orientation, low density, and immediate payoff.</x:t>
        </x:is>
      </x:c>
      <x:c r="E23" s="9" t="inlineStr">
        <x:is>
          <x:t xml:space="preserve">Alruwaili 2025; Yan 2024</x:t>
        </x:is>
      </x:c>
      <x:c r="F23" s="2" t="n"/>
      <x:c r="G23" s="2" t="n"/>
      <x:c r="H23" s="2" t="n"/>
    </x:row>
    <x:row r="24" ht="32" customHeight="1">
      <x:c r="A24" s="6" t="inlineStr">
        <x:is>
          <x:t xml:space="preserve">Bionic Reading</x:t>
        </x:is>
      </x:c>
      <x:c r="B24" s="6" t="inlineStr">
        <x:is>
          <x:t xml:space="preserve">Bionic Reading has weak evidence for speed/comprehension benefit.</x:t>
        </x:is>
      </x:c>
      <x:c r="C24" s="9" t="inlineStr">
        <x:is>
          <x:t xml:space="preserve">Weak as speed claim</x:t>
        </x:is>
      </x:c>
      <x:c r="D24" s="6" t="inlineStr">
        <x:is>
          <x:t xml:space="preserve">Treat bionic styling as optional concept anchor, not main mechanism.</x:t>
        </x:is>
      </x:c>
      <x:c r="E24" s="9" t="inlineStr">
        <x:is>
          <x:t xml:space="preserve">Snell 2024; Beelders 2025</x:t>
        </x:is>
      </x:c>
      <x:c r="F24" s="2" t="n"/>
      <x:c r="G24" s="2" t="n"/>
      <x:c r="H24" s="2" t="n"/>
    </x:row>
  </x:sheetData>
  <x:mergeCells>
    <x:mergeCell ref="A2:H2"/>
    <x:mergeCell ref="A1:H1"/>
  </x:mergeCells>
  <x:pageMargins left="0.7" right="0.7" top="0.75" bottom="0.75" header="0.3" footer="0.3"/>
  <x:tableParts count="1">
    <x:tablePart xmlns:r="http://schemas.openxmlformats.org/officeDocument/2006/relationships" r:id="Rb4c4bafc6f304d60"/>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2" customWidth="1"/>
    <x:col min="2" max="2" width="24" customWidth="1"/>
    <x:col min="3" max="3" width="65" customWidth="1"/>
    <x:col min="4" max="4" width="35" customWidth="1"/>
    <x:col min="5" max="5" width="55" customWidth="1"/>
    <x:col min="6" max="6" width="12" customWidth="1"/>
    <x:col min="7" max="7" width="12" customWidth="1"/>
    <x:col min="8" max="8" width="12" customWidth="1"/>
  </x:cols>
  <x:sheetData>
    <x:row r="1" ht="28" customHeight="1">
      <x:c r="A1" s="1" t="inlineStr">
        <x:is>
          <x:t xml:space="preserve">Method Taxonomy</x:t>
        </x:is>
      </x:c>
    </x:row>
    <x:row r="2" ht="36" customHeight="1">
      <x:c r="A2" s="3" t="inlineStr">
        <x:is>
          <x:t xml:space="preserve">A structured vocabulary for methods already used in industry/research and new methods proposed for this project.</x:t>
        </x:is>
      </x:c>
    </x:row>
    <x:row r="3" ht="20" customHeight="1">
      <x:c r="A3" s="2" t="n"/>
      <x:c r="B3" s="2" t="n"/>
      <x:c r="C3" s="2" t="n"/>
      <x:c r="D3" s="2" t="n"/>
      <x:c r="E3" s="2" t="n"/>
      <x:c r="F3" s="2" t="n"/>
      <x:c r="G3" s="2" t="n"/>
      <x:c r="H3" s="2" t="n"/>
    </x:row>
    <x:row r="4" ht="32" customHeight="1">
      <x:c r="A4" s="4" t="inlineStr">
        <x:is>
          <x:t xml:space="preserve">Method</x:t>
        </x:is>
      </x:c>
      <x:c r="B4" s="4" t="inlineStr">
        <x:is>
          <x:t xml:space="preserve">Status</x:t>
        </x:is>
      </x:c>
      <x:c r="C4" s="4" t="inlineStr">
        <x:is>
          <x:t xml:space="preserve">Definition</x:t>
        </x:is>
      </x:c>
      <x:c r="D4" s="4" t="inlineStr">
        <x:is>
          <x:t xml:space="preserve">Primary goal</x:t>
        </x:is>
      </x:c>
      <x:c r="E4" s="4" t="inlineStr">
        <x:is>
          <x:t xml:space="preserve">Best use</x:t>
        </x:is>
      </x:c>
      <x:c r="F4" s="2" t="n"/>
      <x:c r="G4" s="2" t="n"/>
      <x:c r="H4" s="2" t="n"/>
    </x:row>
    <x:row r="5" ht="20" customHeight="1">
      <x:c r="A5" s="10" t="inlineStr">
        <x:is>
          <x:t xml:space="preserve">Closed captions</x:t>
        </x:is>
      </x:c>
      <x:c r="B5" s="5" t="inlineStr">
        <x:is>
          <x:t xml:space="preserve">Existing</x:t>
        </x:is>
      </x:c>
      <x:c r="C5" s="5" t="inlineStr">
        <x:is>
          <x:t xml:space="preserve">Full synchronized speech and meaningful audio text.</x:t>
        </x:is>
      </x:c>
      <x:c r="D5" s="5" t="inlineStr">
        <x:is>
          <x:t xml:space="preserve">Accessibility/compliance</x:t>
        </x:is>
      </x:c>
      <x:c r="E5" s="5" t="inlineStr">
        <x:is>
          <x:t xml:space="preserve">All serious content</x:t>
        </x:is>
      </x:c>
      <x:c r="F5" s="2" t="n"/>
      <x:c r="G5" s="2" t="n"/>
      <x:c r="H5" s="2" t="n"/>
    </x:row>
    <x:row r="6" ht="20" customHeight="1">
      <x:c r="A6" s="10" t="inlineStr">
        <x:is>
          <x:t xml:space="preserve">Open/burned-in captions</x:t>
        </x:is>
      </x:c>
      <x:c r="B6" s="6" t="inlineStr">
        <x:is>
          <x:t xml:space="preserve">Existing</x:t>
        </x:is>
      </x:c>
      <x:c r="C6" s="6" t="inlineStr">
        <x:is>
          <x:t xml:space="preserve">Captions embedded into the video image.</x:t>
        </x:is>
      </x:c>
      <x:c r="D6" s="6" t="inlineStr">
        <x:is>
          <x:t xml:space="preserve">Always-visible text</x:t>
        </x:is>
      </x:c>
      <x:c r="E6" s="6" t="inlineStr">
        <x:is>
          <x:t xml:space="preserve">Short-form platforms</x:t>
        </x:is>
      </x:c>
      <x:c r="F6" s="2" t="n"/>
      <x:c r="G6" s="2" t="n"/>
      <x:c r="H6" s="2" t="n"/>
    </x:row>
    <x:row r="7" ht="20" customHeight="1">
      <x:c r="A7" s="10" t="inlineStr">
        <x:is>
          <x:t xml:space="preserve">Word-by-word dynamic captions</x:t>
        </x:is>
      </x:c>
      <x:c r="B7" s="5" t="inlineStr">
        <x:is>
          <x:t xml:space="preserve">Existing</x:t>
        </x:is>
      </x:c>
      <x:c r="C7" s="5" t="inlineStr">
        <x:is>
          <x:t xml:space="preserve">Words appear or highlight in sync with speech.</x:t>
        </x:is>
      </x:c>
      <x:c r="D7" s="5" t="inlineStr">
        <x:is>
          <x:t xml:space="preserve">Rhythm and energy</x:t>
        </x:is>
      </x:c>
      <x:c r="E7" s="5" t="inlineStr">
        <x:is>
          <x:t xml:space="preserve">Fast talking clips, but risky for dense learning</x:t>
        </x:is>
      </x:c>
      <x:c r="F7" s="2" t="n"/>
      <x:c r="G7" s="2" t="n"/>
      <x:c r="H7" s="2" t="n"/>
    </x:row>
    <x:row r="8" ht="20" customHeight="1">
      <x:c r="A8" s="10" t="inlineStr">
        <x:is>
          <x:t xml:space="preserve">Keyword-highlight captions</x:t>
        </x:is>
      </x:c>
      <x:c r="B8" s="6" t="inlineStr">
        <x:is>
          <x:t xml:space="preserve">Existing</x:t>
        </x:is>
      </x:c>
      <x:c r="C8" s="6" t="inlineStr">
        <x:is>
          <x:t xml:space="preserve">Full captions with important words emphasized.</x:t>
        </x:is>
      </x:c>
      <x:c r="D8" s="6" t="inlineStr">
        <x:is>
          <x:t xml:space="preserve">Semantic focus</x:t>
        </x:is>
      </x:c>
      <x:c r="E8" s="6" t="inlineStr">
        <x:is>
          <x:t xml:space="preserve">Education, lectures, explainers</x:t>
        </x:is>
      </x:c>
      <x:c r="F8" s="2" t="n"/>
      <x:c r="G8" s="2" t="n"/>
      <x:c r="H8" s="2" t="n"/>
    </x:row>
    <x:row r="9" ht="20" customHeight="1">
      <x:c r="A9" s="10" t="inlineStr">
        <x:is>
          <x:t xml:space="preserve">Kinetic typography</x:t>
        </x:is>
      </x:c>
      <x:c r="B9" s="5" t="inlineStr">
        <x:is>
          <x:t xml:space="preserve">Existing</x:t>
        </x:is>
      </x:c>
      <x:c r="C9" s="5" t="inlineStr">
        <x:is>
          <x:t xml:space="preserve">Text moves or animates as part of meaning/rhythm.</x:t>
        </x:is>
      </x:c>
      <x:c r="D9" s="5" t="inlineStr">
        <x:is>
          <x:t xml:space="preserve">Attention and expression</x:t>
        </x:is>
      </x:c>
      <x:c r="E9" s="5" t="inlineStr">
        <x:is>
          <x:t xml:space="preserve">Ads, high-production explainers</x:t>
        </x:is>
      </x:c>
      <x:c r="F9" s="2" t="n"/>
      <x:c r="G9" s="2" t="n"/>
      <x:c r="H9" s="2" t="n"/>
    </x:row>
    <x:row r="10" ht="20" customHeight="1">
      <x:c r="A10" s="10" t="inlineStr">
        <x:is>
          <x:t xml:space="preserve">Affective captions</x:t>
        </x:is>
      </x:c>
      <x:c r="B10" s="6" t="inlineStr">
        <x:is>
          <x:t xml:space="preserve">Existing/emerging</x:t>
        </x:is>
      </x:c>
      <x:c r="C10" s="6" t="inlineStr">
        <x:is>
          <x:t xml:space="preserve">Typography conveys emotional tone or speech style.</x:t>
        </x:is>
      </x:c>
      <x:c r="D10" s="6" t="inlineStr">
        <x:is>
          <x:t xml:space="preserve">Emotion/prosody accessibility</x:t>
        </x:is>
      </x:c>
      <x:c r="E10" s="6" t="inlineStr">
        <x:is>
          <x:t xml:space="preserve">Storytelling, DHH contexts</x:t>
        </x:is>
      </x:c>
      <x:c r="F10" s="2" t="n"/>
      <x:c r="G10" s="2" t="n"/>
      <x:c r="H10" s="2" t="n"/>
    </x:row>
    <x:row r="11" ht="20" customHeight="1">
      <x:c r="A11" s="10" t="inlineStr">
        <x:is>
          <x:t xml:space="preserve">Semantic Compression Captioning</x:t>
        </x:is>
      </x:c>
      <x:c r="B11" s="5" t="inlineStr">
        <x:is>
          <x:t xml:space="preserve">Proposed parent method</x:t>
        </x:is>
      </x:c>
      <x:c r="C11" s="5" t="inlineStr">
        <x:is>
          <x:t xml:space="preserve">Rewrite speech into compact meaning beats.</x:t>
        </x:is>
      </x:c>
      <x:c r="D11" s="5" t="inlineStr">
        <x:is>
          <x:t xml:space="preserve">Lower visual-verbal load</x:t>
        </x:is>
      </x:c>
      <x:c r="E11" s="5" t="inlineStr">
        <x:is>
          <x:t xml:space="preserve">Dense advice/education</x:t>
        </x:is>
      </x:c>
      <x:c r="F11" s="2" t="n"/>
      <x:c r="G11" s="2" t="n"/>
      <x:c r="H11" s="2" t="n"/>
    </x:row>
    <x:row r="12" ht="20" customHeight="1">
      <x:c r="A12" s="10" t="inlineStr">
        <x:is>
          <x:t xml:space="preserve">Bionic Compression Captioning</x:t>
        </x:is>
      </x:c>
      <x:c r="B12" s="6" t="inlineStr">
        <x:is>
          <x:t xml:space="preserve">Proposed named method</x:t>
        </x:is>
      </x:c>
      <x:c r="C12" s="6" t="inlineStr">
        <x:is>
          <x:t xml:space="preserve">Semantic compression + operator anchors + partial concept anchors.</x:t>
        </x:is>
      </x:c>
      <x:c r="D12" s="6" t="inlineStr">
        <x:is>
          <x:t xml:space="preserve">Gist + attention anchor</x:t>
        </x:is>
      </x:c>
      <x:c r="E12" s="6" t="inlineStr">
        <x:is>
          <x:t xml:space="preserve">Conceptual short-form video</x:t>
        </x:is>
      </x:c>
      <x:c r="F12" s="2" t="n"/>
      <x:c r="G12" s="2" t="n"/>
      <x:c r="H12" s="2" t="n"/>
    </x:row>
    <x:row r="13" ht="20" customHeight="1">
      <x:c r="A13" s="10" t="inlineStr">
        <x:is>
          <x:t xml:space="preserve">BCC+</x:t>
        </x:is>
      </x:c>
      <x:c r="B13" s="5" t="inlineStr">
        <x:is>
          <x:t xml:space="preserve">Proposed advanced protocol</x:t>
        </x:is>
      </x:c>
      <x:c r="C13" s="5" t="inlineStr">
        <x:is>
          <x:t xml:space="preserve">BCC + gaze-safe placement + adaptive density + muted-first testing.</x:t>
        </x:is>
      </x:c>
      <x:c r="D13" s="5" t="inlineStr">
        <x:is>
          <x:t xml:space="preserve">Physiology-aware overlays</x:t>
        </x:is>
      </x:c>
      <x:c r="E13" s="5" t="inlineStr">
        <x:is>
          <x:t xml:space="preserve">High-value prototype target</x:t>
        </x:is>
      </x:c>
      <x:c r="F13" s="2" t="n"/>
      <x:c r="G13" s="2" t="n"/>
      <x:c r="H13" s="2" t="n"/>
    </x:row>
    <x:row r="14" ht="20" customHeight="1">
      <x:c r="A14" s="10" t="inlineStr">
        <x:is>
          <x:t xml:space="preserve">Operator-First Captioning</x:t>
        </x:is>
      </x:c>
      <x:c r="B14" s="6" t="inlineStr">
        <x:is>
          <x:t xml:space="preserve">Proposed component</x:t>
        </x:is>
      </x:c>
      <x:c r="C14" s="6" t="inlineStr">
        <x:is>
          <x:t xml:space="preserve">Show logic/control words first: not, stop, less, first.</x:t>
        </x:is>
      </x:c>
      <x:c r="D14" s="6" t="inlineStr">
        <x:is>
          <x:t xml:space="preserve">Argument clarity</x:t>
        </x:is>
      </x:c>
      <x:c r="E14" s="6" t="inlineStr">
        <x:is>
          <x:t xml:space="preserve">Myth-busting, reframes</x:t>
        </x:is>
      </x:c>
      <x:c r="F14" s="2" t="n"/>
      <x:c r="G14" s="2" t="n"/>
      <x:c r="H14" s="2" t="n"/>
    </x:row>
    <x:row r="15" ht="20" customHeight="1">
      <x:c r="A15" s="10" t="inlineStr">
        <x:is>
          <x:t xml:space="preserve">Predictive Semantic Priming</x:t>
        </x:is>
      </x:c>
      <x:c r="B15" s="5" t="inlineStr">
        <x:is>
          <x:t xml:space="preserve">Proposed component</x:t>
        </x:is>
      </x:c>
      <x:c r="C15" s="5" t="inlineStr">
        <x:is>
          <x:t xml:space="preserve">Show meaning slightly before the sentence lands.</x:t>
        </x:is>
      </x:c>
      <x:c r="D15" s="5" t="inlineStr">
        <x:is>
          <x:t xml:space="preserve">Reduce prediction load</x:t>
        </x:is>
      </x:c>
      <x:c r="E15" s="5" t="inlineStr">
        <x:is>
          <x:t xml:space="preserve">Educational/advice clips</x:t>
        </x:is>
      </x:c>
      <x:c r="F15" s="2" t="n"/>
      <x:c r="G15" s="2" t="n"/>
      <x:c r="H15" s="2" t="n"/>
    </x:row>
    <x:row r="16" ht="20" customHeight="1">
      <x:c r="A16" s="10" t="inlineStr">
        <x:is>
          <x:t xml:space="preserve">Gaze-Safe Overlaying</x:t>
        </x:is>
      </x:c>
      <x:c r="B16" s="6" t="inlineStr">
        <x:is>
          <x:t xml:space="preserve">Proposed component</x:t>
        </x:is>
      </x:c>
      <x:c r="C16" s="6" t="inlineStr">
        <x:is>
          <x:t xml:space="preserve">Avoid covering face/mouth/hands/object/UI.</x:t>
        </x:is>
      </x:c>
      <x:c r="D16" s="6" t="inlineStr">
        <x:is>
          <x:t xml:space="preserve">Preserve visual processing</x:t>
        </x:is>
      </x:c>
      <x:c r="E16" s="6" t="inlineStr">
        <x:is>
          <x:t xml:space="preserve">All vertical video</x:t>
        </x:is>
      </x:c>
      <x:c r="F16" s="2" t="n"/>
      <x:c r="G16" s="2" t="n"/>
      <x:c r="H16" s="2" t="n"/>
    </x:row>
    <x:row r="17" ht="20" customHeight="1">
      <x:c r="A17" s="10" t="inlineStr">
        <x:is>
          <x:t xml:space="preserve">Visual-Load Adaptive Captioning</x:t>
        </x:is>
      </x:c>
      <x:c r="B17" s="5" t="inlineStr">
        <x:is>
          <x:t xml:space="preserve">Proposed component</x:t>
        </x:is>
      </x:c>
      <x:c r="C17" s="5" t="inlineStr">
        <x:is>
          <x:t xml:space="preserve">Change text density by frame complexity.</x:t>
        </x:is>
      </x:c>
      <x:c r="D17" s="5" t="inlineStr">
        <x:is>
          <x:t xml:space="preserve">Avoid overload</x:t>
        </x:is>
      </x:c>
      <x:c r="E17" s="5" t="inlineStr">
        <x:is>
          <x:t xml:space="preserve">Tutorials, demos, busy scenes</x:t>
        </x:is>
      </x:c>
      <x:c r="F17" s="2" t="n"/>
      <x:c r="G17" s="2" t="n"/>
      <x:c r="H17" s="2" t="n"/>
    </x:row>
    <x:row r="18" ht="20" customHeight="1">
      <x:c r="A18" s="10" t="inlineStr">
        <x:is>
          <x:t xml:space="preserve">Micro-Rest Caption Rhythm</x:t>
        </x:is>
      </x:c>
      <x:c r="B18" s="6" t="inlineStr">
        <x:is>
          <x:t xml:space="preserve">Proposed component</x:t>
        </x:is>
      </x:c>
      <x:c r="C18" s="6" t="inlineStr">
        <x:is>
          <x:t xml:space="preserve">Tiny no-text gaps between semantic beats.</x:t>
        </x:is>
      </x:c>
      <x:c r="D18" s="6" t="inlineStr">
        <x:is>
          <x:t xml:space="preserve">Reduce continuous visual pressure</x:t>
        </x:is>
      </x:c>
      <x:c r="E18" s="6" t="inlineStr">
        <x:is>
          <x:t xml:space="preserve">Dense educational clips</x:t>
        </x:is>
      </x:c>
      <x:c r="F18" s="2" t="n"/>
      <x:c r="G18" s="2" t="n"/>
      <x:c r="H18" s="2" t="n"/>
    </x:row>
    <x:row r="19" ht="32" customHeight="1">
      <x:c r="A19" s="10" t="inlineStr">
        <x:is>
          <x:t xml:space="preserve">Semantic-Saliency Overlaying</x:t>
        </x:is>
      </x:c>
      <x:c r="B19" s="5" t="inlineStr">
        <x:is>
          <x:t xml:space="preserve">Proposed advanced component</x:t>
        </x:is>
      </x:c>
      <x:c r="C19" s="5" t="inlineStr">
        <x:is>
          <x:t xml:space="preserve">Combine saliency maps, meaning maps, and visual conflict zones.</x:t>
        </x:is>
      </x:c>
      <x:c r="D19" s="5" t="inlineStr">
        <x:is>
          <x:t xml:space="preserve">Optimal placement</x:t>
        </x:is>
      </x:c>
      <x:c r="E19" s="5" t="inlineStr">
        <x:is>
          <x:t xml:space="preserve">AI overlay generator</x:t>
        </x:is>
      </x:c>
      <x:c r="F19" s="2" t="n"/>
      <x:c r="G19" s="2" t="n"/>
      <x:c r="H19" s="2" t="n"/>
    </x:row>
  </x:sheetData>
  <x:mergeCells>
    <x:mergeCell ref="A2:H2"/>
    <x:mergeCell ref="A1:H1"/>
  </x:mergeCells>
  <x:pageMargins left="0.7" right="0.7" top="0.75" bottom="0.75" header="0.3" footer="0.3"/>
  <x:tableParts count="1">
    <x:tablePart xmlns:r="http://schemas.openxmlformats.org/officeDocument/2006/relationships" r:id="R3ebab4c08e6745f5"/>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9" customWidth="1"/>
    <x:col min="2" max="2" width="10" customWidth="1"/>
    <x:col min="3" max="3" width="70" customWidth="1"/>
    <x:col min="4" max="4" width="35" customWidth="1"/>
    <x:col min="5" max="5" width="45" customWidth="1"/>
    <x:col min="6" max="6" width="65" customWidth="1"/>
    <x:col min="7" max="7" width="12" customWidth="1"/>
    <x:col min="8" max="8" width="12" customWidth="1"/>
  </x:cols>
  <x:sheetData>
    <x:row r="1" ht="28" customHeight="1">
      <x:c r="A1" s="1" t="inlineStr">
        <x:is>
          <x:t xml:space="preserve">Hypotheses</x:t>
        </x:is>
      </x:c>
    </x:row>
    <x:row r="2" ht="36" customHeight="1">
      <x:c r="A2" s="3" t="inlineStr">
        <x:is>
          <x:t xml:space="preserve">Prioritized testable claims. Priority 1 hypotheses should be tested before building automation.</x:t>
        </x:is>
      </x:c>
    </x:row>
    <x:row r="3" ht="20" customHeight="1">
      <x:c r="A3" s="2" t="n"/>
      <x:c r="B3" s="2" t="n"/>
      <x:c r="C3" s="2" t="n"/>
      <x:c r="D3" s="2" t="n"/>
      <x:c r="E3" s="2" t="n"/>
      <x:c r="F3" s="2" t="n"/>
      <x:c r="G3" s="2" t="n"/>
      <x:c r="H3" s="2" t="n"/>
    </x:row>
    <x:row r="4" ht="32" customHeight="1">
      <x:c r="A4" s="4" t="inlineStr">
        <x:is>
          <x:t xml:space="preserve">ID</x:t>
        </x:is>
      </x:c>
      <x:c r="B4" s="4" t="inlineStr">
        <x:is>
          <x:t xml:space="preserve">Priority</x:t>
        </x:is>
      </x:c>
      <x:c r="C4" s="4" t="inlineStr">
        <x:is>
          <x:t xml:space="preserve">Hypothesis</x:t>
        </x:is>
      </x:c>
      <x:c r="D4" s="4" t="inlineStr">
        <x:is>
          <x:t xml:space="preserve">Independent variable</x:t>
        </x:is>
      </x:c>
      <x:c r="E4" s="4" t="inlineStr">
        <x:is>
          <x:t xml:space="preserve">Primary measures</x:t>
        </x:is>
      </x:c>
      <x:c r="F4" s="4" t="inlineStr">
        <x:is>
          <x:t xml:space="preserve">Expected result</x:t>
        </x:is>
      </x:c>
      <x:c r="G4" s="2" t="n"/>
      <x:c r="H4" s="2" t="n"/>
    </x:row>
    <x:row r="5" ht="32" customHeight="1">
      <x:c r="A5" s="5" t="inlineStr">
        <x:is>
          <x:t xml:space="preserve">H1</x:t>
        </x:is>
      </x:c>
      <x:c r="B5" s="5" t="n">
        <x:v>1</x:v>
      </x:c>
      <x:c r="C5" s="10" t="inlineStr">
        <x:is>
          <x:t xml:space="preserve">Semantic compression beats full transcript overlays for gist/action recall in dense short-form videos.</x:t>
        </x:is>
      </x:c>
      <x:c r="D5" s="5" t="inlineStr">
        <x:is>
          <x:t xml:space="preserve">Overlay type</x:t>
        </x:is>
      </x:c>
      <x:c r="E5" s="5" t="inlineStr">
        <x:is>
          <x:t xml:space="preserve">Gist recall; action recall; perceived effort</x:t>
        </x:is>
      </x:c>
      <x:c r="F5" s="5" t="inlineStr">
        <x:is>
          <x:t xml:space="preserve">Semantic compression &gt; full transcript for gist, but full transcript may win exact wording.</x:t>
        </x:is>
      </x:c>
      <x:c r="G5" s="2" t="n"/>
      <x:c r="H5" s="2" t="n"/>
    </x:row>
    <x:row r="6" ht="32" customHeight="1">
      <x:c r="A6" s="6" t="inlineStr">
        <x:is>
          <x:t xml:space="preserve">H2</x:t>
        </x:is>
      </x:c>
      <x:c r="B6" s="6" t="n">
        <x:v>1</x:v>
      </x:c>
      <x:c r="C6" s="10" t="inlineStr">
        <x:is>
          <x:t xml:space="preserve">BCC beats semantic compression alone only if bionic concept anchors add recall/clarity beyond compression.</x:t>
        </x:is>
      </x:c>
      <x:c r="D6" s="6" t="inlineStr">
        <x:is>
          <x:t xml:space="preserve">Anchor styling</x:t>
        </x:is>
      </x:c>
      <x:c r="E6" s="6" t="inlineStr">
        <x:is>
          <x:t xml:space="preserve">Gist recall; phrase recall; perceived clarity; text dwell</x:t>
        </x:is>
      </x:c>
      <x:c r="F6" s="6" t="inlineStr">
        <x:is>
          <x:t xml:space="preserve">Likely small positive or no effect; must isolate.</x:t>
        </x:is>
      </x:c>
      <x:c r="G6" s="2" t="n"/>
      <x:c r="H6" s="2" t="n"/>
    </x:row>
    <x:row r="7" ht="32" customHeight="1">
      <x:c r="A7" s="5" t="inlineStr">
        <x:is>
          <x:t xml:space="preserve">H3</x:t>
        </x:is>
      </x:c>
      <x:c r="B7" s="5" t="n">
        <x:v>1</x:v>
      </x:c>
      <x:c r="C7" s="10" t="inlineStr">
        <x:is>
          <x:t xml:space="preserve">BCC+ beats BCC by reducing visual interference through placement and density adaptation.</x:t>
        </x:is>
      </x:c>
      <x:c r="D7" s="5" t="inlineStr">
        <x:is>
          <x:t xml:space="preserve">Placement/adaptive density</x:t>
        </x:is>
      </x:c>
      <x:c r="E7" s="5" t="inlineStr">
        <x:is>
          <x:t xml:space="preserve">Visual recall; face/object dwell; perceived effort</x:t>
        </x:is>
      </x:c>
      <x:c r="F7" s="5" t="inlineStr">
        <x:is>
          <x:t xml:space="preserve">Likely positive, especially for demos and busy scenes.</x:t>
        </x:is>
      </x:c>
      <x:c r="G7" s="2" t="n"/>
      <x:c r="H7" s="2" t="n"/>
    </x:row>
    <x:row r="8" ht="20" customHeight="1">
      <x:c r="A8" s="6" t="inlineStr">
        <x:is>
          <x:t xml:space="preserve">H4</x:t>
        </x:is>
      </x:c>
      <x:c r="B8" s="6" t="n">
        <x:v>1</x:v>
      </x:c>
      <x:c r="C8" s="10" t="inlineStr">
        <x:is>
          <x:t xml:space="preserve">Heavy bionic formatting underperforms sparse BCC.</x:t>
        </x:is>
      </x:c>
      <x:c r="D8" s="6" t="inlineStr">
        <x:is>
          <x:t xml:space="preserve">Highlight density</x:t>
        </x:is>
      </x:c>
      <x:c r="E8" s="6" t="inlineStr">
        <x:is>
          <x:t xml:space="preserve">Perceived effort; saccades; recall</x:t>
        </x:is>
      </x:c>
      <x:c r="F8" s="6" t="inlineStr">
        <x:is>
          <x:t xml:space="preserve">Heavy bionic will feel noisy and reduce comprehension.</x:t>
        </x:is>
      </x:c>
      <x:c r="G8" s="2" t="n"/>
      <x:c r="H8" s="2" t="n"/>
    </x:row>
    <x:row r="9" ht="20" customHeight="1">
      <x:c r="A9" s="5" t="inlineStr">
        <x:is>
          <x:t xml:space="preserve">H5</x:t>
        </x:is>
      </x:c>
      <x:c r="B9" s="5" t="n">
        <x:v>2</x:v>
      </x:c>
      <x:c r="C9" s="10" t="inlineStr">
        <x:is>
          <x:t xml:space="preserve">Predictive semantic priming improves comprehension versus post-cue captions.</x:t>
        </x:is>
      </x:c>
      <x:c r="D9" s="5" t="inlineStr">
        <x:is>
          <x:t xml:space="preserve">Timing offset</x:t>
        </x:is>
      </x:c>
      <x:c r="E9" s="5" t="inlineStr">
        <x:is>
          <x:t xml:space="preserve">Gist recall; perceived smoothness</x:t>
        </x:is>
      </x:c>
      <x:c r="F9" s="5" t="inlineStr">
        <x:is>
          <x:t xml:space="preserve">Pre-cue 200–500 ms may help; too early may distract.</x:t>
        </x:is>
      </x:c>
      <x:c r="G9" s="2" t="n"/>
      <x:c r="H9" s="2" t="n"/>
    </x:row>
    <x:row r="10" ht="20" customHeight="1">
      <x:c r="A10" s="6" t="inlineStr">
        <x:is>
          <x:t xml:space="preserve">H6</x:t>
        </x:is>
      </x:c>
      <x:c r="B10" s="6" t="n">
        <x:v>2</x:v>
      </x:c>
      <x:c r="C10" s="10" t="inlineStr">
        <x:is>
          <x:t xml:space="preserve">Gaze-safe placement improves visual recall versus fixed bottom captions.</x:t>
        </x:is>
      </x:c>
      <x:c r="D10" s="6" t="inlineStr">
        <x:is>
          <x:t xml:space="preserve">Placement</x:t>
        </x:is>
      </x:c>
      <x:c r="E10" s="6" t="inlineStr">
        <x:is>
          <x:t xml:space="preserve">Visual recall; dwell on key video regions</x:t>
        </x:is>
      </x:c>
      <x:c r="F10" s="6" t="inlineStr">
        <x:is>
          <x:t xml:space="preserve">Likely positive in talking-head, product, and demo clips.</x:t>
        </x:is>
      </x:c>
      <x:c r="G10" s="2" t="n"/>
      <x:c r="H10" s="2" t="n"/>
    </x:row>
    <x:row r="11" ht="20" customHeight="1">
      <x:c r="A11" s="5" t="inlineStr">
        <x:is>
          <x:t xml:space="preserve">H7</x:t>
        </x:is>
      </x:c>
      <x:c r="B11" s="5" t="n">
        <x:v>2</x:v>
      </x:c>
      <x:c r="C11" s="10" t="inlineStr">
        <x:is>
          <x:t xml:space="preserve">Motion tied to logic improves recall; decorative motion increases fatigue.</x:t>
        </x:is>
      </x:c>
      <x:c r="D11" s="5" t="inlineStr">
        <x:is>
          <x:t xml:space="preserve">Motion dose/type</x:t>
        </x:is>
      </x:c>
      <x:c r="E11" s="5" t="inlineStr">
        <x:is>
          <x:t xml:space="preserve">Recall; effort; completion</x:t>
        </x:is>
      </x:c>
      <x:c r="F11" s="5" t="inlineStr">
        <x:is>
          <x:t xml:space="preserve">Logic motion &gt; static for some content; bounce/shake likely worse.</x:t>
        </x:is>
      </x:c>
      <x:c r="G11" s="2" t="n"/>
      <x:c r="H11" s="2" t="n"/>
    </x:row>
    <x:row r="12" ht="32" customHeight="1">
      <x:c r="A12" s="6" t="inlineStr">
        <x:is>
          <x:t xml:space="preserve">H8</x:t>
        </x:is>
      </x:c>
      <x:c r="B12" s="6" t="n">
        <x:v>2</x:v>
      </x:c>
      <x:c r="C12" s="10" t="inlineStr">
        <x:is>
          <x:t xml:space="preserve">Muted-first overlays outperform transcript overlays for muted gist, but not exact wording.</x:t>
        </x:is>
      </x:c>
      <x:c r="D12" s="6" t="inlineStr">
        <x:is>
          <x:t xml:space="preserve">Viewer mode</x:t>
        </x:is>
      </x:c>
      <x:c r="E12" s="6" t="inlineStr">
        <x:is>
          <x:t xml:space="preserve">Muted comprehension; exact recall</x:t>
        </x:is>
      </x:c>
      <x:c r="F12" s="6" t="inlineStr">
        <x:is>
          <x:t xml:space="preserve">BCC+ likely strong in muted gist.</x:t>
        </x:is>
      </x:c>
      <x:c r="G12" s="2" t="n"/>
      <x:c r="H12" s="2" t="n"/>
    </x:row>
    <x:row r="13" ht="32" customHeight="1">
      <x:c r="A13" s="5" t="inlineStr">
        <x:is>
          <x:t xml:space="preserve">H9</x:t>
        </x:is>
      </x:c>
      <x:c r="B13" s="5" t="n">
        <x:v>3</x:v>
      </x:c>
      <x:c r="C13" s="10" t="inlineStr">
        <x:is>
          <x:t xml:space="preserve">Micro-rest caption rhythm reduces fatigue and improves completion in dense videos.</x:t>
        </x:is>
      </x:c>
      <x:c r="D13" s="5" t="inlineStr">
        <x:is>
          <x:t xml:space="preserve">No-text intervals</x:t>
        </x:is>
      </x:c>
      <x:c r="E13" s="5" t="inlineStr">
        <x:is>
          <x:t xml:space="preserve">Completion; perceived fatigue</x:t>
        </x:is>
      </x:c>
      <x:c r="F13" s="5" t="inlineStr">
        <x:is>
          <x:t xml:space="preserve">Plausible but needs controlled tests.</x:t>
        </x:is>
      </x:c>
      <x:c r="G13" s="2" t="n"/>
      <x:c r="H13" s="2" t="n"/>
    </x:row>
    <x:row r="14" ht="32" customHeight="1">
      <x:c r="A14" s="6" t="inlineStr">
        <x:is>
          <x:t xml:space="preserve">H10</x:t>
        </x:is>
      </x:c>
      <x:c r="B14" s="6" t="n">
        <x:v>3</x:v>
      </x:c>
      <x:c r="C14" s="10" t="inlineStr">
        <x:is>
          <x:t xml:space="preserve">Expert viewers prefer higher compression; novice/L2 viewers need more explicit context.</x:t>
        </x:is>
      </x:c>
      <x:c r="D14" s="6" t="inlineStr">
        <x:is>
          <x:t xml:space="preserve">Audience expertise</x:t>
        </x:is>
      </x:c>
      <x:c r="E14" s="6" t="inlineStr">
        <x:is>
          <x:t xml:space="preserve">Recall; subjective preference</x:t>
        </x:is>
      </x:c>
      <x:c r="F14" s="6" t="inlineStr">
        <x:is>
          <x:t xml:space="preserve">Likely interaction effect.</x:t>
        </x:is>
      </x:c>
      <x:c r="G14" s="2" t="n"/>
      <x:c r="H14" s="2" t="n"/>
    </x:row>
  </x:sheetData>
  <x:mergeCells>
    <x:mergeCell ref="A2:H2"/>
    <x:mergeCell ref="A1:H1"/>
  </x:mergeCells>
  <x:pageMargins left="0.7" right="0.7" top="0.75" bottom="0.75" header="0.3" footer="0.3"/>
  <x:tableParts count="1">
    <x:tablePart xmlns:r="http://schemas.openxmlformats.org/officeDocument/2006/relationships" r:id="Rf09c149c05644d69"/>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4" customWidth="1"/>
    <x:col min="2" max="2" width="38" customWidth="1"/>
    <x:col min="3" max="3" width="70" customWidth="1"/>
    <x:col min="4" max="4" width="55" customWidth="1"/>
    <x:col min="5" max="5" width="12" customWidth="1"/>
    <x:col min="6" max="6" width="12" customWidth="1"/>
    <x:col min="7" max="7" width="12" customWidth="1"/>
    <x:col min="8" max="8" width="12" customWidth="1"/>
  </x:cols>
  <x:sheetData>
    <x:row r="1" ht="28" customHeight="1">
      <x:c r="A1" s="1" t="inlineStr">
        <x:is>
          <x:t xml:space="preserve">Experiment Design</x:t>
        </x:is>
      </x:c>
    </x:row>
    <x:row r="2" ht="36" customHeight="1">
      <x:c r="A2" s="3" t="inlineStr">
        <x:is>
          <x:t xml:space="preserve">Controlled comparison design for isolating compression, bionic anchors, placement, timing, and motion.</x:t>
        </x:is>
      </x:c>
    </x:row>
    <x:row r="3" ht="20" customHeight="1">
      <x:c r="A3" s="2" t="n"/>
      <x:c r="B3" s="2" t="n"/>
      <x:c r="C3" s="2" t="n"/>
      <x:c r="D3" s="2" t="n"/>
      <x:c r="E3" s="2" t="n"/>
      <x:c r="F3" s="2" t="n"/>
      <x:c r="G3" s="2" t="n"/>
      <x:c r="H3" s="2" t="n"/>
    </x:row>
    <x:row r="4" ht="32" customHeight="1">
      <x:c r="A4" s="4" t="inlineStr">
        <x:is>
          <x:t xml:space="preserve">Variant</x:t>
        </x:is>
      </x:c>
      <x:c r="B4" s="4" t="inlineStr">
        <x:is>
          <x:t xml:space="preserve">Condition</x:t>
        </x:is>
      </x:c>
      <x:c r="C4" s="4" t="inlineStr">
        <x:is>
          <x:t xml:space="preserve">Treatment</x:t>
        </x:is>
      </x:c>
      <x:c r="D4" s="4" t="inlineStr">
        <x:is>
          <x:t xml:space="preserve">Purpose</x:t>
        </x:is>
      </x:c>
      <x:c r="E4" s="2" t="n"/>
      <x:c r="F4" s="2" t="n"/>
      <x:c r="G4" s="2" t="n"/>
      <x:c r="H4" s="2" t="n"/>
    </x:row>
    <x:row r="5" ht="20" customHeight="1">
      <x:c r="A5" s="5" t="inlineStr">
        <x:is>
          <x:t xml:space="preserve">A</x:t>
        </x:is>
      </x:c>
      <x:c r="B5" s="10" t="inlineStr">
        <x:is>
          <x:t xml:space="preserve">Native closed captions only</x:t>
        </x:is>
      </x:c>
      <x:c r="C5" s="5" t="inlineStr">
        <x:is>
          <x:t xml:space="preserve">Full accessibility caption track; no creative overlay.</x:t>
        </x:is>
      </x:c>
      <x:c r="D5" s="5" t="inlineStr">
        <x:is>
          <x:t xml:space="preserve">Baseline accessibility/control</x:t>
        </x:is>
      </x:c>
      <x:c r="E5" s="2" t="n"/>
      <x:c r="F5" s="2" t="n"/>
      <x:c r="G5" s="2" t="n"/>
      <x:c r="H5" s="2" t="n"/>
    </x:row>
    <x:row r="6" ht="20" customHeight="1">
      <x:c r="A6" s="6" t="inlineStr">
        <x:is>
          <x:t xml:space="preserve">B</x:t>
        </x:is>
      </x:c>
      <x:c r="B6" s="10" t="inlineStr">
        <x:is>
          <x:t xml:space="preserve">Full transcript burned-in</x:t>
        </x:is>
      </x:c>
      <x:c r="C6" s="6" t="inlineStr">
        <x:is>
          <x:t xml:space="preserve">Full spoken text appears as overlay.</x:t>
        </x:is>
      </x:c>
      <x:c r="D6" s="6" t="inlineStr">
        <x:is>
          <x:t xml:space="preserve">Tests verbatim overlay load</x:t>
        </x:is>
      </x:c>
      <x:c r="E6" s="2" t="n"/>
      <x:c r="F6" s="2" t="n"/>
      <x:c r="G6" s="2" t="n"/>
      <x:c r="H6" s="2" t="n"/>
    </x:row>
    <x:row r="7" ht="20" customHeight="1">
      <x:c r="A7" s="5" t="inlineStr">
        <x:is>
          <x:t xml:space="preserve">C</x:t>
        </x:is>
      </x:c>
      <x:c r="B7" s="10" t="inlineStr">
        <x:is>
          <x:t xml:space="preserve">Word-by-word dynamic captions</x:t>
        </x:is>
      </x:c>
      <x:c r="C7" s="5" t="inlineStr">
        <x:is>
          <x:t xml:space="preserve">Words appear/highlight in sync with speech.</x:t>
        </x:is>
      </x:c>
      <x:c r="D7" s="5" t="inlineStr">
        <x:is>
          <x:t xml:space="preserve">Tests popular creator style</x:t>
        </x:is>
      </x:c>
      <x:c r="E7" s="2" t="n"/>
      <x:c r="F7" s="2" t="n"/>
      <x:c r="G7" s="2" t="n"/>
      <x:c r="H7" s="2" t="n"/>
    </x:row>
    <x:row r="8" ht="20" customHeight="1">
      <x:c r="A8" s="6" t="inlineStr">
        <x:is>
          <x:t xml:space="preserve">D</x:t>
        </x:is>
      </x:c>
      <x:c r="B8" s="10" t="inlineStr">
        <x:is>
          <x:t xml:space="preserve">Keyword-highlight transcript</x:t>
        </x:is>
      </x:c>
      <x:c r="C8" s="6" t="inlineStr">
        <x:is>
          <x:t xml:space="preserve">Full transcript with important words highlighted.</x:t>
        </x:is>
      </x:c>
      <x:c r="D8" s="6" t="inlineStr">
        <x:is>
          <x:t xml:space="preserve">Tests conventional keyword cueing</x:t>
        </x:is>
      </x:c>
      <x:c r="E8" s="2" t="n"/>
      <x:c r="F8" s="2" t="n"/>
      <x:c r="G8" s="2" t="n"/>
      <x:c r="H8" s="2" t="n"/>
    </x:row>
    <x:row r="9" ht="20" customHeight="1">
      <x:c r="A9" s="5" t="inlineStr">
        <x:is>
          <x:t xml:space="preserve">E</x:t>
        </x:is>
      </x:c>
      <x:c r="B9" s="10" t="inlineStr">
        <x:is>
          <x:t xml:space="preserve">Semantic compression only</x:t>
        </x:is>
      </x:c>
      <x:c r="C9" s="5" t="inlineStr">
        <x:is>
          <x:t xml:space="preserve">Compressed meaning beats, no bionic partial anchors.</x:t>
        </x:is>
      </x:c>
      <x:c r="D9" s="5" t="inlineStr">
        <x:is>
          <x:t xml:space="preserve">Isolates compression</x:t>
        </x:is>
      </x:c>
      <x:c r="E9" s="2" t="n"/>
      <x:c r="F9" s="2" t="n"/>
      <x:c r="G9" s="2" t="n"/>
      <x:c r="H9" s="2" t="n"/>
    </x:row>
    <x:row r="10" ht="20" customHeight="1">
      <x:c r="A10" s="6" t="inlineStr">
        <x:is>
          <x:t xml:space="preserve">F</x:t>
        </x:is>
      </x:c>
      <x:c r="B10" s="10" t="inlineStr">
        <x:is>
          <x:t xml:space="preserve">BCC</x:t>
        </x:is>
      </x:c>
      <x:c r="C10" s="6" t="inlineStr">
        <x:is>
          <x:t xml:space="preserve">Compression + operator anchors + bionic concept anchors.</x:t>
        </x:is>
      </x:c>
      <x:c r="D10" s="6" t="inlineStr">
        <x:is>
          <x:t xml:space="preserve">Tests bionic anchor addition</x:t>
        </x:is>
      </x:c>
      <x:c r="E10" s="2" t="n"/>
      <x:c r="F10" s="2" t="n"/>
      <x:c r="G10" s="2" t="n"/>
      <x:c r="H10" s="2" t="n"/>
    </x:row>
    <x:row r="11" ht="20" customHeight="1">
      <x:c r="A11" s="5" t="inlineStr">
        <x:is>
          <x:t xml:space="preserve">G</x:t>
        </x:is>
      </x:c>
      <x:c r="B11" s="10" t="inlineStr">
        <x:is>
          <x:t xml:space="preserve">BCC+</x:t>
        </x:is>
      </x:c>
      <x:c r="C11" s="5" t="inlineStr">
        <x:is>
          <x:t xml:space="preserve">BCC + gaze-safe placement + visual-load adaptation + muted-first pass.</x:t>
        </x:is>
      </x:c>
      <x:c r="D11" s="5" t="inlineStr">
        <x:is>
          <x:t xml:space="preserve">Tests advanced protocol</x:t>
        </x:is>
      </x:c>
      <x:c r="E11" s="2" t="n"/>
      <x:c r="F11" s="2" t="n"/>
      <x:c r="G11" s="2" t="n"/>
      <x:c r="H11" s="2" t="n"/>
    </x:row>
    <x:row r="12" ht="20" customHeight="1">
      <x:c r="A12" s="6" t="inlineStr">
        <x:is>
          <x:t xml:space="preserve">H</x:t>
        </x:is>
      </x:c>
      <x:c r="B12" s="10" t="inlineStr">
        <x:is>
          <x:t xml:space="preserve">Heavy bionic</x:t>
        </x:is>
      </x:c>
      <x:c r="C12" s="6" t="inlineStr">
        <x:is>
          <x:t xml:space="preserve">Bionic formatting applied to many/all words.</x:t>
        </x:is>
      </x:c>
      <x:c r="D12" s="6" t="inlineStr">
        <x:is>
          <x:t xml:space="preserve">Negative/overload control</x:t>
        </x:is>
      </x:c>
      <x:c r="E12" s="2" t="n"/>
      <x:c r="F12" s="2" t="n"/>
      <x:c r="G12" s="2" t="n"/>
      <x:c r="H12" s="2" t="n"/>
    </x:row>
    <x:row r="13" ht="20" customHeight="1">
      <x:c r="A13" s="5" t="inlineStr">
        <x:is>
          <x:t xml:space="preserve">I</x:t>
        </x:is>
      </x:c>
      <x:c r="B13" s="10" t="inlineStr">
        <x:is>
          <x:t xml:space="preserve">Kinetic BCC</x:t>
        </x:is>
      </x:c>
      <x:c r="C13" s="5" t="inlineStr">
        <x:is>
          <x:t xml:space="preserve">BCC with logic-tied motion.</x:t>
        </x:is>
      </x:c>
      <x:c r="D13" s="5" t="inlineStr">
        <x:is>
          <x:t xml:space="preserve">Tests motion dose</x:t>
        </x:is>
      </x:c>
      <x:c r="E13" s="2" t="n"/>
      <x:c r="F13" s="2" t="n"/>
      <x:c r="G13" s="2" t="n"/>
      <x:c r="H13" s="2" t="n"/>
    </x:row>
    <x:row r="14" ht="20" customHeight="1">
      <x:c r="A14" s="2" t="n"/>
      <x:c r="B14" s="2" t="n"/>
      <x:c r="C14" s="2" t="n"/>
      <x:c r="D14" s="2" t="n"/>
      <x:c r="E14" s="2" t="n"/>
      <x:c r="F14" s="2" t="n"/>
      <x:c r="G14" s="2" t="n"/>
      <x:c r="H14" s="2" t="n"/>
    </x:row>
    <x:row r="15" ht="20" customHeight="1">
      <x:c r="A15" s="2" t="n"/>
      <x:c r="B15" s="2" t="n"/>
      <x:c r="C15" s="2" t="n"/>
      <x:c r="D15" s="2" t="n"/>
      <x:c r="E15" s="2" t="n"/>
      <x:c r="F15" s="2" t="n"/>
      <x:c r="G15" s="2" t="n"/>
      <x:c r="H15" s="2" t="n"/>
    </x:row>
    <x:row r="16" ht="20" customHeight="1">
      <x:c r="A16" s="2" t="n"/>
      <x:c r="B16" s="2" t="n"/>
      <x:c r="C16" s="2" t="n"/>
      <x:c r="D16" s="2" t="n"/>
      <x:c r="E16" s="2" t="n"/>
      <x:c r="F16" s="2" t="n"/>
      <x:c r="G16" s="2" t="n"/>
      <x:c r="H16" s="2" t="n"/>
    </x:row>
    <x:row r="17" ht="20" customHeight="1">
      <x:c r="A17" s="4" t="inlineStr">
        <x:is>
          <x:t xml:space="preserve">Measure</x:t>
        </x:is>
      </x:c>
      <x:c r="B17" s="4" t="inlineStr">
        <x:is>
          <x:t xml:space="preserve">Prompt / computation</x:t>
        </x:is>
      </x:c>
      <x:c r="C17" s="4" t="inlineStr">
        <x:is>
          <x:t xml:space="preserve">Scale</x:t>
        </x:is>
      </x:c>
      <x:c r="D17" s="4" t="inlineStr">
        <x:is>
          <x:t xml:space="preserve">Purpose</x:t>
        </x:is>
      </x:c>
      <x:c r="E17" s="2" t="n"/>
      <x:c r="F17" s="2" t="n"/>
      <x:c r="G17" s="2" t="n"/>
      <x:c r="H17" s="2" t="n"/>
    </x:row>
    <x:row r="18" ht="20" customHeight="1">
      <x:c r="A18" s="6" t="inlineStr">
        <x:is>
          <x:t xml:space="preserve">Gist recall</x:t>
        </x:is>
      </x:c>
      <x:c r="B18" s="6" t="inlineStr">
        <x:is>
          <x:t xml:space="preserve">What was the main point?</x:t>
        </x:is>
      </x:c>
      <x:c r="C18" s="6" t="inlineStr">
        <x:is>
          <x:t xml:space="preserve">0/1 or 0–2 coded accuracy</x:t>
        </x:is>
      </x:c>
      <x:c r="D18" s="6" t="inlineStr">
        <x:is>
          <x:t xml:space="preserve">Core comprehension metric</x:t>
        </x:is>
      </x:c>
      <x:c r="E18" s="2" t="n"/>
      <x:c r="F18" s="2" t="n"/>
      <x:c r="G18" s="2" t="n"/>
      <x:c r="H18" s="2" t="n"/>
    </x:row>
    <x:row r="19" ht="20" customHeight="1">
      <x:c r="A19" s="5" t="inlineStr">
        <x:is>
          <x:t xml:space="preserve">Action recall</x:t>
        </x:is>
      </x:c>
      <x:c r="B19" s="5" t="inlineStr">
        <x:is>
          <x:t xml:space="preserve">What should the viewer do next?</x:t>
        </x:is>
      </x:c>
      <x:c r="C19" s="5" t="inlineStr">
        <x:is>
          <x:t xml:space="preserve">0/1 or 0–2 coded accuracy</x:t>
        </x:is>
      </x:c>
      <x:c r="D19" s="5" t="inlineStr">
        <x:is>
          <x:t xml:space="preserve">Tests utility of advice/explainer content</x:t>
        </x:is>
      </x:c>
      <x:c r="E19" s="2" t="n"/>
      <x:c r="F19" s="2" t="n"/>
      <x:c r="G19" s="2" t="n"/>
      <x:c r="H19" s="2" t="n"/>
    </x:row>
    <x:row r="20" ht="20" customHeight="1">
      <x:c r="A20" s="6" t="inlineStr">
        <x:is>
          <x:t xml:space="preserve">Contrast recall</x:t>
        </x:is>
      </x:c>
      <x:c r="B20" s="6" t="inlineStr">
        <x:is>
          <x:t xml:space="preserve">What false belief was corrected?</x:t>
        </x:is>
      </x:c>
      <x:c r="C20" s="6" t="inlineStr">
        <x:is>
          <x:t xml:space="preserve">0/1 or 0–2 coded accuracy</x:t>
        </x:is>
      </x:c>
      <x:c r="D20" s="6" t="inlineStr">
        <x:is>
          <x:t xml:space="preserve">Tests Operator-First/BCC logic</x:t>
        </x:is>
      </x:c>
      <x:c r="E20" s="2" t="n"/>
      <x:c r="F20" s="2" t="n"/>
      <x:c r="G20" s="2" t="n"/>
      <x:c r="H20" s="2" t="n"/>
    </x:row>
    <x:row r="21" ht="20" customHeight="1">
      <x:c r="A21" s="5" t="inlineStr">
        <x:is>
          <x:t xml:space="preserve">Exact recall</x:t>
        </x:is>
      </x:c>
      <x:c r="B21" s="5" t="inlineStr">
        <x:is>
          <x:t xml:space="preserve">What exact phrase do you remember?</x:t>
        </x:is>
      </x:c>
      <x:c r="C21" s="5" t="inlineStr">
        <x:is>
          <x:t xml:space="preserve">Text + coded score</x:t>
        </x:is>
      </x:c>
      <x:c r="D21" s="5" t="inlineStr">
        <x:is>
          <x:t xml:space="preserve">Full captions may win here</x:t>
        </x:is>
      </x:c>
      <x:c r="E21" s="2" t="n"/>
      <x:c r="F21" s="2" t="n"/>
      <x:c r="G21" s="2" t="n"/>
      <x:c r="H21" s="2" t="n"/>
    </x:row>
    <x:row r="22" ht="32" customHeight="1">
      <x:c r="A22" s="6" t="inlineStr">
        <x:is>
          <x:t xml:space="preserve">Visual recall</x:t>
        </x:is>
      </x:c>
      <x:c r="B22" s="6" t="inlineStr">
        <x:is>
          <x:t xml:space="preserve">What object/action/face detail did you notice?</x:t>
        </x:is>
      </x:c>
      <x:c r="C22" s="6" t="inlineStr">
        <x:is>
          <x:t xml:space="preserve">0/1 or coded detail count</x:t>
        </x:is>
      </x:c>
      <x:c r="D22" s="6" t="inlineStr">
        <x:is>
          <x:t xml:space="preserve">Detects text stealing gaze from video</x:t>
        </x:is>
      </x:c>
      <x:c r="E22" s="2" t="n"/>
      <x:c r="F22" s="2" t="n"/>
      <x:c r="G22" s="2" t="n"/>
      <x:c r="H22" s="2" t="n"/>
    </x:row>
    <x:row r="23" ht="32" customHeight="1">
      <x:c r="A23" s="5" t="inlineStr">
        <x:is>
          <x:t xml:space="preserve">Perceived effort</x:t>
        </x:is>
      </x:c>
      <x:c r="B23" s="5" t="inlineStr">
        <x:is>
          <x:t xml:space="preserve">How hard was it to follow?</x:t>
        </x:is>
      </x:c>
      <x:c r="C23" s="5" t="inlineStr">
        <x:is>
          <x:t xml:space="preserve">1–7 Likert</x:t>
        </x:is>
      </x:c>
      <x:c r="D23" s="5" t="inlineStr">
        <x:is>
          <x:t xml:space="preserve">Cognitive load proxy</x:t>
        </x:is>
      </x:c>
      <x:c r="E23" s="2" t="n"/>
      <x:c r="F23" s="2" t="n"/>
      <x:c r="G23" s="2" t="n"/>
      <x:c r="H23" s="2" t="n"/>
    </x:row>
    <x:row r="24" ht="32" customHeight="1">
      <x:c r="A24" s="6" t="inlineStr">
        <x:is>
          <x:t xml:space="preserve">Text helpfulness</x:t>
        </x:is>
      </x:c>
      <x:c r="B24" s="6" t="inlineStr">
        <x:is>
          <x:t xml:space="preserve">Did the text help or distract?</x:t>
        </x:is>
      </x:c>
      <x:c r="C24" s="6" t="inlineStr">
        <x:is>
          <x:t xml:space="preserve">1–7 Likert + comment</x:t>
        </x:is>
      </x:c>
      <x:c r="D24" s="6" t="inlineStr">
        <x:is>
          <x:t xml:space="preserve">Subjective usability</x:t>
        </x:is>
      </x:c>
      <x:c r="E24" s="2" t="n"/>
      <x:c r="F24" s="2" t="n"/>
      <x:c r="G24" s="2" t="n"/>
      <x:c r="H24" s="2" t="n"/>
    </x:row>
    <x:row r="25" ht="32" customHeight="1">
      <x:c r="A25" s="5" t="inlineStr">
        <x:is>
          <x:t xml:space="preserve">Muted comprehension</x:t>
        </x:is>
      </x:c>
      <x:c r="B25" s="5" t="inlineStr">
        <x:is>
          <x:t xml:space="preserve">Audio off main-point accuracy</x:t>
        </x:is>
      </x:c>
      <x:c r="C25" s="5" t="inlineStr">
        <x:is>
          <x:t xml:space="preserve">0/1 or 0–2</x:t>
        </x:is>
      </x:c>
      <x:c r="D25" s="5" t="inlineStr">
        <x:is>
          <x:t xml:space="preserve">Key short-form use case</x:t>
        </x:is>
      </x:c>
      <x:c r="E25" s="2" t="n"/>
      <x:c r="F25" s="2" t="n"/>
      <x:c r="G25" s="2" t="n"/>
      <x:c r="H25" s="2" t="n"/>
    </x:row>
    <x:row r="26" ht="20" customHeight="1">
      <x:c r="A26" s="6" t="inlineStr">
        <x:is>
          <x:t xml:space="preserve">Completion rate</x:t>
        </x:is>
      </x:c>
      <x:c r="B26" s="6" t="inlineStr">
        <x:is>
          <x:t xml:space="preserve">Percent video completed</x:t>
        </x:is>
      </x:c>
      <x:c r="C26" s="6" t="inlineStr">
        <x:is>
          <x:t xml:space="preserve">Platform metric</x:t>
        </x:is>
      </x:c>
      <x:c r="D26" s="6" t="inlineStr">
        <x:is>
          <x:t xml:space="preserve">Retention</x:t>
        </x:is>
      </x:c>
      <x:c r="E26" s="2" t="n"/>
      <x:c r="F26" s="2" t="n"/>
      <x:c r="G26" s="2" t="n"/>
      <x:c r="H26" s="2" t="n"/>
    </x:row>
    <x:row r="27" ht="32" customHeight="1">
      <x:c r="A27" s="5" t="inlineStr">
        <x:is>
          <x:t xml:space="preserve">Meaning per second</x:t>
        </x:is>
      </x:c>
      <x:c r="B27" s="5" t="inlineStr">
        <x:is>
          <x:t xml:space="preserve">Gist/action score divided by watch seconds</x:t>
        </x:is>
      </x:c>
      <x:c r="C27" s="5" t="inlineStr">
        <x:is>
          <x:t xml:space="preserve">Derived metric</x:t>
        </x:is>
      </x:c>
      <x:c r="D27" s="5" t="inlineStr">
        <x:is>
          <x:t xml:space="preserve">Primary product KPI</x:t>
        </x:is>
      </x:c>
      <x:c r="E27" s="2" t="n"/>
      <x:c r="F27" s="2" t="n"/>
      <x:c r="G27" s="2" t="n"/>
      <x:c r="H27" s="2" t="n"/>
    </x:row>
    <x:row r="28" ht="32" customHeight="1">
      <x:c r="A28" s="6" t="inlineStr">
        <x:is>
          <x:t xml:space="preserve">Meaning per fixation</x:t>
        </x:is>
      </x:c>
      <x:c r="B28" s="6" t="inlineStr">
        <x:is>
          <x:t xml:space="preserve">Gist/action score divided by text fixations</x:t>
        </x:is>
      </x:c>
      <x:c r="C28" s="6" t="inlineStr">
        <x:is>
          <x:t xml:space="preserve">Derived eye-tracking metric</x:t>
        </x:is>
      </x:c>
      <x:c r="D28" s="6" t="inlineStr">
        <x:is>
          <x:t xml:space="preserve">Advanced research KPI</x:t>
        </x:is>
      </x:c>
      <x:c r="E28" s="2" t="n"/>
      <x:c r="F28" s="2" t="n"/>
      <x:c r="G28" s="2" t="n"/>
      <x:c r="H28" s="2" t="n"/>
    </x:row>
  </x:sheetData>
  <x:mergeCells>
    <x:mergeCell ref="A2:H2"/>
    <x:mergeCell ref="A1:H1"/>
  </x:mergeCells>
  <x:pageMargins left="0.7" right="0.7" top="0.75" bottom="0.75" header="0.3" footer="0.3"/>
  <x:tableParts count="2">
    <x:tablePart xmlns:r="http://schemas.openxmlformats.org/officeDocument/2006/relationships" r:id="Rd6fa132864a94e5f"/>
    <x:tablePart xmlns:r="http://schemas.openxmlformats.org/officeDocument/2006/relationships" r:id="R88dba291477f433e"/>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2" customWidth="1"/>
    <x:col min="2" max="2" width="90" customWidth="1"/>
    <x:col min="3" max="3" width="42" customWidth="1"/>
    <x:col min="4" max="4" width="12" customWidth="1"/>
    <x:col min="5" max="5" width="12" customWidth="1"/>
    <x:col min="6" max="6" width="12" customWidth="1"/>
    <x:col min="7" max="7" width="12" customWidth="1"/>
    <x:col min="8" max="8" width="12" customWidth="1"/>
  </x:cols>
  <x:sheetData>
    <x:row r="1" ht="28" customHeight="1">
      <x:c r="A1" s="1" t="inlineStr">
        <x:is>
          <x:t xml:space="preserve">Pilot Pack</x:t>
        </x:is>
      </x:c>
    </x:row>
    <x:row r="2" ht="36" customHeight="1">
      <x:c r="A2" s="3" t="inlineStr">
        <x:is>
          <x:t xml:space="preserve">Ready-to-test script and text variants for the first decisive experiment.</x:t>
        </x:is>
      </x:c>
    </x:row>
    <x:row r="3" ht="20" customHeight="1">
      <x:c r="A3" s="2" t="n"/>
      <x:c r="B3" s="2" t="n"/>
      <x:c r="C3" s="2" t="n"/>
      <x:c r="D3" s="2" t="n"/>
      <x:c r="E3" s="2" t="n"/>
      <x:c r="F3" s="2" t="n"/>
      <x:c r="G3" s="2" t="n"/>
      <x:c r="H3" s="2" t="n"/>
    </x:row>
    <x:row r="4" ht="32" customHeight="1">
      <x:c r="A4" s="4" t="inlineStr">
        <x:is>
          <x:t xml:space="preserve">Item</x:t>
        </x:is>
      </x:c>
      <x:c r="B4" s="4" t="inlineStr">
        <x:is>
          <x:t xml:space="preserve">Text</x:t>
        </x:is>
      </x:c>
      <x:c r="C4" s="4" t="inlineStr">
        <x:is>
          <x:t xml:space="preserve">Notes</x:t>
        </x:is>
      </x:c>
      <x:c r="D4" s="2" t="n"/>
      <x:c r="E4" s="2" t="n"/>
      <x:c r="F4" s="2" t="n"/>
      <x:c r="G4" s="2" t="n"/>
      <x:c r="H4" s="2" t="n"/>
    </x:row>
    <x:row r="5" ht="32" customHeight="1">
      <x:c r="A5" s="5" t="inlineStr">
        <x:is>
          <x:t xml:space="preserve">Base spoken script</x:t>
        </x:is>
      </x:c>
      <x:c r="B5" s="5" t="inlineStr">
        <x:is>
          <x:t xml:space="preserve">Most people do not fail because they lack motivation. They fail because their day has no structure. If you want to change the habit, reduce the friction around the first step.</x:t>
        </x:is>
      </x:c>
      <x:c r="C5" s="5" t="inlineStr">
        <x:is>
          <x:t xml:space="preserve">Use one talking-head clip and one simple B-roll version.</x:t>
        </x:is>
      </x:c>
      <x:c r="D5" s="2" t="n"/>
      <x:c r="E5" s="2" t="n"/>
      <x:c r="F5" s="2" t="n"/>
      <x:c r="G5" s="2" t="n"/>
      <x:c r="H5" s="2" t="n"/>
    </x:row>
    <x:row r="6" ht="20" customHeight="1">
      <x:c r="A6" s="6" t="inlineStr">
        <x:is>
          <x:t xml:space="preserve">Full transcript overlay</x:t>
        </x:is>
      </x:c>
      <x:c r="B6" s="6" t="inlineStr">
        <x:is>
          <x:t xml:space="preserve">Most people do not fail because they lack motivation. They fail because their day has no structure.</x:t>
        </x:is>
      </x:c>
      <x:c r="C6" s="6" t="inlineStr">
        <x:is>
          <x:t xml:space="preserve">Condition B</x:t>
        </x:is>
      </x:c>
      <x:c r="D6" s="2" t="n"/>
      <x:c r="E6" s="2" t="n"/>
      <x:c r="F6" s="2" t="n"/>
      <x:c r="G6" s="2" t="n"/>
      <x:c r="H6" s="2" t="n"/>
    </x:row>
    <x:row r="7" ht="20" customHeight="1">
      <x:c r="A7" s="5" t="inlineStr">
        <x:is>
          <x:t xml:space="preserve">Keyword-highlight transcript</x:t>
        </x:is>
      </x:c>
      <x:c r="B7" s="5" t="inlineStr">
        <x:is>
          <x:t xml:space="preserve">Most people do not fail because they lack MOTIVATION. They fail because their day has no STRUCTURE.</x:t>
        </x:is>
      </x:c>
      <x:c r="C7" s="5" t="inlineStr">
        <x:is>
          <x:t xml:space="preserve">Condition D</x:t>
        </x:is>
      </x:c>
      <x:c r="D7" s="2" t="n"/>
      <x:c r="E7" s="2" t="n"/>
      <x:c r="F7" s="2" t="n"/>
      <x:c r="G7" s="2" t="n"/>
      <x:c r="H7" s="2" t="n"/>
    </x:row>
    <x:row r="8" ht="32" customHeight="1">
      <x:c r="A8" s="6" t="inlineStr">
        <x:is>
          <x:t xml:space="preserve">Semantic compression</x:t>
        </x:is>
      </x:c>
      <x:c r="B8" s="6" t="inlineStr">
        <x:is>
          <x:t xml:space="preserve">Not motivation.
Structure.</x:t>
        </x:is>
      </x:c>
      <x:c r="C8" s="6" t="inlineStr">
        <x:is>
          <x:t xml:space="preserve">Condition E</x:t>
        </x:is>
      </x:c>
      <x:c r="D8" s="2" t="n"/>
      <x:c r="E8" s="2" t="n"/>
      <x:c r="F8" s="2" t="n"/>
      <x:c r="G8" s="2" t="n"/>
      <x:c r="H8" s="2" t="n"/>
    </x:row>
    <x:row r="9" ht="32" customHeight="1">
      <x:c r="A9" s="5" t="inlineStr">
        <x:is>
          <x:t xml:space="preserve">BCC</x:t>
        </x:is>
      </x:c>
      <x:c r="B9" s="5" t="inlineStr">
        <x:is>
          <x:t xml:space="preserve">**Not** **moti**vation.
**Struc**ture.</x:t>
        </x:is>
      </x:c>
      <x:c r="C9" s="5" t="inlineStr">
        <x:is>
          <x:t xml:space="preserve">Condition F</x:t>
        </x:is>
      </x:c>
      <x:c r="D9" s="2" t="n"/>
      <x:c r="E9" s="2" t="n"/>
      <x:c r="F9" s="2" t="n"/>
      <x:c r="G9" s="2" t="n"/>
      <x:c r="H9" s="2" t="n"/>
    </x:row>
    <x:row r="10" ht="64" customHeight="1">
      <x:c r="A10" s="6" t="inlineStr">
        <x:is>
          <x:t xml:space="preserve">BCC+</x:t>
        </x:is>
      </x:c>
      <x:c r="B10" s="6" t="inlineStr">
        <x:is>
          <x:t xml:space="preserve">**Not** **moti**vation.
**Struc**ture.
Reduce **fric**tion.
Shrink the **start**.</x:t>
        </x:is>
      </x:c>
      <x:c r="C10" s="6" t="inlineStr">
        <x:is>
          <x:t xml:space="preserve">Condition G</x:t>
        </x:is>
      </x:c>
      <x:c r="D10" s="2" t="n"/>
      <x:c r="E10" s="2" t="n"/>
      <x:c r="F10" s="2" t="n"/>
      <x:c r="G10" s="2" t="n"/>
      <x:c r="H10" s="2" t="n"/>
    </x:row>
    <x:row r="11" ht="20" customHeight="1">
      <x:c r="A11" s="5" t="inlineStr">
        <x:is>
          <x:t xml:space="preserve">Heavy bionic</x:t>
        </x:is>
      </x:c>
      <x:c r="B11" s="5" t="inlineStr">
        <x:is>
          <x:t xml:space="preserve">**Mos**t **peo**ple **do** **not** **fail** **bec**ause **they** **lack** **moti**vation...</x:t>
        </x:is>
      </x:c>
      <x:c r="C11" s="5" t="inlineStr">
        <x:is>
          <x:t xml:space="preserve">Condition H</x:t>
        </x:is>
      </x:c>
      <x:c r="D11" s="2" t="n"/>
      <x:c r="E11" s="2" t="n"/>
      <x:c r="F11" s="2" t="n"/>
      <x:c r="G11" s="2" t="n"/>
      <x:c r="H11" s="2" t="n"/>
    </x:row>
  </x:sheetData>
  <x:mergeCells>
    <x:mergeCell ref="A2:H2"/>
    <x:mergeCell ref="A1:H1"/>
  </x:mergeCells>
  <x:pageMargins left="0.7" right="0.7" top="0.75" bottom="0.75" header="0.3" footer="0.3"/>
  <x:tableParts count="1">
    <x:tablePart xmlns:r="http://schemas.openxmlformats.org/officeDocument/2006/relationships" r:id="Rd52491fab4db41ba"/>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8" customWidth="1"/>
    <x:col min="2" max="2" width="32" customWidth="1"/>
    <x:col min="3" max="3" width="65" customWidth="1"/>
    <x:col min="4" max="4" width="60" customWidth="1"/>
    <x:col min="5" max="5" width="12" customWidth="1"/>
    <x:col min="6" max="6" width="12" customWidth="1"/>
    <x:col min="7" max="7" width="12" customWidth="1"/>
    <x:col min="8" max="8" width="12" customWidth="1"/>
  </x:cols>
  <x:sheetData>
    <x:row r="1" ht="28" customHeight="1">
      <x:c r="A1" s="1" t="inlineStr">
        <x:is>
          <x:t xml:space="preserve">Production Workflow</x:t>
        </x:is>
      </x:c>
    </x:row>
    <x:row r="2" ht="36" customHeight="1">
      <x:c r="A2" s="3" t="inlineStr">
        <x:is>
          <x:t xml:space="preserve">Manual workflow to use now before automation. The aim is consistent overlays that can be tested.</x:t>
        </x:is>
      </x:c>
    </x:row>
    <x:row r="3" ht="20" customHeight="1">
      <x:c r="A3" s="2" t="n"/>
      <x:c r="B3" s="2" t="n"/>
      <x:c r="C3" s="2" t="n"/>
      <x:c r="D3" s="2" t="n"/>
      <x:c r="E3" s="2" t="n"/>
      <x:c r="F3" s="2" t="n"/>
      <x:c r="G3" s="2" t="n"/>
      <x:c r="H3" s="2" t="n"/>
    </x:row>
    <x:row r="4" ht="32" customHeight="1">
      <x:c r="A4" s="4" t="inlineStr">
        <x:is>
          <x:t xml:space="preserve">Step</x:t>
        </x:is>
      </x:c>
      <x:c r="B4" s="4" t="inlineStr">
        <x:is>
          <x:t xml:space="preserve">Name</x:t>
        </x:is>
      </x:c>
      <x:c r="C4" s="4" t="inlineStr">
        <x:is>
          <x:t xml:space="preserve">Action</x:t>
        </x:is>
      </x:c>
      <x:c r="D4" s="4" t="inlineStr">
        <x:is>
          <x:t xml:space="preserve">Rule</x:t>
        </x:is>
      </x:c>
      <x:c r="E4" s="2" t="n"/>
      <x:c r="F4" s="2" t="n"/>
      <x:c r="G4" s="2" t="n"/>
      <x:c r="H4" s="2" t="n"/>
    </x:row>
    <x:row r="5" ht="20" customHeight="1">
      <x:c r="A5" s="5" t="n">
        <x:v>1</x:v>
      </x:c>
      <x:c r="B5" s="5" t="inlineStr">
        <x:is>
          <x:t xml:space="preserve">Transcribe</x:t>
        </x:is>
      </x:c>
      <x:c r="C5" s="5" t="inlineStr">
        <x:is>
          <x:t xml:space="preserve">Create full transcript and closed captions.</x:t>
        </x:is>
      </x:c>
      <x:c r="D5" s="5" t="inlineStr">
        <x:is>
          <x:t xml:space="preserve">Full captions are accessibility layer.</x:t>
        </x:is>
      </x:c>
      <x:c r="E5" s="2" t="n"/>
      <x:c r="F5" s="2" t="n"/>
      <x:c r="G5" s="2" t="n"/>
      <x:c r="H5" s="2" t="n"/>
    </x:row>
    <x:row r="6" ht="20" customHeight="1">
      <x:c r="A6" s="6" t="n">
        <x:v>2</x:v>
      </x:c>
      <x:c r="B6" s="6" t="inlineStr">
        <x:is>
          <x:t xml:space="preserve">Extract proposition</x:t>
        </x:is>
      </x:c>
      <x:c r="C6" s="6" t="inlineStr">
        <x:is>
          <x:t xml:space="preserve">Identify the actual claim or mechanism.</x:t>
        </x:is>
      </x:c>
      <x:c r="D6" s="6" t="inlineStr">
        <x:is>
          <x:t xml:space="preserve">What is the video trying to make the viewer understand?</x:t>
        </x:is>
      </x:c>
      <x:c r="E6" s="2" t="n"/>
      <x:c r="F6" s="2" t="n"/>
      <x:c r="G6" s="2" t="n"/>
      <x:c r="H6" s="2" t="n"/>
    </x:row>
    <x:row r="7" ht="20" customHeight="1">
      <x:c r="A7" s="5" t="n">
        <x:v>3</x:v>
      </x:c>
      <x:c r="B7" s="5" t="inlineStr">
        <x:is>
          <x:t xml:space="preserve">Compress into semantic beats</x:t>
        </x:is>
      </x:c>
      <x:c r="C7" s="5" t="inlineStr">
        <x:is>
          <x:t xml:space="preserve">Convert speech to 2–7 word meaning units.</x:t>
        </x:is>
      </x:c>
      <x:c r="D7" s="5" t="inlineStr">
        <x:is>
          <x:t xml:space="preserve">Remove filler and repeated phrasing.</x:t>
        </x:is>
      </x:c>
      <x:c r="E7" s="2" t="n"/>
      <x:c r="F7" s="2" t="n"/>
      <x:c r="G7" s="2" t="n"/>
      <x:c r="H7" s="2" t="n"/>
    </x:row>
    <x:row r="8" ht="32" customHeight="1">
      <x:c r="A8" s="6" t="n">
        <x:v>4</x:v>
      </x:c>
      <x:c r="B8" s="6" t="inlineStr">
        <x:is>
          <x:t xml:space="preserve">Assign beat role</x:t>
        </x:is>
      </x:c>
      <x:c r="C8" s="6" t="inlineStr">
        <x:is>
          <x:t xml:space="preserve">Hook, false belief, correction, diagnosis, mechanism, instruction, payoff.</x:t>
        </x:is>
      </x:c>
      <x:c r="D8" s="6" t="inlineStr">
        <x:is>
          <x:t xml:space="preserve">Role determines style.</x:t>
        </x:is>
      </x:c>
      <x:c r="E8" s="2" t="n"/>
      <x:c r="F8" s="2" t="n"/>
      <x:c r="G8" s="2" t="n"/>
      <x:c r="H8" s="2" t="n"/>
    </x:row>
    <x:row r="9" ht="20" customHeight="1">
      <x:c r="A9" s="5" t="n">
        <x:v>5</x:v>
      </x:c>
      <x:c r="B9" s="5" t="inlineStr">
        <x:is>
          <x:t xml:space="preserve">Apply operator anchors</x:t>
        </x:is>
      </x:c>
      <x:c r="C9" s="5" t="inlineStr">
        <x:is>
          <x:t xml:space="preserve">Fully bold logic words: not, no, stop, less, more, first, then.</x:t>
        </x:is>
      </x:c>
      <x:c r="D9" s="5" t="inlineStr">
        <x:is>
          <x:t xml:space="preserve">These words carry the relationship.</x:t>
        </x:is>
      </x:c>
      <x:c r="E9" s="2" t="n"/>
      <x:c r="F9" s="2" t="n"/>
      <x:c r="G9" s="2" t="n"/>
      <x:c r="H9" s="2" t="n"/>
    </x:row>
    <x:row r="10" ht="20" customHeight="1">
      <x:c r="A10" s="6" t="n">
        <x:v>6</x:v>
      </x:c>
      <x:c r="B10" s="6" t="inlineStr">
        <x:is>
          <x:t xml:space="preserve">Apply concept anchors</x:t>
        </x:is>
      </x:c>
      <x:c r="C10" s="6" t="inlineStr">
        <x:is>
          <x:t xml:space="preserve">Partial-bold key concept words only.</x:t>
        </x:is>
      </x:c>
      <x:c r="D10" s="6" t="inlineStr">
        <x:is>
          <x:t xml:space="preserve">Use sparingly: 1–3 anchors per screen.</x:t>
        </x:is>
      </x:c>
      <x:c r="E10" s="2" t="n"/>
      <x:c r="F10" s="2" t="n"/>
      <x:c r="G10" s="2" t="n"/>
      <x:c r="H10" s="2" t="n"/>
    </x:row>
    <x:row r="11" ht="20" customHeight="1">
      <x:c r="A11" s="5" t="n">
        <x:v>7</x:v>
      </x:c>
      <x:c r="B11" s="5" t="inlineStr">
        <x:is>
          <x:t xml:space="preserve">Place safely</x:t>
        </x:is>
      </x:c>
      <x:c r="C11" s="5" t="inlineStr">
        <x:is>
          <x:t xml:space="preserve">Avoid mouth, eyes, hands, object, UI, native captions.</x:t>
        </x:is>
      </x:c>
      <x:c r="D11" s="5" t="inlineStr">
        <x:is>
          <x:t xml:space="preserve">Protect visual information.</x:t>
        </x:is>
      </x:c>
      <x:c r="E11" s="2" t="n"/>
      <x:c r="F11" s="2" t="n"/>
      <x:c r="G11" s="2" t="n"/>
      <x:c r="H11" s="2" t="n"/>
    </x:row>
    <x:row r="12" ht="20" customHeight="1">
      <x:c r="A12" s="6" t="n">
        <x:v>8</x:v>
      </x:c>
      <x:c r="B12" s="6" t="inlineStr">
        <x:is>
          <x:t xml:space="preserve">Adapt density</x:t>
        </x:is>
      </x:c>
      <x:c r="C12" s="6" t="inlineStr">
        <x:is>
          <x:t xml:space="preserve">Busy frame = 1–3 words; simple frame = 4–7 words.</x:t>
        </x:is>
      </x:c>
      <x:c r="D12" s="6" t="inlineStr">
        <x:is>
          <x:t xml:space="preserve">Visual-load adaptive captioning.</x:t>
        </x:is>
      </x:c>
      <x:c r="E12" s="2" t="n"/>
      <x:c r="F12" s="2" t="n"/>
      <x:c r="G12" s="2" t="n"/>
      <x:c r="H12" s="2" t="n"/>
    </x:row>
    <x:row r="13" ht="20" customHeight="1">
      <x:c r="A13" s="5" t="n">
        <x:v>9</x:v>
      </x:c>
      <x:c r="B13" s="5" t="inlineStr">
        <x:is>
          <x:t xml:space="preserve">Time to semantic beat</x:t>
        </x:is>
      </x:c>
      <x:c r="C13" s="5" t="inlineStr">
        <x:is>
          <x:t xml:space="preserve">Cue text on speech beat, cut, zoom, or pause.</x:t>
        </x:is>
      </x:c>
      <x:c r="D13" s="5" t="inlineStr">
        <x:is>
          <x:t xml:space="preserve">Pre-cue/sync-cue/post-cue variants should be tested.</x:t>
        </x:is>
      </x:c>
      <x:c r="E13" s="2" t="n"/>
      <x:c r="F13" s="2" t="n"/>
      <x:c r="G13" s="2" t="n"/>
      <x:c r="H13" s="2" t="n"/>
    </x:row>
    <x:row r="14" ht="20" customHeight="1">
      <x:c r="A14" s="6" t="n">
        <x:v>10</x:v>
      </x:c>
      <x:c r="B14" s="6" t="inlineStr">
        <x:is>
          <x:t xml:space="preserve">Muted test</x:t>
        </x:is>
      </x:c>
      <x:c r="C14" s="6" t="inlineStr">
        <x:is>
          <x:t xml:space="preserve">Watch without audio and check main-point comprehension.</x:t>
        </x:is>
      </x:c>
      <x:c r="D14" s="6" t="inlineStr">
        <x:is>
          <x:t xml:space="preserve">If unclear, add one clarifying word.</x:t>
        </x:is>
      </x:c>
      <x:c r="E14" s="2" t="n"/>
      <x:c r="F14" s="2" t="n"/>
      <x:c r="G14" s="2" t="n"/>
      <x:c r="H14" s="2" t="n"/>
    </x:row>
    <x:row r="15" ht="20" customHeight="1">
      <x:c r="A15" s="5" t="n">
        <x:v>11</x:v>
      </x:c>
      <x:c r="B15" s="5" t="inlineStr">
        <x:is>
          <x:t xml:space="preserve">Load test</x:t>
        </x:is>
      </x:c>
      <x:c r="C15" s="5" t="inlineStr">
        <x:is>
          <x:t xml:space="preserve">Ask whether it feels like reading or instant grasping.</x:t>
        </x:is>
      </x:c>
      <x:c r="D15" s="5" t="inlineStr">
        <x:is>
          <x:t xml:space="preserve">If reading, compress or remove motion.</x:t>
        </x:is>
      </x:c>
      <x:c r="E15" s="2" t="n"/>
      <x:c r="F15" s="2" t="n"/>
      <x:c r="G15" s="2" t="n"/>
      <x:c r="H15" s="2" t="n"/>
    </x:row>
    <x:row r="16" ht="20" customHeight="1">
      <x:c r="A16" s="6" t="n">
        <x:v>12</x:v>
      </x:c>
      <x:c r="B16" s="6" t="inlineStr">
        <x:is>
          <x:t xml:space="preserve">Publish and measure</x:t>
        </x:is>
      </x:c>
      <x:c r="C16" s="6" t="inlineStr">
        <x:is>
          <x:t xml:space="preserve">Track retention and recall metrics.</x:t>
        </x:is>
      </x:c>
      <x:c r="D16" s="6" t="inlineStr">
        <x:is>
          <x:t xml:space="preserve">Use standardized data dictionary.</x:t>
        </x:is>
      </x:c>
      <x:c r="E16" s="2" t="n"/>
      <x:c r="F16" s="2" t="n"/>
      <x:c r="G16" s="2" t="n"/>
      <x:c r="H16" s="2" t="n"/>
    </x:row>
  </x:sheetData>
  <x:mergeCells>
    <x:mergeCell ref="A2:H2"/>
    <x:mergeCell ref="A1:H1"/>
  </x:mergeCells>
  <x:pageMargins left="0.7" right="0.7" top="0.75" bottom="0.75" header="0.3" footer="0.3"/>
  <x:tableParts count="1">
    <x:tablePart xmlns:r="http://schemas.openxmlformats.org/officeDocument/2006/relationships" r:id="R19b3d5663ee84aba"/>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27" customWidth="1"/>
    <x:col min="2" max="2" width="65" customWidth="1"/>
    <x:col min="3" max="3" width="18" customWidth="1"/>
    <x:col min="4" max="4" width="12" customWidth="1"/>
    <x:col min="5" max="5" width="18" customWidth="1"/>
    <x:col min="6" max="6" width="42" customWidth="1"/>
    <x:col min="7" max="7" width="12" customWidth="1"/>
    <x:col min="8" max="8" width="12" customWidth="1"/>
  </x:cols>
  <x:sheetData>
    <x:row r="1" ht="28" customHeight="1">
      <x:c r="A1" s="1" t="inlineStr">
        <x:is>
          <x:t xml:space="preserve">BCC+ Scoring Template</x:t>
        </x:is>
      </x:c>
    </x:row>
    <x:row r="2" ht="36" customHeight="1">
      <x:c r="A2" s="3" t="inlineStr">
        <x:is>
          <x:t xml:space="preserve">Fill blue score cells from 1–5 for each overlay. Weighted score calculates automatically in Excel.</x:t>
        </x:is>
      </x:c>
    </x:row>
    <x:row r="3" ht="20" customHeight="1">
      <x:c r="A3" s="2" t="n"/>
      <x:c r="B3" s="2" t="n"/>
      <x:c r="C3" s="2" t="n"/>
      <x:c r="D3" s="2" t="n"/>
      <x:c r="E3" s="2" t="n"/>
      <x:c r="F3" s="2" t="n"/>
      <x:c r="G3" s="2" t="n"/>
      <x:c r="H3" s="2" t="n"/>
    </x:row>
    <x:row r="4" ht="32" customHeight="1">
      <x:c r="A4" s="4" t="inlineStr">
        <x:is>
          <x:t xml:space="preserve">Dimension</x:t>
        </x:is>
      </x:c>
      <x:c r="B4" s="4" t="inlineStr">
        <x:is>
          <x:t xml:space="preserve">Question</x:t>
        </x:is>
      </x:c>
      <x:c r="C4" s="4" t="inlineStr">
        <x:is>
          <x:t xml:space="preserve">Score input (1-5)</x:t>
        </x:is>
      </x:c>
      <x:c r="D4" s="4" t="inlineStr">
        <x:is>
          <x:t xml:space="preserve">Weight</x:t>
        </x:is>
      </x:c>
      <x:c r="E4" s="4" t="inlineStr">
        <x:is>
          <x:t xml:space="preserve">Weighted score</x:t>
        </x:is>
      </x:c>
      <x:c r="F4" s="4" t="inlineStr">
        <x:is>
          <x:t xml:space="preserve">Failure threshold</x:t>
        </x:is>
      </x:c>
      <x:c r="G4" s="2" t="n"/>
      <x:c r="H4" s="2" t="n"/>
    </x:row>
    <x:row r="5" ht="20" customHeight="1">
      <x:c r="A5" s="5" t="inlineStr">
        <x:is>
          <x:t xml:space="preserve">Compression</x:t>
        </x:is>
      </x:c>
      <x:c r="B5" s="5" t="inlineStr">
        <x:is>
          <x:t xml:space="preserve">Did the overlay remove unnecessary words?</x:t>
        </x:is>
      </x:c>
      <x:c r="C5" s="11" t="inlineStr">
        <x:is>
          <x:t xml:space="preserve"/>
        </x:is>
      </x:c>
      <x:c r="D5" s="5" t="n">
        <x:v>1.2</x:v>
      </x:c>
      <x:c r="E5" s="11">
        <x:f>C5*D5</x:f>
        <x:v>0</x:v>
      </x:c>
      <x:c r="F5" s="5" t="inlineStr">
        <x:is>
          <x:t xml:space="preserve">Score &lt; 3 = rewrite</x:t>
        </x:is>
      </x:c>
      <x:c r="G5" s="2" t="n"/>
      <x:c r="H5" s="2" t="n"/>
    </x:row>
    <x:row r="6" ht="20" customHeight="1">
      <x:c r="A6" s="6" t="inlineStr">
        <x:is>
          <x:t xml:space="preserve">Semantic clarity</x:t>
        </x:is>
      </x:c>
      <x:c r="B6" s="6" t="inlineStr">
        <x:is>
          <x:t xml:space="preserve">Is the idea understandable without explanation?</x:t>
        </x:is>
      </x:c>
      <x:c r="C6" s="11" t="inlineStr">
        <x:is>
          <x:t xml:space="preserve"/>
        </x:is>
      </x:c>
      <x:c r="D6" s="6" t="n">
        <x:v>1.4</x:v>
      </x:c>
      <x:c r="E6" s="11">
        <x:f>C6*D6</x:f>
        <x:v>0</x:v>
      </x:c>
      <x:c r="F6" s="6" t="inlineStr">
        <x:is>
          <x:t xml:space="preserve">Score &lt; 3 = rewrite</x:t>
        </x:is>
      </x:c>
      <x:c r="G6" s="2" t="n"/>
      <x:c r="H6" s="2" t="n"/>
    </x:row>
    <x:row r="7" ht="20" customHeight="1">
      <x:c r="A7" s="5" t="inlineStr">
        <x:is>
          <x:t xml:space="preserve">Operator strength</x:t>
        </x:is>
      </x:c>
      <x:c r="B7" s="5" t="inlineStr">
        <x:is>
          <x:t xml:space="preserve">Are logic words clear?</x:t>
        </x:is>
      </x:c>
      <x:c r="C7" s="11" t="inlineStr">
        <x:is>
          <x:t xml:space="preserve"/>
        </x:is>
      </x:c>
      <x:c r="D7" s="5" t="n">
        <x:v>1</x:v>
      </x:c>
      <x:c r="E7" s="11">
        <x:f>C7*D7</x:f>
        <x:v>0</x:v>
      </x:c>
      <x:c r="F7" s="5" t="inlineStr">
        <x:is>
          <x:t xml:space="preserve">Score &lt; 3 = revise anchors</x:t>
        </x:is>
      </x:c>
      <x:c r="G7" s="2" t="n"/>
      <x:c r="H7" s="2" t="n"/>
    </x:row>
    <x:row r="8" ht="20" customHeight="1">
      <x:c r="A8" s="6" t="inlineStr">
        <x:is>
          <x:t xml:space="preserve">Concept anchoring</x:t>
        </x:is>
      </x:c>
      <x:c r="B8" s="6" t="inlineStr">
        <x:is>
          <x:t xml:space="preserve">Are only key concepts emphasized?</x:t>
        </x:is>
      </x:c>
      <x:c r="C8" s="11" t="inlineStr">
        <x:is>
          <x:t xml:space="preserve"/>
        </x:is>
      </x:c>
      <x:c r="D8" s="6" t="n">
        <x:v>1</x:v>
      </x:c>
      <x:c r="E8" s="11">
        <x:f>C8*D8</x:f>
        <x:v>0</x:v>
      </x:c>
      <x:c r="F8" s="6" t="inlineStr">
        <x:is>
          <x:t xml:space="preserve">Score &lt; 3 = revise anchors</x:t>
        </x:is>
      </x:c>
      <x:c r="G8" s="2" t="n"/>
      <x:c r="H8" s="2" t="n"/>
    </x:row>
    <x:row r="9" ht="20" customHeight="1">
      <x:c r="A9" s="5" t="inlineStr">
        <x:is>
          <x:t xml:space="preserve">Placement</x:t>
        </x:is>
      </x:c>
      <x:c r="B9" s="5" t="inlineStr">
        <x:is>
          <x:t xml:space="preserve">Does text avoid mouth/eyes/object/UI?</x:t>
        </x:is>
      </x:c>
      <x:c r="C9" s="11" t="inlineStr">
        <x:is>
          <x:t xml:space="preserve"/>
        </x:is>
      </x:c>
      <x:c r="D9" s="5" t="n">
        <x:v>1.3</x:v>
      </x:c>
      <x:c r="E9" s="11">
        <x:f>C9*D9</x:f>
        <x:v>0</x:v>
      </x:c>
      <x:c r="F9" s="5" t="inlineStr">
        <x:is>
          <x:t xml:space="preserve">Score &lt; 3 = move text</x:t>
        </x:is>
      </x:c>
      <x:c r="G9" s="2" t="n"/>
      <x:c r="H9" s="2" t="n"/>
    </x:row>
    <x:row r="10" ht="20" customHeight="1">
      <x:c r="A10" s="6" t="inlineStr">
        <x:is>
          <x:t xml:space="preserve">Timing</x:t>
        </x:is>
      </x:c>
      <x:c r="B10" s="6" t="inlineStr">
        <x:is>
          <x:t xml:space="preserve">Does the caption land on the semantic beat?</x:t>
        </x:is>
      </x:c>
      <x:c r="C10" s="11" t="inlineStr">
        <x:is>
          <x:t xml:space="preserve"/>
        </x:is>
      </x:c>
      <x:c r="D10" s="6" t="n">
        <x:v>1.2</x:v>
      </x:c>
      <x:c r="E10" s="11">
        <x:f>C10*D10</x:f>
        <x:v>0</x:v>
      </x:c>
      <x:c r="F10" s="6" t="inlineStr">
        <x:is>
          <x:t xml:space="preserve">Score &lt; 3 = retime</x:t>
        </x:is>
      </x:c>
      <x:c r="G10" s="2" t="n"/>
      <x:c r="H10" s="2" t="n"/>
    </x:row>
    <x:row r="11" ht="20" customHeight="1">
      <x:c r="A11" s="5" t="inlineStr">
        <x:is>
          <x:t xml:space="preserve">Muted comprehension</x:t>
        </x:is>
      </x:c>
      <x:c r="B11" s="5" t="inlineStr">
        <x:is>
          <x:t xml:space="preserve">Can the main idea be understood without audio?</x:t>
        </x:is>
      </x:c>
      <x:c r="C11" s="11" t="inlineStr">
        <x:is>
          <x:t xml:space="preserve"/>
        </x:is>
      </x:c>
      <x:c r="D11" s="5" t="n">
        <x:v>1.4</x:v>
      </x:c>
      <x:c r="E11" s="11">
        <x:f>C11*D11</x:f>
        <x:v>0</x:v>
      </x:c>
      <x:c r="F11" s="5" t="inlineStr">
        <x:is>
          <x:t xml:space="preserve">Score &lt; 3 = add context</x:t>
        </x:is>
      </x:c>
      <x:c r="G11" s="2" t="n"/>
      <x:c r="H11" s="2" t="n"/>
    </x:row>
    <x:row r="12" ht="20" customHeight="1">
      <x:c r="A12" s="6" t="inlineStr">
        <x:is>
          <x:t xml:space="preserve">Visual load</x:t>
        </x:is>
      </x:c>
      <x:c r="B12" s="6" t="inlineStr">
        <x:is>
          <x:t xml:space="preserve">Does it feel clean rather than busy?</x:t>
        </x:is>
      </x:c>
      <x:c r="C12" s="11" t="inlineStr">
        <x:is>
          <x:t xml:space="preserve"/>
        </x:is>
      </x:c>
      <x:c r="D12" s="6" t="n">
        <x:v>1.1</x:v>
      </x:c>
      <x:c r="E12" s="11">
        <x:f>C12*D12</x:f>
        <x:v>0</x:v>
      </x:c>
      <x:c r="F12" s="6" t="inlineStr">
        <x:is>
          <x:t xml:space="preserve">Score &lt; 3 = reduce density/motion</x:t>
        </x:is>
      </x:c>
      <x:c r="G12" s="2" t="n"/>
      <x:c r="H12" s="2" t="n"/>
    </x:row>
    <x:row r="13" ht="20" customHeight="1">
      <x:c r="A13" s="5" t="inlineStr">
        <x:is>
          <x:t xml:space="preserve">Accessibility</x:t>
        </x:is>
      </x:c>
      <x:c r="B13" s="5" t="inlineStr">
        <x:is>
          <x:t xml:space="preserve">Are proper full captions available separately?</x:t>
        </x:is>
      </x:c>
      <x:c r="C13" s="11" t="inlineStr">
        <x:is>
          <x:t xml:space="preserve"/>
        </x:is>
      </x:c>
      <x:c r="D13" s="5" t="n">
        <x:v>1.5</x:v>
      </x:c>
      <x:c r="E13" s="11">
        <x:f>C13*D13</x:f>
        <x:v>0</x:v>
      </x:c>
      <x:c r="F13" s="5" t="inlineStr">
        <x:is>
          <x:t xml:space="preserve">Score &lt; 5 = fix before publish</x:t>
        </x:is>
      </x:c>
      <x:c r="G13" s="2" t="n"/>
      <x:c r="H13" s="2" t="n"/>
    </x:row>
    <x:row r="14" ht="20" customHeight="1">
      <x:c r="A14" s="6" t="inlineStr">
        <x:is>
          <x:t xml:space="preserve">Memorability</x:t>
        </x:is>
      </x:c>
      <x:c r="B14" s="6" t="inlineStr">
        <x:is>
          <x:t xml:space="preserve">Does it create a recallable phrase?</x:t>
        </x:is>
      </x:c>
      <x:c r="C14" s="11" t="inlineStr">
        <x:is>
          <x:t xml:space="preserve"/>
        </x:is>
      </x:c>
      <x:c r="D14" s="6" t="n">
        <x:v>0.9</x:v>
      </x:c>
      <x:c r="E14" s="11">
        <x:f>C14*D14</x:f>
        <x:v>0</x:v>
      </x:c>
      <x:c r="F14" s="6" t="inlineStr">
        <x:is>
          <x:t xml:space="preserve">Score &lt; 3 = sharpen payoff</x:t>
        </x:is>
      </x:c>
      <x:c r="G14" s="2" t="n"/>
      <x:c r="H14" s="2" t="n"/>
    </x:row>
    <x:row r="15" ht="20" customHeight="1">
      <x:c r="A15" s="2" t="n"/>
      <x:c r="B15" s="2" t="n"/>
      <x:c r="C15" s="2" t="n"/>
      <x:c r="D15" s="2" t="n"/>
      <x:c r="E15" s="2" t="n"/>
      <x:c r="F15" s="2" t="n"/>
      <x:c r="G15" s="2" t="n"/>
      <x:c r="H15" s="2" t="n"/>
    </x:row>
    <x:row r="16" ht="20" customHeight="1">
      <x:c r="A16" s="12" t="inlineStr">
        <x:is>
          <x:t xml:space="preserve">Total weighted score</x:t>
        </x:is>
      </x:c>
      <x:c r="B16" s="2" t="n"/>
      <x:c r="C16" s="2" t="n"/>
      <x:c r="D16" s="2" t="n"/>
      <x:c r="E16" s="2">
        <x:f>SUM(E5:E14)</x:f>
        <x:v>0</x:v>
      </x:c>
      <x:c r="F16" s="2" t="n"/>
      <x:c r="G16" s="2" t="n"/>
      <x:c r="H16" s="2" t="n"/>
    </x:row>
    <x:row r="17" ht="32" customHeight="1">
      <x:c r="A17" s="12" t="inlineStr">
        <x:is>
          <x:t xml:space="preserve">Weighted average</x:t>
        </x:is>
      </x:c>
      <x:c r="B17" s="2" t="n"/>
      <x:c r="C17" s="2" t="n"/>
      <x:c r="D17" s="2" t="n"/>
      <x:c r="E17" s="2">
        <x:f>SUM(E5:E14)/SUM(D5:D14)</x:f>
        <x:v>0</x:v>
      </x:c>
      <x:c r="F17" s="2" t="n"/>
      <x:c r="G17" s="2" t="n"/>
      <x:c r="H17" s="2" t="n"/>
    </x:row>
    <x:row r="18" ht="32" customHeight="1">
      <x:c r="A18" s="8" t="inlineStr">
        <x:is>
          <x:t xml:space="preserve">Publish rule</x:t>
        </x:is>
      </x:c>
      <x:c r="B18" s="2" t="inlineStr">
        <x:is>
          <x:t xml:space="preserve">Publish only if weighted average &gt;= 4.0, no dimension below 3, and Accessibility = 5.</x:t>
        </x:is>
      </x:c>
    </x:row>
  </x:sheetData>
  <x:mergeCells>
    <x:mergeCell ref="A2:H2"/>
    <x:mergeCell ref="B18:H18"/>
    <x:mergeCell ref="A1:H1"/>
  </x:mergeCells>
  <x:conditionalFormatting sqref="C5:C14">
    <x:cfRule type="cellIs" dxfId="0" priority="1" operator="lessThan">
      <x:formula>3</x:formula>
    </x:cfRule>
    <x:cfRule type="cellIs" dxfId="1" priority="2" operator="greaterThanOrEqual">
      <x:formula>4</x:formula>
    </x:cfRule>
  </x:conditionalFormatting>
  <x:dataValidations count="1">
    <x:dataValidation type="decimal" operator="between" allowBlank="1" showDropDown="0" showInputMessage="0" showErrorMessage="0" errorTitle="Invalid score" error="Enter a score from 1 to 5." sqref="C5:C14">
      <x:formula1>1</x:formula1>
      <x:formula2>5</x:formula2>
    </x:dataValidation>
  </x:dataValidations>
  <x:pageMargins left="0.7" right="0.7" top="0.75" bottom="0.75" header="0.3" footer="0.3"/>
  <x:legacyDrawing xmlns:r="http://schemas.openxmlformats.org/officeDocument/2006/relationships" r:id="R8d1de4effe89438c"/>
  <x:tableParts count="1">
    <x:tablePart xmlns:r="http://schemas.openxmlformats.org/officeDocument/2006/relationships" r:id="Rf48bfdd865944f65"/>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30" customWidth="1"/>
    <x:col min="2" max="2" width="16" customWidth="1"/>
    <x:col min="3" max="3" width="55" customWidth="1"/>
    <x:col min="4" max="4" width="65" customWidth="1"/>
    <x:col min="5" max="5" width="12" customWidth="1"/>
    <x:col min="6" max="6" width="12" customWidth="1"/>
    <x:col min="7" max="7" width="12" customWidth="1"/>
    <x:col min="8" max="8" width="12" customWidth="1"/>
  </x:cols>
  <x:sheetData>
    <x:row r="1" ht="28" customHeight="1">
      <x:c r="A1" s="1" t="inlineStr">
        <x:is>
          <x:t xml:space="preserve">Data Dictionary</x:t>
        </x:is>
      </x:c>
    </x:row>
    <x:row r="2" ht="36" customHeight="1">
      <x:c r="A2" s="3" t="inlineStr">
        <x:is>
          <x:t xml:space="preserve">Columns for controlled studies, platform A/B tests, and manual scoring.</x:t>
        </x:is>
      </x:c>
    </x:row>
    <x:row r="3" ht="20" customHeight="1">
      <x:c r="A3" s="2" t="n"/>
      <x:c r="B3" s="2" t="n"/>
      <x:c r="C3" s="2" t="n"/>
      <x:c r="D3" s="2" t="n"/>
      <x:c r="E3" s="2" t="n"/>
      <x:c r="F3" s="2" t="n"/>
      <x:c r="G3" s="2" t="n"/>
      <x:c r="H3" s="2" t="n"/>
    </x:row>
    <x:row r="4" ht="32" customHeight="1">
      <x:c r="A4" s="4" t="inlineStr">
        <x:is>
          <x:t xml:space="preserve">Column</x:t>
        </x:is>
      </x:c>
      <x:c r="B4" s="4" t="inlineStr">
        <x:is>
          <x:t xml:space="preserve">Type</x:t>
        </x:is>
      </x:c>
      <x:c r="C4" s="4" t="inlineStr">
        <x:is>
          <x:t xml:space="preserve">Definition</x:t>
        </x:is>
      </x:c>
      <x:c r="D4" s="4" t="inlineStr">
        <x:is>
          <x:t xml:space="preserve">Notes</x:t>
        </x:is>
      </x:c>
      <x:c r="E4" s="2" t="n"/>
      <x:c r="F4" s="2" t="n"/>
      <x:c r="G4" s="2" t="n"/>
      <x:c r="H4" s="2" t="n"/>
    </x:row>
    <x:row r="5" ht="20" customHeight="1">
      <x:c r="A5" s="5" t="inlineStr">
        <x:is>
          <x:t xml:space="preserve">participant_id</x:t>
        </x:is>
      </x:c>
      <x:c r="B5" s="5" t="inlineStr">
        <x:is>
          <x:t xml:space="preserve">Input</x:t>
        </x:is>
      </x:c>
      <x:c r="C5" s="5" t="inlineStr">
        <x:is>
          <x:t xml:space="preserve">Anonymous ID</x:t>
        </x:is>
      </x:c>
      <x:c r="D5" s="5" t="inlineStr">
        <x:is>
          <x:t xml:space="preserve">Do not store names unless consented.</x:t>
        </x:is>
      </x:c>
      <x:c r="E5" s="2" t="n"/>
      <x:c r="F5" s="2" t="n"/>
      <x:c r="G5" s="2" t="n"/>
      <x:c r="H5" s="2" t="n"/>
    </x:row>
    <x:row r="6" ht="20" customHeight="1">
      <x:c r="A6" s="6" t="inlineStr">
        <x:is>
          <x:t xml:space="preserve">video_id</x:t>
        </x:is>
      </x:c>
      <x:c r="B6" s="6" t="inlineStr">
        <x:is>
          <x:t xml:space="preserve">Input</x:t>
        </x:is>
      </x:c>
      <x:c r="C6" s="6" t="inlineStr">
        <x:is>
          <x:t xml:space="preserve">Unique video identifier</x:t>
        </x:is>
      </x:c>
      <x:c r="D6" s="6" t="inlineStr">
        <x:is>
          <x:t xml:space="preserve">Same base edit across variants.</x:t>
        </x:is>
      </x:c>
      <x:c r="E6" s="2" t="n"/>
      <x:c r="F6" s="2" t="n"/>
      <x:c r="G6" s="2" t="n"/>
      <x:c r="H6" s="2" t="n"/>
    </x:row>
    <x:row r="7" ht="32" customHeight="1">
      <x:c r="A7" s="5" t="inlineStr">
        <x:is>
          <x:t xml:space="preserve">content_type</x:t>
        </x:is>
      </x:c>
      <x:c r="B7" s="5" t="inlineStr">
        <x:is>
          <x:t xml:space="preserve">Input</x:t>
        </x:is>
      </x:c>
      <x:c r="C7" s="5" t="inlineStr">
        <x:is>
          <x:t xml:space="preserve">productivity / study / fitness / finance / demo / story / comedy</x:t>
        </x:is>
      </x:c>
      <x:c r="D7" s="5" t="inlineStr">
        <x:is>
          <x:t xml:space="preserve">Use controlled taxonomy.</x:t>
        </x:is>
      </x:c>
      <x:c r="E7" s="2" t="n"/>
      <x:c r="F7" s="2" t="n"/>
      <x:c r="G7" s="2" t="n"/>
      <x:c r="H7" s="2" t="n"/>
    </x:row>
    <x:row r="8" ht="20" customHeight="1">
      <x:c r="A8" s="6" t="inlineStr">
        <x:is>
          <x:t xml:space="preserve">variant</x:t>
        </x:is>
      </x:c>
      <x:c r="B8" s="6" t="inlineStr">
        <x:is>
          <x:t xml:space="preserve">Input</x:t>
        </x:is>
      </x:c>
      <x:c r="C8" s="6" t="inlineStr">
        <x:is>
          <x:t xml:space="preserve">A-I condition code</x:t>
        </x:is>
      </x:c>
      <x:c r="D8" s="6" t="inlineStr">
        <x:is>
          <x:t xml:space="preserve">See Experiment Design.</x:t>
        </x:is>
      </x:c>
      <x:c r="E8" s="2" t="n"/>
      <x:c r="F8" s="2" t="n"/>
      <x:c r="G8" s="2" t="n"/>
      <x:c r="H8" s="2" t="n"/>
    </x:row>
    <x:row r="9" ht="20" customHeight="1">
      <x:c r="A9" s="5" t="inlineStr">
        <x:is>
          <x:t xml:space="preserve">viewing_mode</x:t>
        </x:is>
      </x:c>
      <x:c r="B9" s="5" t="inlineStr">
        <x:is>
          <x:t xml:space="preserve">Input</x:t>
        </x:is>
      </x:c>
      <x:c r="C9" s="5" t="inlineStr">
        <x:is>
          <x:t xml:space="preserve">audio_on / muted</x:t>
        </x:is>
      </x:c>
      <x:c r="D9" s="5" t="inlineStr">
        <x:is>
          <x:t xml:space="preserve">Randomize if controlled study.</x:t>
        </x:is>
      </x:c>
      <x:c r="E9" s="2" t="n"/>
      <x:c r="F9" s="2" t="n"/>
      <x:c r="G9" s="2" t="n"/>
      <x:c r="H9" s="2" t="n"/>
    </x:row>
    <x:row r="10" ht="20" customHeight="1">
      <x:c r="A10" s="6" t="inlineStr">
        <x:is>
          <x:t xml:space="preserve">device</x:t>
        </x:is>
      </x:c>
      <x:c r="B10" s="6" t="inlineStr">
        <x:is>
          <x:t xml:space="preserve">Input</x:t>
        </x:is>
      </x:c>
      <x:c r="C10" s="6" t="inlineStr">
        <x:is>
          <x:t xml:space="preserve">phone / desktop / tablet</x:t>
        </x:is>
      </x:c>
      <x:c r="D10" s="6" t="inlineStr">
        <x:is>
          <x:t xml:space="preserve">Prefer phone for short-form validity.</x:t>
        </x:is>
      </x:c>
      <x:c r="E10" s="2" t="n"/>
      <x:c r="F10" s="2" t="n"/>
      <x:c r="G10" s="2" t="n"/>
      <x:c r="H10" s="2" t="n"/>
    </x:row>
    <x:row r="11" ht="20" customHeight="1">
      <x:c r="A11" s="5" t="inlineStr">
        <x:is>
          <x:t xml:space="preserve">watch_seconds</x:t>
        </x:is>
      </x:c>
      <x:c r="B11" s="5" t="inlineStr">
        <x:is>
          <x:t xml:space="preserve">Metric</x:t>
        </x:is>
      </x:c>
      <x:c r="C11" s="5" t="inlineStr">
        <x:is>
          <x:t xml:space="preserve">Seconds watched</x:t>
        </x:is>
      </x:c>
      <x:c r="D11" s="5" t="inlineStr">
        <x:is>
          <x:t xml:space="preserve">Platform or lab metric.</x:t>
        </x:is>
      </x:c>
      <x:c r="E11" s="2" t="n"/>
      <x:c r="F11" s="2" t="n"/>
      <x:c r="G11" s="2" t="n"/>
      <x:c r="H11" s="2" t="n"/>
    </x:row>
    <x:row r="12" ht="20" customHeight="1">
      <x:c r="A12" s="6" t="inlineStr">
        <x:is>
          <x:t xml:space="preserve">completion_pct</x:t>
        </x:is>
      </x:c>
      <x:c r="B12" s="6" t="inlineStr">
        <x:is>
          <x:t xml:space="preserve">Metric</x:t>
        </x:is>
      </x:c>
      <x:c r="C12" s="6" t="inlineStr">
        <x:is>
          <x:t xml:space="preserve">Percent completed</x:t>
        </x:is>
      </x:c>
      <x:c r="D12" s="6" t="inlineStr">
        <x:is>
          <x:t xml:space="preserve">Platform or lab metric.</x:t>
        </x:is>
      </x:c>
      <x:c r="E12" s="2" t="n"/>
      <x:c r="F12" s="2" t="n"/>
      <x:c r="G12" s="2" t="n"/>
      <x:c r="H12" s="2" t="n"/>
    </x:row>
    <x:row r="13" ht="20" customHeight="1">
      <x:c r="A13" s="5" t="inlineStr">
        <x:is>
          <x:t xml:space="preserve">gist_score</x:t>
        </x:is>
      </x:c>
      <x:c r="B13" s="5" t="inlineStr">
        <x:is>
          <x:t xml:space="preserve">Metric</x:t>
        </x:is>
      </x:c>
      <x:c r="C13" s="5" t="inlineStr">
        <x:is>
          <x:t xml:space="preserve">0–2 coded score</x:t>
        </x:is>
      </x:c>
      <x:c r="D13" s="5" t="inlineStr">
        <x:is>
          <x:t xml:space="preserve">Main point accuracy.</x:t>
        </x:is>
      </x:c>
      <x:c r="E13" s="2" t="n"/>
      <x:c r="F13" s="2" t="n"/>
      <x:c r="G13" s="2" t="n"/>
      <x:c r="H13" s="2" t="n"/>
    </x:row>
    <x:row r="14" ht="20" customHeight="1">
      <x:c r="A14" s="6" t="inlineStr">
        <x:is>
          <x:t xml:space="preserve">action_score</x:t>
        </x:is>
      </x:c>
      <x:c r="B14" s="6" t="inlineStr">
        <x:is>
          <x:t xml:space="preserve">Metric</x:t>
        </x:is>
      </x:c>
      <x:c r="C14" s="6" t="inlineStr">
        <x:is>
          <x:t xml:space="preserve">0–2 coded score</x:t>
        </x:is>
      </x:c>
      <x:c r="D14" s="6" t="inlineStr">
        <x:is>
          <x:t xml:space="preserve">Action/takeaway recall.</x:t>
        </x:is>
      </x:c>
      <x:c r="E14" s="2" t="n"/>
      <x:c r="F14" s="2" t="n"/>
      <x:c r="G14" s="2" t="n"/>
      <x:c r="H14" s="2" t="n"/>
    </x:row>
    <x:row r="15" ht="20" customHeight="1">
      <x:c r="A15" s="5" t="inlineStr">
        <x:is>
          <x:t xml:space="preserve">contrast_score</x:t>
        </x:is>
      </x:c>
      <x:c r="B15" s="5" t="inlineStr">
        <x:is>
          <x:t xml:space="preserve">Metric</x:t>
        </x:is>
      </x:c>
      <x:c r="C15" s="5" t="inlineStr">
        <x:is>
          <x:t xml:space="preserve">0–2 coded score</x:t>
        </x:is>
      </x:c>
      <x:c r="D15" s="5" t="inlineStr">
        <x:is>
          <x:t xml:space="preserve">False belief/correction recall.</x:t>
        </x:is>
      </x:c>
      <x:c r="E15" s="2" t="n"/>
      <x:c r="F15" s="2" t="n"/>
      <x:c r="G15" s="2" t="n"/>
      <x:c r="H15" s="2" t="n"/>
    </x:row>
    <x:row r="16" ht="20" customHeight="1">
      <x:c r="A16" s="6" t="inlineStr">
        <x:is>
          <x:t xml:space="preserve">exact_recall_score</x:t>
        </x:is>
      </x:c>
      <x:c r="B16" s="6" t="inlineStr">
        <x:is>
          <x:t xml:space="preserve">Metric</x:t>
        </x:is>
      </x:c>
      <x:c r="C16" s="6" t="inlineStr">
        <x:is>
          <x:t xml:space="preserve">0–2 coded score</x:t>
        </x:is>
      </x:c>
      <x:c r="D16" s="6" t="inlineStr">
        <x:is>
          <x:t xml:space="preserve">Wording recall.</x:t>
        </x:is>
      </x:c>
      <x:c r="E16" s="2" t="n"/>
      <x:c r="F16" s="2" t="n"/>
      <x:c r="G16" s="2" t="n"/>
      <x:c r="H16" s="2" t="n"/>
    </x:row>
    <x:row r="17" ht="20" customHeight="1">
      <x:c r="A17" s="5" t="inlineStr">
        <x:is>
          <x:t xml:space="preserve">visual_recall_score</x:t>
        </x:is>
      </x:c>
      <x:c r="B17" s="5" t="inlineStr">
        <x:is>
          <x:t xml:space="preserve">Metric</x:t>
        </x:is>
      </x:c>
      <x:c r="C17" s="5" t="inlineStr">
        <x:is>
          <x:t xml:space="preserve">0–2 coded score</x:t>
        </x:is>
      </x:c>
      <x:c r="D17" s="5" t="inlineStr">
        <x:is>
          <x:t xml:space="preserve">Did text steal visual attention?</x:t>
        </x:is>
      </x:c>
      <x:c r="E17" s="2" t="n"/>
      <x:c r="F17" s="2" t="n"/>
      <x:c r="G17" s="2" t="n"/>
      <x:c r="H17" s="2" t="n"/>
    </x:row>
    <x:row r="18" ht="20" customHeight="1">
      <x:c r="A18" s="6" t="inlineStr">
        <x:is>
          <x:t xml:space="preserve">effort_rating</x:t>
        </x:is>
      </x:c>
      <x:c r="B18" s="6" t="inlineStr">
        <x:is>
          <x:t xml:space="preserve">Metric</x:t>
        </x:is>
      </x:c>
      <x:c r="C18" s="6" t="inlineStr">
        <x:is>
          <x:t xml:space="preserve">1–7 Likert</x:t>
        </x:is>
      </x:c>
      <x:c r="D18" s="6" t="inlineStr">
        <x:is>
          <x:t xml:space="preserve">Perceived cognitive load proxy.</x:t>
        </x:is>
      </x:c>
      <x:c r="E18" s="2" t="n"/>
      <x:c r="F18" s="2" t="n"/>
      <x:c r="G18" s="2" t="n"/>
      <x:c r="H18" s="2" t="n"/>
    </x:row>
    <x:row r="19" ht="20" customHeight="1">
      <x:c r="A19" s="5" t="inlineStr">
        <x:is>
          <x:t xml:space="preserve">helpful_rating</x:t>
        </x:is>
      </x:c>
      <x:c r="B19" s="5" t="inlineStr">
        <x:is>
          <x:t xml:space="preserve">Metric</x:t>
        </x:is>
      </x:c>
      <x:c r="C19" s="5" t="inlineStr">
        <x:is>
          <x:t xml:space="preserve">1–7 Likert</x:t>
        </x:is>
      </x:c>
      <x:c r="D19" s="5" t="inlineStr">
        <x:is>
          <x:t xml:space="preserve">Did overlay help?</x:t>
        </x:is>
      </x:c>
      <x:c r="E19" s="2" t="n"/>
      <x:c r="F19" s="2" t="n"/>
      <x:c r="G19" s="2" t="n"/>
      <x:c r="H19" s="2" t="n"/>
    </x:row>
    <x:row r="20" ht="20" customHeight="1">
      <x:c r="A20" s="6" t="inlineStr">
        <x:is>
          <x:t xml:space="preserve">text_dwell_ms</x:t>
        </x:is>
      </x:c>
      <x:c r="B20" s="6" t="inlineStr">
        <x:is>
          <x:t xml:space="preserve">Metric</x:t>
        </x:is>
      </x:c>
      <x:c r="C20" s="6" t="inlineStr">
        <x:is>
          <x:t xml:space="preserve">Eye-tracking optional</x:t>
        </x:is>
      </x:c>
      <x:c r="D20" s="6" t="inlineStr">
        <x:is>
          <x:t xml:space="preserve">Text attention cost.</x:t>
        </x:is>
      </x:c>
      <x:c r="E20" s="2" t="n"/>
      <x:c r="F20" s="2" t="n"/>
      <x:c r="G20" s="2" t="n"/>
      <x:c r="H20" s="2" t="n"/>
    </x:row>
    <x:row r="21" ht="20" customHeight="1">
      <x:c r="A21" s="5" t="inlineStr">
        <x:is>
          <x:t xml:space="preserve">face_object_dwell_ms</x:t>
        </x:is>
      </x:c>
      <x:c r="B21" s="5" t="inlineStr">
        <x:is>
          <x:t xml:space="preserve">Metric</x:t>
        </x:is>
      </x:c>
      <x:c r="C21" s="5" t="inlineStr">
        <x:is>
          <x:t xml:space="preserve">Eye-tracking optional</x:t>
        </x:is>
      </x:c>
      <x:c r="D21" s="5" t="inlineStr">
        <x:is>
          <x:t xml:space="preserve">Preserved visual processing.</x:t>
        </x:is>
      </x:c>
      <x:c r="E21" s="2" t="n"/>
      <x:c r="F21" s="2" t="n"/>
      <x:c r="G21" s="2" t="n"/>
      <x:c r="H21" s="2" t="n"/>
    </x:row>
    <x:row r="22" ht="20" customHeight="1">
      <x:c r="A22" s="6" t="inlineStr">
        <x:is>
          <x:t xml:space="preserve">saccades_text_face</x:t>
        </x:is>
      </x:c>
      <x:c r="B22" s="6" t="inlineStr">
        <x:is>
          <x:t xml:space="preserve">Metric</x:t>
        </x:is>
      </x:c>
      <x:c r="C22" s="6" t="inlineStr">
        <x:is>
          <x:t xml:space="preserve">Eye-tracking optional</x:t>
        </x:is>
      </x:c>
      <x:c r="D22" s="6" t="inlineStr">
        <x:is>
          <x:t xml:space="preserve">Split-attention indicator.</x:t>
        </x:is>
      </x:c>
      <x:c r="E22" s="2" t="n"/>
      <x:c r="F22" s="2" t="n"/>
      <x:c r="G22" s="2" t="n"/>
      <x:c r="H22" s="2" t="n"/>
    </x:row>
    <x:row r="23" ht="20" customHeight="1">
      <x:c r="A23" s="5" t="inlineStr">
        <x:is>
          <x:t xml:space="preserve">meaning_per_second</x:t>
        </x:is>
      </x:c>
      <x:c r="B23" s="5" t="inlineStr">
        <x:is>
          <x:t xml:space="preserve">Derived</x:t>
        </x:is>
      </x:c>
      <x:c r="C23" s="5" t="inlineStr">
        <x:is>
          <x:t xml:space="preserve">(gist_score + action_score) / watch_seconds</x:t>
        </x:is>
      </x:c>
      <x:c r="D23" s="5" t="inlineStr">
        <x:is>
          <x:t xml:space="preserve">Primary KPI.</x:t>
        </x:is>
      </x:c>
      <x:c r="E23" s="2" t="n"/>
      <x:c r="F23" s="2" t="n"/>
      <x:c r="G23" s="2" t="n"/>
      <x:c r="H23" s="2" t="n"/>
    </x:row>
    <x:row r="24" ht="20" customHeight="1">
      <x:c r="A24" s="6" t="inlineStr">
        <x:is>
          <x:t xml:space="preserve">meaning_per_fixation</x:t>
        </x:is>
      </x:c>
      <x:c r="B24" s="6" t="inlineStr">
        <x:is>
          <x:t xml:space="preserve">Derived</x:t>
        </x:is>
      </x:c>
      <x:c r="C24" s="6" t="inlineStr">
        <x:is>
          <x:t xml:space="preserve">(gist_score + action_score) / text_fixations</x:t>
        </x:is>
      </x:c>
      <x:c r="D24" s="6" t="inlineStr">
        <x:is>
          <x:t xml:space="preserve">Advanced KPI.</x:t>
        </x:is>
      </x:c>
      <x:c r="E24" s="2" t="n"/>
      <x:c r="F24" s="2" t="n"/>
      <x:c r="G24" s="2" t="n"/>
      <x:c r="H24" s="2" t="n"/>
    </x:row>
  </x:sheetData>
  <x:mergeCells>
    <x:mergeCell ref="A2:H2"/>
    <x:mergeCell ref="A1:H1"/>
  </x:mergeCells>
  <x:pageMargins left="0.7" right="0.7" top="0.75" bottom="0.75" header="0.3" footer="0.3"/>
  <x:tableParts count="1">
    <x:tablePart xmlns:r="http://schemas.openxmlformats.org/officeDocument/2006/relationships" r:id="R750c22a85f00427c"/>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25" customWidth="1"/>
    <x:col min="2" max="2" width="65" customWidth="1"/>
    <x:col min="3" max="3" width="15" customWidth="1"/>
    <x:col min="4" max="4" width="75" customWidth="1"/>
    <x:col min="5" max="5" width="12" customWidth="1"/>
    <x:col min="6" max="6" width="12" customWidth="1"/>
    <x:col min="7" max="7" width="12" customWidth="1"/>
    <x:col min="8" max="8" width="12" customWidth="1"/>
  </x:cols>
  <x:sheetData>
    <x:row r="1" ht="28" customHeight="1">
      <x:c r="A1" s="1" t="inlineStr">
        <x:is>
          <x:t xml:space="preserve">Decisions, Risks, and Research Gaps</x:t>
        </x:is>
      </x:c>
    </x:row>
    <x:row r="2" ht="36" customHeight="1">
      <x:c r="A2" s="3" t="inlineStr">
        <x:is>
          <x:t xml:space="preserve">Use this sheet to avoid false claims and to decide what survives after testing.</x:t>
        </x:is>
      </x:c>
    </x:row>
    <x:row r="3" ht="20" customHeight="1">
      <x:c r="A3" s="2" t="n"/>
      <x:c r="B3" s="2" t="n"/>
      <x:c r="C3" s="2" t="n"/>
      <x:c r="D3" s="2" t="n"/>
      <x:c r="E3" s="2" t="n"/>
      <x:c r="F3" s="2" t="n"/>
      <x:c r="G3" s="2" t="n"/>
      <x:c r="H3" s="2" t="n"/>
    </x:row>
    <x:row r="4" ht="32" customHeight="1">
      <x:c r="A4" s="4" t="inlineStr">
        <x:is>
          <x:t xml:space="preserve">Risk type</x:t>
        </x:is>
      </x:c>
      <x:c r="B4" s="4" t="inlineStr">
        <x:is>
          <x:t xml:space="preserve">Risk</x:t>
        </x:is>
      </x:c>
      <x:c r="C4" s="4" t="inlineStr">
        <x:is>
          <x:t xml:space="preserve">Severity</x:t>
        </x:is>
      </x:c>
      <x:c r="D4" s="4" t="inlineStr">
        <x:is>
          <x:t xml:space="preserve">Mitigation</x:t>
        </x:is>
      </x:c>
      <x:c r="E4" s="2" t="n"/>
      <x:c r="F4" s="2" t="n"/>
      <x:c r="G4" s="2" t="n"/>
      <x:c r="H4" s="2" t="n"/>
    </x:row>
    <x:row r="5" ht="32" customHeight="1">
      <x:c r="A5" s="13" t="inlineStr">
        <x:is>
          <x:t xml:space="preserve">Claim risk</x:t>
        </x:is>
      </x:c>
      <x:c r="B5" s="13" t="inlineStr">
        <x:is>
          <x:t xml:space="preserve">Bionic Reading makes people read faster.</x:t>
        </x:is>
      </x:c>
      <x:c r="C5" s="5" t="inlineStr">
        <x:is>
          <x:t xml:space="preserve">High</x:t>
        </x:is>
      </x:c>
      <x:c r="D5" s="5" t="inlineStr">
        <x:is>
          <x:t xml:space="preserve">Do not claim this. Evidence is weak. Position bionic anchors as optional visual cues.</x:t>
        </x:is>
      </x:c>
      <x:c r="E5" s="2" t="n"/>
      <x:c r="F5" s="2" t="n"/>
      <x:c r="G5" s="2" t="n"/>
      <x:c r="H5" s="2" t="n"/>
    </x:row>
    <x:row r="6" ht="20" customHeight="1">
      <x:c r="A6" s="13" t="inlineStr">
        <x:is>
          <x:t xml:space="preserve">Accessibility risk</x:t>
        </x:is>
      </x:c>
      <x:c r="B6" s="13" t="inlineStr">
        <x:is>
          <x:t xml:space="preserve">BCC replaces captions.</x:t>
        </x:is>
      </x:c>
      <x:c r="C6" s="6" t="inlineStr">
        <x:is>
          <x:t xml:space="preserve">High</x:t>
        </x:is>
      </x:c>
      <x:c r="D6" s="6" t="inlineStr">
        <x:is>
          <x:t xml:space="preserve">Always keep full closed captions. BCC is a semantic overlay.</x:t>
        </x:is>
      </x:c>
      <x:c r="E6" s="2" t="n"/>
      <x:c r="F6" s="2" t="n"/>
      <x:c r="G6" s="2" t="n"/>
      <x:c r="H6" s="2" t="n"/>
    </x:row>
    <x:row r="7" ht="20" customHeight="1">
      <x:c r="A7" s="13" t="inlineStr">
        <x:is>
          <x:t xml:space="preserve">Compression risk</x:t>
        </x:is>
      </x:c>
      <x:c r="B7" s="13" t="inlineStr">
        <x:is>
          <x:t xml:space="preserve">Meaning is distorted by over-compression.</x:t>
        </x:is>
      </x:c>
      <x:c r="C7" s="5" t="inlineStr">
        <x:is>
          <x:t xml:space="preserve">High</x:t>
        </x:is>
      </x:c>
      <x:c r="D7" s="5" t="inlineStr">
        <x:is>
          <x:t xml:space="preserve">Use proposition extraction and muted test. Add clarifying word if needed.</x:t>
        </x:is>
      </x:c>
      <x:c r="E7" s="2" t="n"/>
      <x:c r="F7" s="2" t="n"/>
      <x:c r="G7" s="2" t="n"/>
      <x:c r="H7" s="2" t="n"/>
    </x:row>
    <x:row r="8" ht="20" customHeight="1">
      <x:c r="A8" s="13" t="inlineStr">
        <x:is>
          <x:t xml:space="preserve">Visual overload risk</x:t>
        </x:is>
      </x:c>
      <x:c r="B8" s="13" t="inlineStr">
        <x:is>
          <x:t xml:space="preserve">Too many anchors/motion effects increase cognitive load.</x:t>
        </x:is>
      </x:c>
      <x:c r="C8" s="6" t="inlineStr">
        <x:is>
          <x:t xml:space="preserve">High</x:t>
        </x:is>
      </x:c>
      <x:c r="D8" s="6" t="inlineStr">
        <x:is>
          <x:t xml:space="preserve">Limit anchors to 1–3 and motion to semantic transitions.</x:t>
        </x:is>
      </x:c>
      <x:c r="E8" s="2" t="n"/>
      <x:c r="F8" s="2" t="n"/>
      <x:c r="G8" s="2" t="n"/>
      <x:c r="H8" s="2" t="n"/>
    </x:row>
    <x:row r="9" ht="20" customHeight="1">
      <x:c r="A9" s="13" t="inlineStr">
        <x:is>
          <x:t xml:space="preserve">Placement risk</x:t>
        </x:is>
      </x:c>
      <x:c r="B9" s="13" t="inlineStr">
        <x:is>
          <x:t xml:space="preserve">Text blocks mouth, eyes, hands, product, or UI.</x:t>
        </x:is>
      </x:c>
      <x:c r="C9" s="5" t="inlineStr">
        <x:is>
          <x:t xml:space="preserve">High</x:t>
        </x:is>
      </x:c>
      <x:c r="D9" s="5" t="inlineStr">
        <x:is>
          <x:t xml:space="preserve">Use gaze-safe placement and conflict scoring.</x:t>
        </x:is>
      </x:c>
      <x:c r="E9" s="2" t="n"/>
      <x:c r="F9" s="2" t="n"/>
      <x:c r="G9" s="2" t="n"/>
      <x:c r="H9" s="2" t="n"/>
    </x:row>
    <x:row r="10" ht="20" customHeight="1">
      <x:c r="A10" s="13" t="inlineStr">
        <x:is>
          <x:t xml:space="preserve">Generalization risk</x:t>
        </x:is>
      </x:c>
      <x:c r="B10" s="13" t="inlineStr">
        <x:is>
          <x:t xml:space="preserve">Works for productivity but not comedy/story/music.</x:t>
        </x:is>
      </x:c>
      <x:c r="C10" s="6" t="inlineStr">
        <x:is>
          <x:t xml:space="preserve">Medium</x:t>
        </x:is>
      </x:c>
      <x:c r="D10" s="6" t="inlineStr">
        <x:is>
          <x:t xml:space="preserve">Segment by content type. Do not use universal claims.</x:t>
        </x:is>
      </x:c>
      <x:c r="E10" s="2" t="n"/>
      <x:c r="F10" s="2" t="n"/>
      <x:c r="G10" s="2" t="n"/>
      <x:c r="H10" s="2" t="n"/>
    </x:row>
    <x:row r="11" ht="20" customHeight="1">
      <x:c r="A11" s="13" t="inlineStr">
        <x:is>
          <x:t xml:space="preserve">Audience risk</x:t>
        </x:is>
      </x:c>
      <x:c r="B11" s="13" t="inlineStr">
        <x:is>
          <x:t xml:space="preserve">Novices/L2/DHH viewers need different density.</x:t>
        </x:is>
      </x:c>
      <x:c r="C11" s="5" t="inlineStr">
        <x:is>
          <x:t xml:space="preserve">Medium</x:t>
        </x:is>
      </x:c>
      <x:c r="D11" s="5" t="inlineStr">
        <x:is>
          <x:t xml:space="preserve">Test audience segments separately.</x:t>
        </x:is>
      </x:c>
      <x:c r="E11" s="2" t="n"/>
      <x:c r="F11" s="2" t="n"/>
      <x:c r="G11" s="2" t="n"/>
      <x:c r="H11" s="2" t="n"/>
    </x:row>
    <x:row r="12" ht="20" customHeight="1">
      <x:c r="A12" s="13" t="inlineStr">
        <x:is>
          <x:t xml:space="preserve">Platform risk</x:t>
        </x:is>
      </x:c>
      <x:c r="B12" s="13" t="inlineStr">
        <x:is>
          <x:t xml:space="preserve">Engagement differs across TikTok/Reels/Shorts.</x:t>
        </x:is>
      </x:c>
      <x:c r="C12" s="6" t="inlineStr">
        <x:is>
          <x:t xml:space="preserve">Medium</x:t>
        </x:is>
      </x:c>
      <x:c r="D12" s="6" t="inlineStr">
        <x:is>
          <x:t xml:space="preserve">Track platform separately; avoid pooling too early.</x:t>
        </x:is>
      </x:c>
      <x:c r="E12" s="2" t="n"/>
      <x:c r="F12" s="2" t="n"/>
      <x:c r="G12" s="2" t="n"/>
      <x:c r="H12" s="2" t="n"/>
    </x:row>
    <x:row r="13" ht="20" customHeight="1">
      <x:c r="A13" s="13" t="inlineStr">
        <x:is>
          <x:t xml:space="preserve">Ethical risk</x:t>
        </x:is>
      </x:c>
      <x:c r="B13" s="13" t="inlineStr">
        <x:is>
          <x:t xml:space="preserve">Optimization becomes manipulation.</x:t>
        </x:is>
      </x:c>
      <x:c r="C13" s="5" t="inlineStr">
        <x:is>
          <x:t xml:space="preserve">Medium</x:t>
        </x:is>
      </x:c>
      <x:c r="D13" s="5" t="inlineStr">
        <x:is>
          <x:t xml:space="preserve">Optimize comprehension/usefulness, not compulsive watch time alone.</x:t>
        </x:is>
      </x:c>
      <x:c r="E13" s="2" t="n"/>
      <x:c r="F13" s="2" t="n"/>
      <x:c r="G13" s="2" t="n"/>
      <x:c r="H13" s="2" t="n"/>
    </x:row>
    <x:row r="14" ht="20" customHeight="1">
      <x:c r="A14" s="2" t="n"/>
      <x:c r="B14" s="2" t="n"/>
      <x:c r="C14" s="2" t="n"/>
      <x:c r="D14" s="2" t="n"/>
      <x:c r="E14" s="2" t="n"/>
      <x:c r="F14" s="2" t="n"/>
      <x:c r="G14" s="2" t="n"/>
      <x:c r="H14" s="2" t="n"/>
    </x:row>
    <x:row r="15" ht="20" customHeight="1">
      <x:c r="A15" s="2" t="n"/>
      <x:c r="B15" s="2" t="n"/>
      <x:c r="C15" s="2" t="n"/>
      <x:c r="D15" s="2" t="n"/>
      <x:c r="E15" s="2" t="n"/>
      <x:c r="F15" s="2" t="n"/>
      <x:c r="G15" s="2" t="n"/>
      <x:c r="H15" s="2" t="n"/>
    </x:row>
    <x:row r="16" ht="32" customHeight="1">
      <x:c r="A16" s="4" t="inlineStr">
        <x:is>
          <x:t xml:space="preserve">Unknown ID</x:t>
        </x:is>
      </x:c>
      <x:c r="B16" s="4" t="inlineStr">
        <x:is>
          <x:t xml:space="preserve">What remains unknown</x:t>
        </x:is>
      </x:c>
      <x:c r="C16" s="4" t="inlineStr">
        <x:is>
          <x:t xml:space="preserve">Next research action</x:t>
        </x:is>
      </x:c>
      <x:c r="D16" s="2" t="n"/>
      <x:c r="E16" s="2" t="n"/>
      <x:c r="F16" s="2" t="n"/>
      <x:c r="G16" s="2" t="n"/>
      <x:c r="H16" s="2" t="n"/>
    </x:row>
    <x:row r="17" ht="48" customHeight="1">
      <x:c r="A17" s="13" t="inlineStr">
        <x:is>
          <x:t xml:space="preserve">U1</x:t>
        </x:is>
      </x:c>
      <x:c r="B17" s="13" t="inlineStr">
        <x:is>
          <x:t xml:space="preserve">Does BCC beat semantic compression alone?</x:t>
        </x:is>
      </x:c>
      <x:c r="C17" s="5" t="inlineStr">
        <x:is>
          <x:t xml:space="preserve">Run E vs F controlled comparison first.</x:t>
        </x:is>
      </x:c>
      <x:c r="D17" s="2" t="n"/>
      <x:c r="E17" s="2" t="n"/>
      <x:c r="F17" s="2" t="n"/>
      <x:c r="G17" s="2" t="n"/>
      <x:c r="H17" s="2" t="n"/>
    </x:row>
    <x:row r="18" ht="64" customHeight="1">
      <x:c r="A18" s="13" t="inlineStr">
        <x:is>
          <x:t xml:space="preserve">U2</x:t>
        </x:is>
      </x:c>
      <x:c r="B18" s="13" t="inlineStr">
        <x:is>
          <x:t xml:space="preserve">Optimal vertical placement zones by content type</x:t>
        </x:is>
      </x:c>
      <x:c r="C18" s="6" t="inlineStr">
        <x:is>
          <x:t xml:space="preserve">Build gaze/saliency map from lab or public saliency models.</x:t>
        </x:is>
      </x:c>
      <x:c r="D18" s="2" t="n"/>
      <x:c r="E18" s="2" t="n"/>
      <x:c r="F18" s="2" t="n"/>
      <x:c r="G18" s="2" t="n"/>
      <x:c r="H18" s="2" t="n"/>
    </x:row>
    <x:row r="19" ht="64" customHeight="1">
      <x:c r="A19" s="13" t="inlineStr">
        <x:is>
          <x:t xml:space="preserve">U3</x:t>
        </x:is>
      </x:c>
      <x:c r="B19" s="13" t="inlineStr">
        <x:is>
          <x:t xml:space="preserve">Best caption timing offset</x:t>
        </x:is>
      </x:c>
      <x:c r="C19" s="5" t="inlineStr">
        <x:is>
          <x:t xml:space="preserve">Test -500 ms, -250 ms, sync, +250 ms, cut-cue, pause-cue.</x:t>
        </x:is>
      </x:c>
      <x:c r="D19" s="2" t="n"/>
      <x:c r="E19" s="2" t="n"/>
      <x:c r="F19" s="2" t="n"/>
      <x:c r="G19" s="2" t="n"/>
      <x:c r="H19" s="2" t="n"/>
    </x:row>
    <x:row r="20" ht="80" customHeight="1">
      <x:c r="A20" s="13" t="inlineStr">
        <x:is>
          <x:t xml:space="preserve">U4</x:t>
        </x:is>
      </x:c>
      <x:c r="B20" s="13" t="inlineStr">
        <x:is>
          <x:t xml:space="preserve">Best motion dose</x:t>
        </x:is>
      </x:c>
      <x:c r="C20" s="6" t="inlineStr">
        <x:is>
          <x:t xml:space="preserve">Static vs slight scale vs logic motion vs word pop vs karaoke vs high motion.</x:t>
        </x:is>
      </x:c>
      <x:c r="D20" s="2" t="n"/>
      <x:c r="E20" s="2" t="n"/>
      <x:c r="F20" s="2" t="n"/>
      <x:c r="G20" s="2" t="n"/>
      <x:c r="H20" s="2" t="n"/>
    </x:row>
    <x:row r="21" ht="64" customHeight="1">
      <x:c r="A21" s="13" t="inlineStr">
        <x:is>
          <x:t xml:space="preserve">U5</x:t>
        </x:is>
      </x:c>
      <x:c r="B21" s="13" t="inlineStr">
        <x:is>
          <x:t xml:space="preserve">Viewer segmentation effects</x:t>
        </x:is>
      </x:c>
      <x:c r="C21" s="5" t="inlineStr">
        <x:is>
          <x:t xml:space="preserve">Test native/L2/DHH/ADHD/dyslexic/novice/expert when feasible.</x:t>
        </x:is>
      </x:c>
      <x:c r="D21" s="2" t="n"/>
      <x:c r="E21" s="2" t="n"/>
      <x:c r="F21" s="2" t="n"/>
      <x:c r="G21" s="2" t="n"/>
      <x:c r="H21" s="2" t="n"/>
    </x:row>
    <x:row r="22" ht="48" customHeight="1">
      <x:c r="A22" s="13" t="inlineStr">
        <x:is>
          <x:t xml:space="preserve">U6</x:t>
        </x:is>
      </x:c>
      <x:c r="B22" s="13" t="inlineStr">
        <x:is>
          <x:t xml:space="preserve">Meaning per fixation metric validity</x:t>
        </x:is>
      </x:c>
      <x:c r="C22" s="6" t="inlineStr">
        <x:is>
          <x:t xml:space="preserve">Compare with recall and self-reported effort.</x:t>
        </x:is>
      </x:c>
      <x:c r="D22" s="2" t="n"/>
      <x:c r="E22" s="2" t="n"/>
      <x:c r="F22" s="2" t="n"/>
      <x:c r="G22" s="2" t="n"/>
      <x:c r="H22" s="2" t="n"/>
    </x:row>
  </x:sheetData>
  <x:mergeCells>
    <x:mergeCell ref="A2:H2"/>
    <x:mergeCell ref="A1:H1"/>
  </x:mergeCells>
  <x:pageMargins left="0.7" right="0.7" top="0.75" bottom="0.75" header="0.3" footer="0.3"/>
  <x:tableParts count="2">
    <x:tablePart xmlns:r="http://schemas.openxmlformats.org/officeDocument/2006/relationships" r:id="Rf2c025d7091f4de3"/>
    <x:tablePart xmlns:r="http://schemas.openxmlformats.org/officeDocument/2006/relationships" r:id="Raa0eefa80cda4065"/>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6" customWidth="1"/>
    <x:col min="2" max="2" width="82" customWidth="1"/>
    <x:col min="3" max="3" width="100" customWidth="1"/>
    <x:col min="4" max="4" width="12" customWidth="1"/>
    <x:col min="5" max="5" width="12" customWidth="1"/>
    <x:col min="6" max="6" width="12" customWidth="1"/>
    <x:col min="7" max="7" width="12" customWidth="1"/>
    <x:col min="8" max="8" width="12" customWidth="1"/>
  </x:cols>
  <x:sheetData>
    <x:row r="1" ht="28" customHeight="1">
      <x:c r="A1" s="1" t="inlineStr">
        <x:is>
          <x:t xml:space="preserve">Sources</x:t>
        </x:is>
      </x:c>
    </x:row>
    <x:row r="2" ht="36" customHeight="1">
      <x:c r="A2" s="3" t="inlineStr">
        <x:is>
          <x:t xml:space="preserve">Plain-text source URLs for workbook rows. Use final response citations for user-facing claims.</x:t>
        </x:is>
      </x:c>
    </x:row>
    <x:row r="3" ht="20" customHeight="1">
      <x:c r="A3" s="2" t="n"/>
      <x:c r="B3" s="2" t="n"/>
      <x:c r="C3" s="2" t="n"/>
      <x:c r="D3" s="2" t="n"/>
      <x:c r="E3" s="2" t="n"/>
      <x:c r="F3" s="2" t="n"/>
      <x:c r="G3" s="2" t="n"/>
      <x:c r="H3" s="2" t="n"/>
    </x:row>
    <x:row r="4" ht="32" customHeight="1">
      <x:c r="A4" s="4" t="inlineStr">
        <x:is>
          <x:t xml:space="preserve">Source name</x:t>
        </x:is>
      </x:c>
      <x:c r="B4" s="4" t="inlineStr">
        <x:is>
          <x:t xml:space="preserve">Use in workbook</x:t>
        </x:is>
      </x:c>
      <x:c r="C4" s="4" t="inlineStr">
        <x:is>
          <x:t xml:space="preserve">Plain URL</x:t>
        </x:is>
      </x:c>
      <x:c r="D4" s="2" t="n"/>
      <x:c r="E4" s="2" t="n"/>
      <x:c r="F4" s="2" t="n"/>
      <x:c r="G4" s="2" t="n"/>
      <x:c r="H4" s="2" t="n"/>
    </x:row>
    <x:row r="5" ht="32" customHeight="1">
      <x:c r="A5" s="18" t="inlineStr">
        <x:is>
          <x:t xml:space="preserve">W3C captions overview</x:t>
        </x:is>
      </x:c>
      <x:c r="B5" s="16" t="inlineStr">
        <x:is>
          <x:t xml:space="preserve">Captions are synchronized alternatives for speech and meaningful non-speech audio; closed captions are toggleable and open captions are embedded.</x:t>
        </x:is>
      </x:c>
      <x:c r="C5" s="18" t="inlineStr">
        <x:is>
          <x:t xml:space="preserve">https://www.w3.org/WAI/media/av/captions/</x:t>
        </x:is>
      </x:c>
      <x:c r="D5" s="2" t="n"/>
      <x:c r="E5" s="2" t="n"/>
      <x:c r="F5" s="2" t="n"/>
      <x:c r="G5" s="2" t="n"/>
      <x:c r="H5" s="2" t="n"/>
    </x:row>
    <x:row r="6" ht="32" customHeight="1">
      <x:c r="A6" s="18" t="inlineStr">
        <x:is>
          <x:t xml:space="preserve">Section 508 caption/transcript guidance</x:t>
        </x:is>
      </x:c>
      <x:c r="B6" s="17" t="inlineStr">
        <x:is>
          <x:t xml:space="preserve">Recommends concise, readable captions; warns that speech above about 180 wpm may be too fast for captions.</x:t>
        </x:is>
      </x:c>
      <x:c r="C6" s="18" t="inlineStr">
        <x:is>
          <x:t xml:space="preserve">https://www.section508.gov/create/captions-transcripts/</x:t>
        </x:is>
      </x:c>
      <x:c r="D6" s="2" t="n"/>
      <x:c r="E6" s="2" t="n"/>
      <x:c r="F6" s="2" t="n"/>
      <x:c r="G6" s="2" t="n"/>
      <x:c r="H6" s="2" t="n"/>
    </x:row>
    <x:row r="7" ht="32" customHeight="1">
      <x:c r="A7" s="18" t="inlineStr">
        <x:is>
          <x:t xml:space="preserve">Netflix timed text timing guidelines</x:t>
        </x:is>
      </x:c>
      <x:c r="B7" s="16" t="inlineStr">
        <x:is>
          <x:t xml:space="preserve">Subtitle timing should create effortless viewing; very short subtitles need enough duration to be readable.</x:t>
        </x:is>
      </x:c>
      <x:c r="C7" s="18" t="inlineStr">
        <x:is>
          <x:t xml:space="preserve">https://partnerhelp.netflixstudios.com/hc/en-us/articles/360051554394-Timed-Text-Style-Guide-Subtitle-Timing-Guidelines</x:t>
        </x:is>
      </x:c>
      <x:c r="D7" s="2" t="n"/>
      <x:c r="E7" s="2" t="n"/>
      <x:c r="F7" s="2" t="n"/>
      <x:c r="G7" s="2" t="n"/>
      <x:c r="H7" s="2" t="n"/>
    </x:row>
    <x:row r="8" ht="32" customHeight="1">
      <x:c r="A8" s="18" t="inlineStr">
        <x:is>
          <x:t xml:space="preserve">Szarkowska et al. 2024 sound-off subtitled videos</x:t>
        </x:is>
      </x:c>
      <x:c r="B8" s="17" t="inlineStr">
        <x:is>
          <x:t xml:space="preserve">Sound-off viewing increased cognitive load and reduced comprehension, immersion, and enjoyment; viewers processed subtitles more thoroughly.</x:t>
        </x:is>
      </x:c>
      <x:c r="C8" s="18" t="inlineStr">
        <x:is>
          <x:t xml:space="preserve">https://journals.plos.org/plosone/article?id=10.1371%2Fjournal.pone.0306251</x:t>
        </x:is>
      </x:c>
      <x:c r="D8" s="2" t="n"/>
      <x:c r="E8" s="2" t="n"/>
      <x:c r="F8" s="2" t="n"/>
      <x:c r="G8" s="2" t="n"/>
      <x:c r="H8" s="2" t="n"/>
    </x:row>
    <x:row r="9" ht="32" customHeight="1">
      <x:c r="A9" s="18" t="inlineStr">
        <x:is>
          <x:t xml:space="preserve">Kruger et al. subtitle speed eye-tracking</x:t>
        </x:is>
      </x:c>
      <x:c r="B9" s="16" t="inlineStr">
        <x:is>
          <x:t xml:space="preserve">Subtitle speed affected comprehension and reading behavior; faster subtitles produced more incomplete reading.</x:t>
        </x:is>
      </x:c>
      <x:c r="C9" s="18" t="inlineStr">
        <x:is>
          <x:t xml:space="preserve">https://www.cambridge.org/core/journals/applied-psycholinguistics/article/why-subtitle-speed-matters-evidence-from-word-skipping-and-rereading/A7DB0CBF5910353143738CF9C1721317</x:t>
        </x:is>
      </x:c>
      <x:c r="D9" s="2" t="n"/>
      <x:c r="E9" s="2" t="n"/>
      <x:c r="F9" s="2" t="n"/>
      <x:c r="G9" s="2" t="n"/>
      <x:c r="H9" s="2" t="n"/>
    </x:row>
    <x:row r="10" ht="48" customHeight="1">
      <x:c r="A10" s="18" t="inlineStr">
        <x:is>
          <x:t xml:space="preserve">Mirzaei et al. Partial and Synchronized Captioning</x:t>
        </x:is>
      </x:c>
      <x:c r="B10" s="17" t="inlineStr">
        <x:is>
          <x:t xml:space="preserve">PSC achieved similar comprehension to full captions while presenting less than 30% of the transcript in an L2 context.</x:t>
        </x:is>
      </x:c>
      <x:c r="C10" s="18" t="inlineStr">
        <x:is>
          <x:t xml:space="preserve">https://www.cambridge.org/core/journals/recall/article/partial-and-synchronized-captioning-a-new-tool-to-assist-learners-in-developing-second-language-listening-skill/9394E3F0AD25FD5F32895F965F7ECCAD</x:t>
        </x:is>
      </x:c>
      <x:c r="D10" s="2" t="n"/>
      <x:c r="E10" s="2" t="n"/>
      <x:c r="F10" s="2" t="n"/>
      <x:c r="G10" s="2" t="n"/>
      <x:c r="H10" s="2" t="n"/>
    </x:row>
    <x:row r="11" ht="32" customHeight="1">
      <x:c r="A11" s="18" t="inlineStr">
        <x:is>
          <x:t xml:space="preserve">Kafle et al. 2019 caption keyword highlighting</x:t>
        </x:is>
      </x:c>
      <x:c r="B11" s="16" t="inlineStr">
        <x:is>
          <x:t xml:space="preserve">DHH participants rated keyword-highlighted captions easier to read/follow and lower in perceived task load.</x:t>
        </x:is>
      </x:c>
      <x:c r="C11" s="18" t="inlineStr">
        <x:is>
          <x:t xml:space="preserve">https://cair.rit.edu/share/kafle-et-al-2019-assets.pdf</x:t>
        </x:is>
      </x:c>
      <x:c r="D11" s="2" t="n"/>
      <x:c r="E11" s="2" t="n"/>
      <x:c r="F11" s="2" t="n"/>
      <x:c r="G11" s="2" t="n"/>
      <x:c r="H11" s="2" t="n"/>
    </x:row>
    <x:row r="12" ht="32" customHeight="1">
      <x:c r="A12" s="18" t="inlineStr">
        <x:is>
          <x:t xml:space="preserve">Signaling meta-analysis</x:t>
        </x:is>
      </x:c>
      <x:c r="B12" s="17" t="inlineStr">
        <x:is>
          <x:t xml:space="preserve">Signaling improved retention/transfer and reduced cognitive load across multimedia-learning studies.</x:t>
        </x:is>
      </x:c>
      <x:c r="C12" s="18" t="inlineStr">
        <x:is>
          <x:t xml:space="preserve">https://www.sciencedirect.com/science/article/abs/pii/S1747938X17300581</x:t>
        </x:is>
      </x:c>
      <x:c r="D12" s="2" t="n"/>
      <x:c r="E12" s="2" t="n"/>
      <x:c r="F12" s="2" t="n"/>
      <x:c r="G12" s="2" t="n"/>
      <x:c r="H12" s="2" t="n"/>
    </x:row>
    <x:row r="13" ht="32" customHeight="1">
      <x:c r="A13" s="18" t="inlineStr">
        <x:is>
          <x:t xml:space="preserve">Redundancy in multimedia learning review</x:t>
        </x:is>
      </x:c>
      <x:c r="B13" s="16" t="inlineStr">
        <x:is>
          <x:t xml:space="preserve">Redundant text can help or hurt depending on content redundancy and working-memory-channel redundancy.</x:t>
        </x:is>
      </x:c>
      <x:c r="C13" s="18" t="inlineStr">
        <x:is>
          <x:t xml:space="preserve">https://www.frontiersin.org/journals/psychology/articles/10.3389/fpsyg.2023.1148035/full</x:t>
        </x:is>
      </x:c>
      <x:c r="D13" s="2" t="n"/>
      <x:c r="E13" s="2" t="n"/>
      <x:c r="F13" s="2" t="n"/>
      <x:c r="G13" s="2" t="n"/>
      <x:c r="H13" s="2" t="n"/>
    </x:row>
    <x:row r="14" ht="32" customHeight="1">
      <x:c r="A14" s="18" t="inlineStr">
        <x:is>
          <x:t xml:space="preserve">Henderson et al. 2018 meaning maps</x:t>
        </x:is>
      </x:c>
      <x:c r="B14" s="17" t="inlineStr">
        <x:is>
          <x:t xml:space="preserve">Meaning maps explained unique variance in real-world scene attention beyond image salience.</x:t>
        </x:is>
      </x:c>
      <x:c r="C14" s="18" t="inlineStr">
        <x:is>
          <x:t xml:space="preserve">https://www.nature.com/articles/s41598-018-31894-5</x:t>
        </x:is>
      </x:c>
      <x:c r="D14" s="2" t="n"/>
      <x:c r="E14" s="2" t="n"/>
      <x:c r="F14" s="2" t="n"/>
      <x:c r="G14" s="2" t="n"/>
      <x:c r="H14" s="2" t="n"/>
    </x:row>
    <x:row r="15" ht="20" customHeight="1">
      <x:c r="A15" s="18" t="inlineStr">
        <x:is>
          <x:t xml:space="preserve">Visual crowding review</x:t>
        </x:is>
      </x:c>
      <x:c r="B15" s="16" t="inlineStr">
        <x:is>
          <x:t xml:space="preserve">Crowding is a major limit on peripheral object/letter recognition in clutter.</x:t>
        </x:is>
      </x:c>
      <x:c r="C15" s="18" t="inlineStr">
        <x:is>
          <x:t xml:space="preserve">https://www.annualreviews.org/content/journals/10.1146/annurev-vision-110423-024409</x:t>
        </x:is>
      </x:c>
      <x:c r="D15" s="2" t="n"/>
      <x:c r="E15" s="2" t="n"/>
      <x:c r="F15" s="2" t="n"/>
      <x:c r="G15" s="2" t="n"/>
      <x:c r="H15" s="2" t="n"/>
    </x:row>
    <x:row r="16" ht="32" customHeight="1">
      <x:c r="A16" s="18" t="inlineStr">
        <x:is>
          <x:t xml:space="preserve">Rayner et al. perceptual span and reading speed</x:t>
        </x:is>
      </x:c>
      <x:c r="B16" s="17" t="inlineStr">
        <x:is>
          <x:t xml:space="preserve">Fast readers had a larger perceptual span than slower readers.</x:t>
        </x:is>
      </x:c>
      <x:c r="C16" s="18" t="inlineStr">
        <x:is>
          <x:t xml:space="preserve">https://pmc.ncbi.nlm.nih.gov/articles/PMC3075059/</x:t>
        </x:is>
      </x:c>
      <x:c r="D16" s="2" t="n"/>
      <x:c r="E16" s="2" t="n"/>
      <x:c r="F16" s="2" t="n"/>
      <x:c r="G16" s="2" t="n"/>
      <x:c r="H16" s="2" t="n"/>
    </x:row>
    <x:row r="17" ht="20" customHeight="1">
      <x:c r="A17" s="18" t="inlineStr">
        <x:is>
          <x:t xml:space="preserve">Eye movements in reading models/data</x:t>
        </x:is>
      </x:c>
      <x:c r="B17" s="16" t="inlineStr">
        <x:is>
          <x:t xml:space="preserve">Average reading fixations are roughly 200–250 ms, with variability.</x:t>
        </x:is>
      </x:c>
      <x:c r="C17" s="18" t="inlineStr">
        <x:is>
          <x:t xml:space="preserve">https://pmc.ncbi.nlm.nih.gov/articles/PMC2906818/</x:t>
        </x:is>
      </x:c>
      <x:c r="D17" s="2" t="n"/>
      <x:c r="E17" s="2" t="n"/>
      <x:c r="F17" s="2" t="n"/>
      <x:c r="G17" s="2" t="n"/>
      <x:c r="H17" s="2" t="n"/>
    </x:row>
    <x:row r="18" ht="20" customHeight="1">
      <x:c r="A18" s="18" t="inlineStr">
        <x:is>
          <x:t xml:space="preserve">Luck &amp; Vogel visual working memory</x:t>
        </x:is>
      </x:c>
      <x:c r="B18" s="17" t="inlineStr">
        <x:is>
          <x:t xml:space="preserve">Typical capacity is about 3–4 objects for simple highly discriminable colored squares.</x:t>
        </x:is>
      </x:c>
      <x:c r="C18" s="18" t="inlineStr">
        <x:is>
          <x:t xml:space="preserve">https://pmc.ncbi.nlm.nih.gov/articles/PMC3729738/</x:t>
        </x:is>
      </x:c>
      <x:c r="D18" s="2" t="n"/>
      <x:c r="E18" s="2" t="n"/>
      <x:c r="F18" s="2" t="n"/>
      <x:c r="G18" s="2" t="n"/>
      <x:c r="H18" s="2" t="n"/>
    </x:row>
    <x:row r="19" ht="32" customHeight="1">
      <x:c r="A19" s="18" t="inlineStr">
        <x:is>
          <x:t xml:space="preserve">Ross et al. visible speech articulation</x:t>
        </x:is>
      </x:c>
      <x:c r="B19" s="16" t="inlineStr">
        <x:is>
          <x:t xml:space="preserve">Viewing articulatory movements improves spoken-word understanding, especially in noisy conditions.</x:t>
        </x:is>
      </x:c>
      <x:c r="C19" s="18" t="inlineStr">
        <x:is>
          <x:t xml:space="preserve">https://academic.oup.com/cercor/article/17/5/1147/343892</x:t>
        </x:is>
      </x:c>
      <x:c r="D19" s="2" t="n"/>
      <x:c r="E19" s="2" t="n"/>
      <x:c r="F19" s="2" t="n"/>
      <x:c r="G19" s="2" t="n"/>
      <x:c r="H19" s="2" t="n"/>
    </x:row>
    <x:row r="20" ht="20" customHeight="1">
      <x:c r="A20" s="18" t="inlineStr">
        <x:is>
          <x:t xml:space="preserve">Smartphone viewing distance/eyestrain</x:t>
        </x:is>
      </x:c>
      <x:c r="B20" s="17" t="inlineStr">
        <x:is>
          <x:t xml:space="preserve">Non-presbyopic smartphone users used short viewing distances and small font sizes.</x:t>
        </x:is>
      </x:c>
      <x:c r="C20" s="18" t="inlineStr">
        <x:is>
          <x:t xml:space="preserve">https://pmc.ncbi.nlm.nih.gov/articles/PMC11629835/</x:t>
        </x:is>
      </x:c>
      <x:c r="D20" s="2" t="n"/>
      <x:c r="E20" s="2" t="n"/>
      <x:c r="F20" s="2" t="n"/>
      <x:c r="G20" s="2" t="n"/>
      <x:c r="H20" s="2" t="n"/>
    </x:row>
    <x:row r="21" ht="32" customHeight="1">
      <x:c r="A21" s="18" t="inlineStr">
        <x:is>
          <x:t xml:space="preserve">Screen use, blinking, and dry eye</x:t>
        </x:is>
      </x:c>
      <x:c r="B21" s="16" t="inlineStr">
        <x:is>
          <x:t xml:space="preserve">Prolonged screen use can worsen dry eye partly via reduced blink frequency and incomplete blinking.</x:t>
        </x:is>
      </x:c>
      <x:c r="C21" s="18" t="inlineStr">
        <x:is>
          <x:t xml:space="preserve">https://www.nature.com/articles/s41746-025-02053-8</x:t>
        </x:is>
      </x:c>
      <x:c r="D21" s="2" t="n"/>
      <x:c r="E21" s="2" t="n"/>
      <x:c r="F21" s="2" t="n"/>
      <x:c r="G21" s="2" t="n"/>
      <x:c r="H21" s="2" t="n"/>
    </x:row>
    <x:row r="22" ht="32" customHeight="1">
      <x:c r="A22" s="18" t="inlineStr">
        <x:is>
          <x:t xml:space="preserve">AIM 2024 AViMoS video saliency challenge</x:t>
        </x:is>
      </x:c>
      <x:c r="B22" s="17" t="inlineStr">
        <x:is>
          <x:t xml:space="preserve">Dataset includes 1,500 videos, vertical video types, audio, and mouse-fixation data from &gt;5,000 observers.</x:t>
        </x:is>
      </x:c>
      <x:c r="C22" s="18" t="inlineStr">
        <x:is>
          <x:t xml:space="preserve">https://arxiv.org/html/2409.14827v1</x:t>
        </x:is>
      </x:c>
      <x:c r="D22" s="2" t="n"/>
      <x:c r="E22" s="2" t="n"/>
      <x:c r="F22" s="2" t="n"/>
      <x:c r="G22" s="2" t="n"/>
      <x:c r="H22" s="2" t="n"/>
    </x:row>
    <x:row r="23" ht="32" customHeight="1">
      <x:c r="A23" s="18" t="inlineStr">
        <x:is>
          <x:t xml:space="preserve">Dynamic subtitles user experience</x:t>
        </x:is>
      </x:c>
      <x:c r="B23" s="16" t="inlineStr">
        <x:is>
          <x:t xml:space="preserve">Dynamic subtitles produced gaze patterns closer to a no-subtitle baseline than traditional subtitles.</x:t>
        </x:is>
      </x:c>
      <x:c r="C23" s="18" t="inlineStr">
        <x:is>
          <x:t xml:space="preserve">https://research.manchester.ac.uk/en/publications/dynamic-subtitles-the-user-experience</x:t>
        </x:is>
      </x:c>
      <x:c r="D23" s="2" t="n"/>
      <x:c r="E23" s="2" t="n"/>
      <x:c r="F23" s="2" t="n"/>
      <x:c r="G23" s="2" t="n"/>
      <x:c r="H23" s="2" t="n"/>
    </x:row>
    <x:row r="24" ht="20" customHeight="1">
      <x:c r="A24" s="18" t="inlineStr">
        <x:is>
          <x:t xml:space="preserve">Speaker-following subtitles</x:t>
        </x:is>
      </x:c>
      <x:c r="B24" s="17" t="inlineStr">
        <x:is>
          <x:t xml:space="preserve">Speaker-following subtitles can reduce gaze travel between subtitles and main content.</x:t>
        </x:is>
      </x:c>
      <x:c r="C24" s="18" t="inlineStr">
        <x:is>
          <x:t xml:space="preserve">https://dl.acm.org/doi/10.1145/2632111</x:t>
        </x:is>
      </x:c>
      <x:c r="D24" s="2" t="n"/>
      <x:c r="E24" s="2" t="n"/>
      <x:c r="F24" s="2" t="n"/>
      <x:c r="G24" s="2" t="n"/>
      <x:c r="H24" s="2" t="n"/>
    </x:row>
    <x:row r="25" ht="32" customHeight="1">
      <x:c r="A25" s="18" t="inlineStr">
        <x:is>
          <x:t xml:space="preserve">Kinetic typography learning review</x:t>
        </x:is>
      </x:c>
      <x:c r="B25" s="16" t="inlineStr">
        <x:is>
          <x:t xml:space="preserve">Moving text can support learning when tied to logical flow; excessive motion may overload.</x:t>
        </x:is>
      </x:c>
      <x:c r="C25" s="18" t="inlineStr">
        <x:is>
          <x:t xml:space="preserve">https://www.nature.com/articles/s41599-023-01646-6</x:t>
        </x:is>
      </x:c>
      <x:c r="D25" s="2" t="n"/>
      <x:c r="E25" s="2" t="n"/>
      <x:c r="F25" s="2" t="n"/>
      <x:c r="G25" s="2" t="n"/>
      <x:c r="H25" s="2" t="n"/>
    </x:row>
    <x:row r="26" ht="20" customHeight="1">
      <x:c r="A26" s="18" t="inlineStr">
        <x:is>
          <x:t xml:space="preserve">TikTok subtitle style study</x:t>
        </x:is>
      </x:c>
      <x:c r="B26" s="17" t="inlineStr">
        <x:is>
          <x:t xml:space="preserve">Non-standard typography/emojis in TikTok subtitles affected preferences and engagement.</x:t>
        </x:is>
      </x:c>
      <x:c r="C26" s="18" t="inlineStr">
        <x:is>
          <x:t xml:space="preserve">https://www.jatjournal.org/index.php/jat/article/view/339</x:t>
        </x:is>
      </x:c>
      <x:c r="D26" s="2" t="n"/>
      <x:c r="E26" s="2" t="n"/>
      <x:c r="F26" s="2" t="n"/>
      <x:c r="G26" s="2" t="n"/>
      <x:c r="H26" s="2" t="n"/>
    </x:row>
    <x:row r="27" ht="32" customHeight="1">
      <x:c r="A27" s="18" t="inlineStr">
        <x:is>
          <x:t xml:space="preserve">Alruwaili 2025 scroll immersion</x:t>
        </x:is>
      </x:c>
      <x:c r="B27" s="16" t="inlineStr">
        <x:is>
          <x:t xml:space="preserve">Short-form video use and scroll immersion predicted attention difficulty, working-memory disruption, and cognitive fatigue.</x:t>
        </x:is>
      </x:c>
      <x:c r="C27" s="18" t="inlineStr">
        <x:is>
          <x:t xml:space="preserve">https://www.sciencedirect.com/science/article/pii/S0001691825009874</x:t>
        </x:is>
      </x:c>
      <x:c r="D27" s="2" t="n"/>
      <x:c r="E27" s="2" t="n"/>
      <x:c r="F27" s="2" t="n"/>
      <x:c r="G27" s="2" t="n"/>
      <x:c r="H27" s="2" t="n"/>
    </x:row>
    <x:row r="28" ht="32" customHeight="1">
      <x:c r="A28" s="18" t="inlineStr">
        <x:is>
          <x:t xml:space="preserve">Yan et al. 2024 short video EEG</x:t>
        </x:is>
      </x:c>
      <x:c r="B28" s="17" t="inlineStr">
        <x:is>
          <x:t xml:space="preserve">Higher short-video addiction tendency was linked to lower self-control and lower prefrontal theta index in attention tasks.</x:t>
        </x:is>
      </x:c>
      <x:c r="C28" s="18" t="inlineStr">
        <x:is>
          <x:t xml:space="preserve">https://www.frontiersin.org/journals/human-neuroscience/articles/10.3389/fnhum.2024.1383913/full</x:t>
        </x:is>
      </x:c>
      <x:c r="D28" s="2" t="n"/>
      <x:c r="E28" s="2" t="n"/>
      <x:c r="F28" s="2" t="n"/>
      <x:c r="G28" s="2" t="n"/>
      <x:c r="H28" s="2" t="n"/>
    </x:row>
    <x:row r="29" ht="32" customHeight="1">
      <x:c r="A29" s="18" t="inlineStr">
        <x:is>
          <x:t xml:space="preserve">Bionic Reading 2025 eye-tracking/usability</x:t>
        </x:is>
      </x:c>
      <x:c r="B29" s="16" t="inlineStr">
        <x:is>
          <x:t xml:space="preserve">No significant reading speed/comprehension difference; bionic formatting increased saccades in reported analyses.</x:t>
        </x:is>
      </x:c>
      <x:c r="C29" s="18" t="inlineStr">
        <x:is>
          <x:t xml:space="preserve">https://journals.sagepub.com/doi/10.1177/21582440251376158</x:t>
        </x:is>
      </x:c>
      <x:c r="D29" s="2" t="n"/>
      <x:c r="E29" s="2" t="n"/>
      <x:c r="F29" s="2" t="n"/>
      <x:c r="G29" s="2" t="n"/>
      <x:c r="H29" s="2" t="n"/>
    </x:row>
    <x:row r="30" ht="20" customHeight="1">
      <x:c r="A30" s="18" t="inlineStr">
        <x:is>
          <x:t xml:space="preserve">Snell 2024 Bionic Reading</x:t>
        </x:is>
      </x:c>
      <x:c r="B30" s="17" t="inlineStr">
        <x:is>
          <x:t xml:space="preserve">Found no significant reading-time benefit for Bionic Reading versus normal text.</x:t>
        </x:is>
      </x:c>
      <x:c r="C30" s="18" t="inlineStr">
        <x:is>
          <x:t xml:space="preserve">https://www.sciencedirect.com/science/article/pii/S0001691824001811</x:t>
        </x:is>
      </x:c>
      <x:c r="D30" s="2" t="n"/>
      <x:c r="E30" s="2" t="n"/>
      <x:c r="F30" s="2" t="n"/>
      <x:c r="G30" s="2" t="n"/>
      <x:c r="H30" s="2" t="n"/>
    </x:row>
    <x:row r="31">
      <x:c r="A31" s="19" t="inlineStr">
        <x:is>
          <x:t xml:space="preserve">PLOS ONE sound-off subtitled video study</x:t>
        </x:is>
      </x:c>
      <x:c r="B31" s="19" t="inlineStr">
        <x:is>
          <x:t xml:space="preserve">Sound-off viewing raised cognitive load and changed gaze/subtitle processing.</x:t>
        </x:is>
      </x:c>
      <x:c r="C31" s="19" t="inlineStr">
        <x:is>
          <x:t xml:space="preserve">https://journals.plos.org/plosone/article?id=10.1371/journal.pone.0306251</x:t>
        </x:is>
      </x:c>
    </x:row>
    <x:row r="32">
      <x:c r="A32" s="19" t="inlineStr">
        <x:is>
          <x:t xml:space="preserve">AIM 2024 Video Saliency Challenge / AViMoS</x:t>
        </x:is>
      </x:c>
      <x:c r="B32" s="19" t="inlineStr">
        <x:is>
          <x:t xml:space="preserve">Video saliency dataset with vertical videos and &gt;5000 observers; useful for placement research.</x:t>
        </x:is>
      </x:c>
      <x:c r="C32" s="19" t="inlineStr">
        <x:is>
          <x:t xml:space="preserve">https://github.com/msu-video-group/ECCVW24_Saliency_Prediction</x:t>
        </x:is>
      </x:c>
    </x:row>
    <x:row r="33">
      <x:c r="A33" s="19" t="inlineStr">
        <x:is>
          <x:t xml:space="preserve">Beelders 2025 Bionic Reading eye-tracking</x:t>
        </x:is>
      </x:c>
      <x:c r="B33" s="19" t="inlineStr">
        <x:is>
          <x:t xml:space="preserve">No reliable speed/comprehension advantage; more saccades in bionic format.</x:t>
        </x:is>
      </x:c>
      <x:c r="C33" s="19" t="inlineStr">
        <x:is>
          <x:t xml:space="preserve">https://pmc.ncbi.nlm.nih.gov/articles/PMC12565662/</x:t>
        </x:is>
      </x:c>
    </x:row>
    <x:row r="34">
      <x:c r="A34" s="19" t="inlineStr">
        <x:is>
          <x:t xml:space="preserve">Visual working memory capacity review</x:t>
        </x:is>
      </x:c>
      <x:c r="B34" s="19" t="inlineStr">
        <x:is>
          <x:t xml:space="preserve">Visual working memory is capacity-limited and tied to cognition.</x:t>
        </x:is>
      </x:c>
      <x:c r="C34" s="19" t="inlineStr">
        <x:is>
          <x:t xml:space="preserve">https://www.sciencedirect.com/science/article/abs/pii/S1364661313001265</x:t>
        </x:is>
      </x:c>
    </x:row>
    <x:row r="35">
      <x:c r="A35" s="19" t="inlineStr">
        <x:is>
          <x:t xml:space="preserve">Parafoveal processing in reading review</x:t>
        </x:is>
      </x:c>
      <x:c r="B35" s="19" t="inlineStr">
        <x:is>
          <x:t xml:space="preserve">Reading uses foveal and parafoveal information, supporting phrase-level rather than fragmented word presentation.</x:t>
        </x:is>
      </x:c>
      <x:c r="C35" s="19" t="inlineStr">
        <x:is>
          <x:t xml:space="preserve">https://link.springer.com/article/10.3758/s13414-011-0219-2</x:t>
        </x:is>
      </x:c>
    </x:row>
  </x:sheetData>
  <x:mergeCells>
    <x:mergeCell ref="A2:H2"/>
    <x:mergeCell ref="A1:H1"/>
  </x:mergeCells>
  <x:pageMargins left="0.7" right="0.7" top="0.75" bottom="0.75" header="0.3" footer="0.3"/>
  <x:tableParts count="1">
    <x:tablePart xmlns:r="http://schemas.openxmlformats.org/officeDocument/2006/relationships" r:id="R598680a962f64ed0"/>
  </x:tableParts>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8" customWidth="1"/>
    <x:col min="2" max="2" width="9" customWidth="1"/>
    <x:col min="3" max="3" width="36" customWidth="1"/>
    <x:col min="4" max="4" width="34" customWidth="1"/>
    <x:col min="5" max="5" width="35" customWidth="1"/>
    <x:col min="6" max="6" width="44" customWidth="1"/>
    <x:col min="7" max="7" width="14" customWidth="1"/>
    <x:col min="8" max="8" width="26" customWidth="1"/>
  </x:cols>
  <x:sheetData>
    <x:row r="1" ht="24" customHeight="1">
      <x:c r="A1" s="14" t="inlineStr">
        <x:is>
          <x:t xml:space="preserve">Research Backlog — What to Discover Next</x:t>
        </x:is>
      </x:c>
    </x:row>
    <x:row r="2" ht="32" customHeight="1">
      <x:c r="A2" s="3" t="inlineStr">
        <x:is>
          <x:t xml:space="preserve">Ranked unknowns, test designs, and decision rules. Priority 1 should be run first.</x:t>
        </x:is>
      </x:c>
    </x:row>
    <x:row r="4">
      <x:c r="A4" s="15" t="inlineStr">
        <x:is>
          <x:t xml:space="preserve">ID</x:t>
        </x:is>
      </x:c>
      <x:c r="B4" s="15" t="inlineStr">
        <x:is>
          <x:t xml:space="preserve">Priority</x:t>
        </x:is>
      </x:c>
      <x:c r="C4" s="15" t="inlineStr">
        <x:is>
          <x:t xml:space="preserve">Research question</x:t>
        </x:is>
      </x:c>
      <x:c r="D4" s="15" t="inlineStr">
        <x:is>
          <x:t xml:space="preserve">Experimental comparison</x:t>
        </x:is>
      </x:c>
      <x:c r="E4" s="15" t="inlineStr">
        <x:is>
          <x:t xml:space="preserve">Primary measures</x:t>
        </x:is>
      </x:c>
      <x:c r="F4" s="15" t="inlineStr">
        <x:is>
          <x:t xml:space="preserve">Decision rule</x:t>
        </x:is>
      </x:c>
      <x:c r="G4" s="15" t="inlineStr">
        <x:is>
          <x:t xml:space="preserve">Status</x:t>
        </x:is>
      </x:c>
      <x:c r="H4" s="15" t="inlineStr">
        <x:is>
          <x:t xml:space="preserve">Notes</x:t>
        </x:is>
      </x:c>
    </x:row>
    <x:row r="5" ht="68" customHeight="1">
      <x:c r="A5" s="16" t="inlineStr">
        <x:is>
          <x:t xml:space="preserve">R01</x:t>
        </x:is>
      </x:c>
      <x:c r="B5" s="16" t="n">
        <x:v>1</x:v>
      </x:c>
      <x:c r="C5" s="16" t="inlineStr">
        <x:is>
          <x:t xml:space="preserve">Does BCC beat semantic compression alone?</x:t>
        </x:is>
      </x:c>
      <x:c r="D5" s="16" t="inlineStr">
        <x:is>
          <x:t xml:space="preserve">Compression only vs BCC</x:t>
        </x:is>
      </x:c>
      <x:c r="E5" s="16" t="inlineStr">
        <x:is>
          <x:t xml:space="preserve">Gist recall; action recall; perceived clarity; text dwell</x:t>
        </x:is>
      </x:c>
      <x:c r="F5" s="16" t="inlineStr">
        <x:is>
          <x:t xml:space="preserve">If BCC does not improve at least one recall/effort metric, keep bionic anchors optional.</x:t>
        </x:is>
      </x:c>
      <x:c r="G5" s="16" t="inlineStr">
        <x:is>
          <x:t xml:space="preserve">Not started</x:t>
        </x:is>
      </x:c>
      <x:c r="H5" s="16" t="inlineStr">
        <x:is>
          <x:t xml:space="preserve"/>
        </x:is>
      </x:c>
    </x:row>
    <x:row r="6" ht="68" customHeight="1">
      <x:c r="A6" s="17" t="inlineStr">
        <x:is>
          <x:t xml:space="preserve">R02</x:t>
        </x:is>
      </x:c>
      <x:c r="B6" s="17" t="n">
        <x:v>1</x:v>
      </x:c>
      <x:c r="C6" s="17" t="inlineStr">
        <x:is>
          <x:t xml:space="preserve">Does BCC+ beat BCC?</x:t>
        </x:is>
      </x:c>
      <x:c r="D6" s="17" t="inlineStr">
        <x:is>
          <x:t xml:space="preserve">BCC vs BCC+ gaze-safe/adaptive placement</x:t>
        </x:is>
      </x:c>
      <x:c r="E6" s="17" t="inlineStr">
        <x:is>
          <x:t xml:space="preserve">Visual recall; face/object dwell; effort; completion</x:t>
        </x:is>
      </x:c>
      <x:c r="F6" s="17" t="inlineStr">
        <x:is>
          <x:t xml:space="preserve">If BCC+ wins, prioritize placement and visual load over styling.</x:t>
        </x:is>
      </x:c>
      <x:c r="G6" s="17" t="inlineStr">
        <x:is>
          <x:t xml:space="preserve">Not started</x:t>
        </x:is>
      </x:c>
      <x:c r="H6" s="17" t="inlineStr">
        <x:is>
          <x:t xml:space="preserve"/>
        </x:is>
      </x:c>
    </x:row>
    <x:row r="7" ht="68" customHeight="1">
      <x:c r="A7" s="16" t="inlineStr">
        <x:is>
          <x:t xml:space="preserve">R03</x:t>
        </x:is>
      </x:c>
      <x:c r="B7" s="16" t="n">
        <x:v>1</x:v>
      </x:c>
      <x:c r="C7" s="16" t="inlineStr">
        <x:is>
          <x:t xml:space="preserve">What minimum text preserves gist?</x:t>
        </x:is>
      </x:c>
      <x:c r="D7" s="16" t="inlineStr">
        <x:is>
          <x:t xml:space="preserve">100%, 70%, 40%, 20%, 10% transcript-equivalent text</x:t>
        </x:is>
      </x:c>
      <x:c r="E7" s="16" t="inlineStr">
        <x:is>
          <x:t xml:space="preserve">Gist/action recall; exact recall; effort</x:t>
        </x:is>
      </x:c>
      <x:c r="F7" s="16" t="inlineStr">
        <x:is>
          <x:t xml:space="preserve">Identify lower bound by category.</x:t>
        </x:is>
      </x:c>
      <x:c r="G7" s="16" t="inlineStr">
        <x:is>
          <x:t xml:space="preserve">Not started</x:t>
        </x:is>
      </x:c>
      <x:c r="H7" s="16" t="inlineStr">
        <x:is>
          <x:t xml:space="preserve"/>
        </x:is>
      </x:c>
    </x:row>
    <x:row r="8" ht="68" customHeight="1">
      <x:c r="A8" s="17" t="inlineStr">
        <x:is>
          <x:t xml:space="preserve">R04</x:t>
        </x:is>
      </x:c>
      <x:c r="B8" s="17" t="n">
        <x:v>1</x:v>
      </x:c>
      <x:c r="C8" s="17" t="inlineStr">
        <x:is>
          <x:t xml:space="preserve">What highlight density is optimal?</x:t>
        </x:is>
      </x:c>
      <x:c r="D8" s="17" t="inlineStr">
        <x:is>
          <x:t xml:space="preserve">0%, 5%, 10%, 20%, 50%, heavy bionic</x:t>
        </x:is>
      </x:c>
      <x:c r="E8" s="17" t="inlineStr">
        <x:is>
          <x:t xml:space="preserve">Recall; effort; gaze switching</x:t>
        </x:is>
      </x:c>
      <x:c r="F8" s="17" t="inlineStr">
        <x:is>
          <x:t xml:space="preserve">Expect sparse 5–15% to win; heavy highlight should lose.</x:t>
        </x:is>
      </x:c>
      <x:c r="G8" s="17" t="inlineStr">
        <x:is>
          <x:t xml:space="preserve">Not started</x:t>
        </x:is>
      </x:c>
      <x:c r="H8" s="17" t="inlineStr">
        <x:is>
          <x:t xml:space="preserve"/>
        </x:is>
      </x:c>
    </x:row>
    <x:row r="9" ht="68" customHeight="1">
      <x:c r="A9" s="16" t="inlineStr">
        <x:is>
          <x:t xml:space="preserve">R05</x:t>
        </x:is>
      </x:c>
      <x:c r="B9" s="16" t="n">
        <x:v>1</x:v>
      </x:c>
      <x:c r="C9" s="16" t="inlineStr">
        <x:is>
          <x:t xml:space="preserve">Where should overlays sit in vertical video?</x:t>
        </x:is>
      </x:c>
      <x:c r="D9" s="16" t="inlineStr">
        <x:is>
          <x:t xml:space="preserve">Bottom, upper-middle, side, speaker-following, object-adjacent</x:t>
        </x:is>
      </x:c>
      <x:c r="E9" s="16" t="inlineStr">
        <x:is>
          <x:t xml:space="preserve">Text dwell; face/object dwell; visual recall</x:t>
        </x:is>
      </x:c>
      <x:c r="F9" s="16" t="inlineStr">
        <x:is>
          <x:t xml:space="preserve">Build placement maps by category.</x:t>
        </x:is>
      </x:c>
      <x:c r="G9" s="16" t="inlineStr">
        <x:is>
          <x:t xml:space="preserve">Not started</x:t>
        </x:is>
      </x:c>
      <x:c r="H9" s="16" t="inlineStr">
        <x:is>
          <x:t xml:space="preserve"/>
        </x:is>
      </x:c>
    </x:row>
    <x:row r="10" ht="68" customHeight="1">
      <x:c r="A10" s="17" t="inlineStr">
        <x:is>
          <x:t xml:space="preserve">R06</x:t>
        </x:is>
      </x:c>
      <x:c r="B10" s="17" t="n">
        <x:v>2</x:v>
      </x:c>
      <x:c r="C10" s="17" t="inlineStr">
        <x:is>
          <x:t xml:space="preserve">Does pre-cueing meaning help?</x:t>
        </x:is>
      </x:c>
      <x:c r="D10" s="17" t="inlineStr">
        <x:is>
          <x:t xml:space="preserve">-500ms, -250ms, sync, +250ms, on-cut</x:t>
        </x:is>
      </x:c>
      <x:c r="E10" s="17" t="inlineStr">
        <x:is>
          <x:t xml:space="preserve">Gist recall; naturalness; effort</x:t>
        </x:is>
      </x:c>
      <x:c r="F10" s="17" t="inlineStr">
        <x:is>
          <x:t xml:space="preserve">Find timing offset that reduces prediction load without mismatch.</x:t>
        </x:is>
      </x:c>
      <x:c r="G10" s="17" t="inlineStr">
        <x:is>
          <x:t xml:space="preserve">Not started</x:t>
        </x:is>
      </x:c>
      <x:c r="H10" s="17" t="inlineStr">
        <x:is>
          <x:t xml:space="preserve"/>
        </x:is>
      </x:c>
    </x:row>
    <x:row r="11" ht="68" customHeight="1">
      <x:c r="A11" s="16" t="inlineStr">
        <x:is>
          <x:t xml:space="preserve">R07</x:t>
        </x:is>
      </x:c>
      <x:c r="B11" s="16" t="n">
        <x:v>2</x:v>
      </x:c>
      <x:c r="C11" s="16" t="inlineStr">
        <x:is>
          <x:t xml:space="preserve">What motion dose works?</x:t>
        </x:is>
      </x:c>
      <x:c r="D11" s="16" t="inlineStr">
        <x:is>
          <x:t xml:space="preserve">static, fade, scale, word pop, logic motion, karaoke, high motion</x:t>
        </x:is>
      </x:c>
      <x:c r="E11" s="16" t="inlineStr">
        <x:is>
          <x:t xml:space="preserve">Recall; effort; fatigue; completion</x:t>
        </x:is>
      </x:c>
      <x:c r="F11" s="16" t="inlineStr">
        <x:is>
          <x:t xml:space="preserve">Motion tied to logic should beat decorative motion.</x:t>
        </x:is>
      </x:c>
      <x:c r="G11" s="16" t="inlineStr">
        <x:is>
          <x:t xml:space="preserve">Not started</x:t>
        </x:is>
      </x:c>
      <x:c r="H11" s="16" t="inlineStr">
        <x:is>
          <x:t xml:space="preserve"/>
        </x:is>
      </x:c>
    </x:row>
    <x:row r="12" ht="68" customHeight="1">
      <x:c r="A12" s="17" t="inlineStr">
        <x:is>
          <x:t xml:space="preserve">R08</x:t>
        </x:is>
      </x:c>
      <x:c r="B12" s="17" t="n">
        <x:v>2</x:v>
      </x:c>
      <x:c r="C12" s="17" t="inlineStr">
        <x:is>
          <x:t xml:space="preserve">How does muted viewing change best overlay?</x:t>
        </x:is>
      </x:c>
      <x:c r="D12" s="17" t="inlineStr">
        <x:is>
          <x:t xml:space="preserve">Audio-on vs muted; captions-on/off</x:t>
        </x:is>
      </x:c>
      <x:c r="E12" s="17" t="inlineStr">
        <x:is>
          <x:t xml:space="preserve">Muted comprehension; effort; completion</x:t>
        </x:is>
      </x:c>
      <x:c r="F12" s="17" t="inlineStr">
        <x:is>
          <x:t xml:space="preserve">Muted-first overlays need more self-contained beats.</x:t>
        </x:is>
      </x:c>
      <x:c r="G12" s="17" t="inlineStr">
        <x:is>
          <x:t xml:space="preserve">Not started</x:t>
        </x:is>
      </x:c>
      <x:c r="H12" s="17" t="inlineStr">
        <x:is>
          <x:t xml:space="preserve"/>
        </x:is>
      </x:c>
    </x:row>
    <x:row r="13" ht="68" customHeight="1">
      <x:c r="A13" s="16" t="inlineStr">
        <x:is>
          <x:t xml:space="preserve">R09</x:t>
        </x:is>
      </x:c>
      <x:c r="B13" s="16" t="n">
        <x:v>2</x:v>
      </x:c>
      <x:c r="C13" s="16" t="inlineStr">
        <x:is>
          <x:t xml:space="preserve">Does mouth-safe placement improve speech comprehension?</x:t>
        </x:is>
      </x:c>
      <x:c r="D13" s="16" t="inlineStr">
        <x:is>
          <x:t xml:space="preserve">Mouth-covered vs mouth-safe</x:t>
        </x:is>
      </x:c>
      <x:c r="E13" s="16" t="inlineStr">
        <x:is>
          <x:t xml:space="preserve">Speech comprehension; perceived clarity; gaze</x:t>
        </x:is>
      </x:c>
      <x:c r="F13" s="16" t="inlineStr">
        <x:is>
          <x:t xml:space="preserve">Keep mouth visible in talking-head clips.</x:t>
        </x:is>
      </x:c>
      <x:c r="G13" s="16" t="inlineStr">
        <x:is>
          <x:t xml:space="preserve">Not started</x:t>
        </x:is>
      </x:c>
      <x:c r="H13" s="16" t="inlineStr">
        <x:is>
          <x:t xml:space="preserve"/>
        </x:is>
      </x:c>
    </x:row>
    <x:row r="14" ht="68" customHeight="1">
      <x:c r="A14" s="17" t="inlineStr">
        <x:is>
          <x:t xml:space="preserve">R10</x:t>
        </x:is>
      </x:c>
      <x:c r="B14" s="17" t="n">
        <x:v>2</x:v>
      </x:c>
      <x:c r="C14" s="17" t="inlineStr">
        <x:is>
          <x:t xml:space="preserve">Does visual-load adaptive captioning help demos?</x:t>
        </x:is>
      </x:c>
      <x:c r="D14" s="17" t="inlineStr">
        <x:is>
          <x:t xml:space="preserve">Fixed caption density vs adaptive density</x:t>
        </x:is>
      </x:c>
      <x:c r="E14" s="17" t="inlineStr">
        <x:is>
          <x:t xml:space="preserve">Visual recall; action recall; completion</x:t>
        </x:is>
      </x:c>
      <x:c r="F14" s="17" t="inlineStr">
        <x:is>
          <x:t xml:space="preserve">Adaptive density should win for demos and busy scenes.</x:t>
        </x:is>
      </x:c>
      <x:c r="G14" s="17" t="inlineStr">
        <x:is>
          <x:t xml:space="preserve">Not started</x:t>
        </x:is>
      </x:c>
      <x:c r="H14" s="17" t="inlineStr">
        <x:is>
          <x:t xml:space="preserve"/>
        </x:is>
      </x:c>
    </x:row>
    <x:row r="15" ht="68" customHeight="1">
      <x:c r="A15" s="16" t="inlineStr">
        <x:is>
          <x:t xml:space="preserve">R11</x:t>
        </x:is>
      </x:c>
      <x:c r="B15" s="16" t="n">
        <x:v>3</x:v>
      </x:c>
      <x:c r="C15" s="16" t="inlineStr">
        <x:is>
          <x:t xml:space="preserve">Do novice/expert audiences need different compression?</x:t>
        </x:is>
      </x:c>
      <x:c r="D15" s="16" t="inlineStr">
        <x:is>
          <x:t xml:space="preserve">Beginner labels vs expert shorthand</x:t>
        </x:is>
      </x:c>
      <x:c r="E15" s="16" t="inlineStr">
        <x:is>
          <x:t xml:space="preserve">Gist/action recall by prior knowledge</x:t>
        </x:is>
      </x:c>
      <x:c r="F15" s="16" t="inlineStr">
        <x:is>
          <x:t xml:space="preserve">Beginners likely need more explicit labels.</x:t>
        </x:is>
      </x:c>
      <x:c r="G15" s="16" t="inlineStr">
        <x:is>
          <x:t xml:space="preserve">Not started</x:t>
        </x:is>
      </x:c>
      <x:c r="H15" s="16" t="inlineStr">
        <x:is>
          <x:t xml:space="preserve"/>
        </x:is>
      </x:c>
    </x:row>
    <x:row r="16" ht="68" customHeight="1">
      <x:c r="A16" s="17" t="inlineStr">
        <x:is>
          <x:t xml:space="preserve">R12</x:t>
        </x:is>
      </x:c>
      <x:c r="B16" s="17" t="n">
        <x:v>3</x:v>
      </x:c>
      <x:c r="C16" s="17" t="inlineStr">
        <x:is>
          <x:t xml:space="preserve">Which memory-object structures stick best?</x:t>
        </x:is>
      </x:c>
      <x:c r="D16" s="17" t="inlineStr">
        <x:is>
          <x:t xml:space="preserve">Contrast, command, rule, metaphor, 3-part sequence</x:t>
        </x:is>
      </x:c>
      <x:c r="E16" s="17" t="inlineStr">
        <x:is>
          <x:t xml:space="preserve">Delayed recall; saves/shares</x:t>
        </x:is>
      </x:c>
      <x:c r="F16" s="17" t="inlineStr">
        <x:is>
          <x:t xml:space="preserve">Find formats that produce high delayed recall.</x:t>
        </x:is>
      </x:c>
      <x:c r="G16" s="17" t="inlineStr">
        <x:is>
          <x:t xml:space="preserve">Not started</x:t>
        </x:is>
      </x:c>
      <x:c r="H16" s="17" t="inlineStr">
        <x:is>
          <x:t xml:space="preserve"/>
        </x:is>
      </x:c>
    </x:row>
    <x:row r="17" ht="68" customHeight="1">
      <x:c r="A17" s="16" t="inlineStr">
        <x:is>
          <x:t xml:space="preserve">R13</x:t>
        </x:is>
      </x:c>
      <x:c r="B17" s="16" t="n">
        <x:v>3</x:v>
      </x:c>
      <x:c r="C17" s="16" t="inlineStr">
        <x:is>
          <x:t xml:space="preserve">Can saliency maps predict low-conflict zones?</x:t>
        </x:is>
      </x:c>
      <x:c r="D17" s="16" t="inlineStr">
        <x:is>
          <x:t xml:space="preserve">Manual placement vs saliency-assisted placement</x:t>
        </x:is>
      </x:c>
      <x:c r="E17" s="16" t="inlineStr">
        <x:is>
          <x:t xml:space="preserve">Visual recall; text readability; effort</x:t>
        </x:is>
      </x:c>
      <x:c r="F17" s="16" t="inlineStr">
        <x:is>
          <x:t xml:space="preserve">Build automated placement heuristic.</x:t>
        </x:is>
      </x:c>
      <x:c r="G17" s="16" t="inlineStr">
        <x:is>
          <x:t xml:space="preserve">Not started</x:t>
        </x:is>
      </x:c>
      <x:c r="H17" s="16" t="inlineStr">
        <x:is>
          <x:t xml:space="preserve"/>
        </x:is>
      </x:c>
    </x:row>
    <x:row r="18" ht="68" customHeight="1">
      <x:c r="A18" s="17" t="inlineStr">
        <x:is>
          <x:t xml:space="preserve">R14</x:t>
        </x:is>
      </x:c>
      <x:c r="B18" s="17" t="n">
        <x:v>3</x:v>
      </x:c>
      <x:c r="C18" s="17" t="inlineStr">
        <x:is>
          <x:t xml:space="preserve">Does micro-rest rhythm reduce fatigue?</x:t>
        </x:is>
      </x:c>
      <x:c r="D18" s="17" t="inlineStr">
        <x:is>
          <x:t xml:space="preserve">constant text vs beat-rest-beat</x:t>
        </x:is>
      </x:c>
      <x:c r="E18" s="17" t="inlineStr">
        <x:is>
          <x:t xml:space="preserve">Completion; effort; fatigue ratings</x:t>
        </x:is>
      </x:c>
      <x:c r="F18" s="17" t="inlineStr">
        <x:is>
          <x:t xml:space="preserve">Micro-rests should help dense education clips.</x:t>
        </x:is>
      </x:c>
      <x:c r="G18" s="17" t="inlineStr">
        <x:is>
          <x:t xml:space="preserve">Not started</x:t>
        </x:is>
      </x:c>
      <x:c r="H18" s="17" t="inlineStr">
        <x:is>
          <x:t xml:space="preserve"/>
        </x:is>
      </x:c>
    </x:row>
    <x:row r="19" ht="68" customHeight="1">
      <x:c r="A19" s="16" t="inlineStr">
        <x:is>
          <x:t xml:space="preserve">R15</x:t>
        </x:is>
      </x:c>
      <x:c r="B19" s="16" t="n">
        <x:v>4</x:v>
      </x:c>
      <x:c r="C19" s="16" t="inlineStr">
        <x:is>
          <x:t xml:space="preserve">Do affective-semantic cues improve emotion comprehension?</x:t>
        </x:is>
      </x:c>
      <x:c r="D19" s="16" t="inlineStr">
        <x:is>
          <x:t xml:space="preserve">neutral BCC vs affective BCC</x:t>
        </x:is>
      </x:c>
      <x:c r="E19" s="16" t="inlineStr">
        <x:is>
          <x:t xml:space="preserve">Tone recognition; engagement; effort</x:t>
        </x:is>
      </x:c>
      <x:c r="F19" s="16" t="inlineStr">
        <x:is>
          <x:t xml:space="preserve">Use only when emotion/tone is content-critical.</x:t>
        </x:is>
      </x:c>
      <x:c r="G19" s="16" t="inlineStr">
        <x:is>
          <x:t xml:space="preserve">Not started</x:t>
        </x:is>
      </x:c>
      <x:c r="H19" s="16" t="inlineStr">
        <x:is>
          <x:t xml:space="preserve"/>
        </x:is>
      </x:c>
    </x:row>
    <x:row r="20" ht="68" customHeight="1">
      <x:c r="A20" s="17" t="inlineStr">
        <x:is>
          <x:t xml:space="preserve">R16</x:t>
        </x:is>
      </x:c>
      <x:c r="B20" s="17" t="n">
        <x:v>4</x:v>
      </x:c>
      <x:c r="C20" s="17" t="inlineStr">
        <x:is>
          <x:t xml:space="preserve">Can platform metrics predict controlled comprehension?</x:t>
        </x:is>
      </x:c>
      <x:c r="D20" s="17" t="inlineStr">
        <x:is>
          <x:t xml:space="preserve">Lab recall vs TikTok/Reels metrics</x:t>
        </x:is>
      </x:c>
      <x:c r="E20" s="17" t="inlineStr">
        <x:is>
          <x:t xml:space="preserve">Correlation of saves, completion, recall</x:t>
        </x:is>
      </x:c>
      <x:c r="F20" s="17" t="inlineStr">
        <x:is>
          <x:t xml:space="preserve">Find which metrics are meaningful vs vanity.</x:t>
        </x:is>
      </x:c>
      <x:c r="G20" s="17" t="inlineStr">
        <x:is>
          <x:t xml:space="preserve">Not started</x:t>
        </x:is>
      </x:c>
      <x:c r="H20" s="17" t="inlineStr">
        <x:is>
          <x:t xml:space="preserve"/>
        </x:is>
      </x:c>
    </x:row>
  </x:sheetData>
  <x:mergeCells>
    <x:mergeCell ref="A2:H2"/>
    <x:mergeCell ref="A1:H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24" customWidth="1"/>
    <x:col min="2" max="2" width="100" customWidth="1"/>
  </x:cols>
  <x:sheetData>
    <x:row r="1" ht="24" customHeight="1">
      <x:c r="A1" s="14" t="inlineStr">
        <x:is>
          <x:t xml:space="preserve">Pilot Protocol — Controlled Validation Study</x:t>
        </x:is>
      </x:c>
    </x:row>
    <x:row r="2" ht="32" customHeight="1">
      <x:c r="A2" s="3" t="inlineStr">
        <x:is>
          <x:t xml:space="preserve">Phone-first controlled study to test whether BCC adds value beyond semantic compression and whether BCC+ improves visual efficiency.</x:t>
        </x:is>
      </x:c>
    </x:row>
    <x:row r="4">
      <x:c r="A4" s="15" t="inlineStr">
        <x:is>
          <x:t xml:space="preserve">Protocol item</x:t>
        </x:is>
      </x:c>
      <x:c r="B4" s="15" t="inlineStr">
        <x:is>
          <x:t xml:space="preserve">Specification</x:t>
        </x:is>
      </x:c>
    </x:row>
    <x:row r="5" ht="52" customHeight="1">
      <x:c r="A5" s="16" t="inlineStr">
        <x:is>
          <x:t xml:space="preserve">Objective</x:t>
        </x:is>
      </x:c>
      <x:c r="B5" s="16" t="inlineStr">
        <x:is>
          <x:t xml:space="preserve">Isolate the value of semantic compression, bionic concept anchoring, and gaze-safe/adaptive placement.</x:t>
        </x:is>
      </x:c>
    </x:row>
    <x:row r="6" ht="52" customHeight="1">
      <x:c r="A6" s="17" t="inlineStr">
        <x:is>
          <x:t xml:space="preserve">Primary comparison</x:t>
        </x:is>
      </x:c>
      <x:c r="B6" s="17" t="inlineStr">
        <x:is>
          <x:t xml:space="preserve">Semantic Compression vs BCC. This isolates whether partial bionic anchors add value.</x:t>
        </x:is>
      </x:c>
    </x:row>
    <x:row r="7" ht="52" customHeight="1">
      <x:c r="A7" s="16" t="inlineStr">
        <x:is>
          <x:t xml:space="preserve">Secondary comparison</x:t>
        </x:is>
      </x:c>
      <x:c r="B7" s="16" t="inlineStr">
        <x:is>
          <x:t xml:space="preserve">BCC vs BCC+. This isolates whether placement/adaptive density improves comprehension and visual recall.</x:t>
        </x:is>
      </x:c>
    </x:row>
    <x:row r="8" ht="52" customHeight="1">
      <x:c r="A8" s="17" t="inlineStr">
        <x:is>
          <x:t xml:space="preserve">Sample</x:t>
        </x:is>
      </x:c>
      <x:c r="B8" s="17" t="inlineStr">
        <x:is>
          <x:t xml:space="preserve">Pilot: 30–50 participants. Validation: 120–250 participants. Use phone-first viewing.</x:t>
        </x:is>
      </x:c>
    </x:row>
    <x:row r="9" ht="52" customHeight="1">
      <x:c r="A9" s="16" t="inlineStr">
        <x:is>
          <x:t xml:space="preserve">Design</x:t>
        </x:is>
      </x:c>
      <x:c r="B9" s="16" t="inlineStr">
        <x:is>
          <x:t xml:space="preserve">Mixed design: participants see multiple videos, each video in one overlay condition; use balanced Latin-square assignment to avoid each person seeing duplicate content.</x:t>
        </x:is>
      </x:c>
    </x:row>
    <x:row r="10" ht="52" customHeight="1">
      <x:c r="A10" s="17" t="inlineStr">
        <x:is>
          <x:t xml:space="preserve">Viewing modes</x:t>
        </x:is>
      </x:c>
      <x:c r="B10" s="17" t="inlineStr">
        <x:is>
          <x:t xml:space="preserve">Balanced between audio-on and muted. Optional second pass: captions-on/off comparison.</x:t>
        </x:is>
      </x:c>
    </x:row>
    <x:row r="11" ht="52" customHeight="1">
      <x:c r="A11" s="16" t="inlineStr">
        <x:is>
          <x:t xml:space="preserve">Inclusion</x:t>
        </x:is>
      </x:c>
      <x:c r="B11" s="16" t="inlineStr">
        <x:is>
          <x:t xml:space="preserve">Adult viewers fluent enough in video language; normal/corrected vision; use mobile device or standardized phone preview.</x:t>
        </x:is>
      </x:c>
    </x:row>
    <x:row r="12" ht="52" customHeight="1">
      <x:c r="A12" s="17" t="inlineStr">
        <x:is>
          <x:t xml:space="preserve">Exclusion</x:t>
        </x:is>
      </x:c>
      <x:c r="B12" s="17" t="inlineStr">
        <x:is>
          <x:t xml:space="preserve">Failed attention check, did not watch enough trials, technical playback failure, duplicate completion.</x:t>
        </x:is>
      </x:c>
    </x:row>
    <x:row r="13" ht="52" customHeight="1">
      <x:c r="A13" s="16" t="inlineStr">
        <x:is>
          <x:t xml:space="preserve">Procedure</x:t>
        </x:is>
      </x:c>
      <x:c r="B13" s="16" t="inlineStr">
        <x:is>
          <x:t xml:space="preserve">Consent → device check → instructions → 12 trials → after each trial: gist/action/effort → final preference ranking.</x:t>
        </x:is>
      </x:c>
    </x:row>
    <x:row r="14" ht="52" customHeight="1">
      <x:c r="A14" s="17" t="inlineStr">
        <x:is>
          <x:t xml:space="preserve">Primary outcomes</x:t>
        </x:is>
      </x:c>
      <x:c r="B14" s="17" t="inlineStr">
        <x:is>
          <x:t xml:space="preserve">Gist recall, action recall, contrast recall, perceived effort, completion rate.</x:t>
        </x:is>
      </x:c>
    </x:row>
    <x:row r="15" ht="52" customHeight="1">
      <x:c r="A15" s="16" t="inlineStr">
        <x:is>
          <x:t xml:space="preserve">Secondary outcomes</x:t>
        </x:is>
      </x:c>
      <x:c r="B15" s="16" t="inlineStr">
        <x:is>
          <x:t xml:space="preserve">Exact recall, visual recall, text-helpfulness, preference, comments on distraction.</x:t>
        </x:is>
      </x:c>
    </x:row>
    <x:row r="16" ht="52" customHeight="1">
      <x:c r="A16" s="17" t="inlineStr">
        <x:is>
          <x:t xml:space="preserve">Decision gate</x:t>
        </x:is>
      </x:c>
      <x:c r="B16" s="17" t="inlineStr">
        <x:is>
          <x:t xml:space="preserve">If BCC does not improve recall/effort over semantic compression, treat bionic anchors as optional. If BCC+ beats BCC, prioritize placement/adaptive density.</x:t>
        </x:is>
      </x:c>
    </x:row>
    <x:row r="19" ht="52" customHeight="1">
      <x:c r="A19" s="20" t="inlineStr">
        <x:is>
          <x:t xml:space="preserve">Primary metric</x:t>
        </x:is>
      </x:c>
      <x:c r="B19" s="2" t="inlineStr">
        <x:is>
          <x:t xml:space="preserve">Meaning retained per second watched. In the data template this is approximated as (gist + action + contrast + visual recall) divided by watch time seconds.</x:t>
        </x:is>
      </x:c>
    </x:row>
  </x:sheetData>
  <x:mergeCells>
    <x:mergeCell ref="A1:I1"/>
    <x:mergeCell ref="B19:I19"/>
    <x:mergeCell ref="A2:I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10" customWidth="1"/>
    <x:col min="2" max="2" width="18" customWidth="1"/>
    <x:col min="3" max="3" width="20" customWidth="1"/>
    <x:col min="4" max="4" width="48" customWidth="1"/>
    <x:col min="5" max="5" width="36" customWidth="1"/>
    <x:col min="6" max="6" width="30" customWidth="1"/>
    <x:col min="7" max="7" width="30" customWidth="1"/>
    <x:col min="8" max="8" width="42" customWidth="1"/>
  </x:cols>
  <x:sheetData>
    <x:row r="1" ht="24" customHeight="1">
      <x:c r="A1" s="14" t="inlineStr">
        <x:is>
          <x:t xml:space="preserve">Stimulus Scripts — 12 Pilot Videos</x:t>
        </x:is>
      </x:c>
    </x:row>
    <x:row r="2" ht="32" customHeight="1">
      <x:c r="A2" s="3" t="inlineStr">
        <x:is>
          <x:t xml:space="preserve">Initial corpus for controlled and platform testing. Each script should be exported with identical base edit across variants.</x:t>
        </x:is>
      </x:c>
    </x:row>
    <x:row r="4">
      <x:c r="A4" s="15" t="inlineStr">
        <x:is>
          <x:t xml:space="preserve">Video ID</x:t>
        </x:is>
      </x:c>
      <x:c r="B4" s="15" t="inlineStr">
        <x:is>
          <x:t xml:space="preserve">Category</x:t>
        </x:is>
      </x:c>
      <x:c r="C4" s="15" t="inlineStr">
        <x:is>
          <x:t xml:space="preserve">Visual type</x:t>
        </x:is>
      </x:c>
      <x:c r="D4" s="15" t="inlineStr">
        <x:is>
          <x:t xml:space="preserve">Full transcript</x:t>
        </x:is>
      </x:c>
      <x:c r="E4" s="15" t="inlineStr">
        <x:is>
          <x:t xml:space="preserve">Proposition</x:t>
        </x:is>
      </x:c>
      <x:c r="F4" s="15" t="inlineStr">
        <x:is>
          <x:t xml:space="preserve">Semantic compression</x:t>
        </x:is>
      </x:c>
      <x:c r="G4" s="15" t="inlineStr">
        <x:is>
          <x:t xml:space="preserve">BCC overlay</x:t>
        </x:is>
      </x:c>
      <x:c r="H4" s="15" t="inlineStr">
        <x:is>
          <x:t xml:space="preserve">Placement / production note</x:t>
        </x:is>
      </x:c>
    </x:row>
    <x:row r="5" ht="118" customHeight="1">
      <x:c r="A5" s="16" t="inlineStr">
        <x:is>
          <x:t xml:space="preserve">V01</x:t>
        </x:is>
      </x:c>
      <x:c r="B5" s="16" t="inlineStr">
        <x:is>
          <x:t xml:space="preserve">Productivity</x:t>
        </x:is>
      </x:c>
      <x:c r="C5" s="16" t="inlineStr">
        <x:is>
          <x:t xml:space="preserve">Talking head</x:t>
        </x:is>
      </x:c>
      <x:c r="D5" s="16" t="inlineStr">
        <x:is>
          <x:t xml:space="preserve">Most people don’t fail because they lack motivation. They fail because their day has no structure. If you want the habit to change, reduce the friction around the first step.</x:t>
        </x:is>
      </x:c>
      <x:c r="E5" s="16" t="inlineStr">
        <x:is>
          <x:t xml:space="preserve">Failure is caused by structure/friction, not motivation.</x:t>
        </x:is>
      </x:c>
      <x:c r="F5" s="16" t="inlineStr">
        <x:is>
          <x:t xml:space="preserve">Not motivation.
Structure.
Reduce friction.
Shrink the start.</x:t>
        </x:is>
      </x:c>
      <x:c r="G5" s="16" t="inlineStr">
        <x:is>
          <x:t xml:space="preserve">**Not** **moti**vation.
**Struc**ture.
Reduce **fric**tion.
Shrink the **start**.</x:t>
        </x:is>
      </x:c>
      <x:c r="H5" s="16" t="inlineStr">
        <x:is>
          <x:t xml:space="preserve">Talking head; avoid eyes/mouth; place upper-chest/shoulder zone; 4 beats.</x:t>
        </x:is>
      </x:c>
    </x:row>
    <x:row r="6" ht="118" customHeight="1">
      <x:c r="A6" s="17" t="inlineStr">
        <x:is>
          <x:t xml:space="preserve">V02</x:t>
        </x:is>
      </x:c>
      <x:c r="B6" s="17" t="inlineStr">
        <x:is>
          <x:t xml:space="preserve">Study</x:t>
        </x:is>
      </x:c>
      <x:c r="C6" s="17" t="inlineStr">
        <x:is>
          <x:t xml:space="preserve">Desk study shot</x:t>
        </x:is>
      </x:c>
      <x:c r="D6" s="17" t="inlineStr">
        <x:is>
          <x:t xml:space="preserve">Rereading feels productive because it is familiar. But recall is what proves whether you actually know the material.</x:t>
        </x:is>
      </x:c>
      <x:c r="E6" s="17" t="inlineStr">
        <x:is>
          <x:t xml:space="preserve">Rereading feels safe; recall proves knowledge.</x:t>
        </x:is>
      </x:c>
      <x:c r="F6" s="17" t="inlineStr">
        <x:is>
          <x:t xml:space="preserve">Rereading feels safe.
Recall proves it.</x:t>
        </x:is>
      </x:c>
      <x:c r="G6" s="17" t="inlineStr">
        <x:is>
          <x:t xml:space="preserve">**Reread**ing feels safe.
**Recall** proves it.</x:t>
        </x:is>
      </x:c>
      <x:c r="H6" s="17" t="inlineStr">
        <x:is>
          <x:t xml:space="preserve">Desk/notes; avoid covering page if writing is visible; use 2 beats.</x:t>
        </x:is>
      </x:c>
    </x:row>
    <x:row r="7" ht="118" customHeight="1">
      <x:c r="A7" s="16" t="inlineStr">
        <x:is>
          <x:t xml:space="preserve">V03</x:t>
        </x:is>
      </x:c>
      <x:c r="B7" s="16" t="inlineStr">
        <x:is>
          <x:t xml:space="preserve">Fitness</x:t>
        </x:is>
      </x:c>
      <x:c r="C7" s="16" t="inlineStr">
        <x:is>
          <x:t xml:space="preserve">Talking head + gym bag</x:t>
        </x:is>
      </x:c>
      <x:c r="D7" s="16" t="inlineStr">
        <x:is>
          <x:t xml:space="preserve">You do not need more discipline. You need to make the good choice easier than the bad choice.</x:t>
        </x:is>
      </x:c>
      <x:c r="E7" s="16" t="inlineStr">
        <x:is>
          <x:t xml:space="preserve">Environment design can outperform willpower.</x:t>
        </x:is>
      </x:c>
      <x:c r="F7" s="16" t="inlineStr">
        <x:is>
          <x:t xml:space="preserve">Not discipline.
Make good easy.</x:t>
        </x:is>
      </x:c>
      <x:c r="G7" s="16" t="inlineStr">
        <x:is>
          <x:t xml:space="preserve">**Not** disci**pline**.
Make good **easy**.</x:t>
        </x:is>
      </x:c>
      <x:c r="H7" s="16" t="inlineStr">
        <x:is>
          <x:t xml:space="preserve">Protect body/hand demo; side label if showing equipment.</x:t>
        </x:is>
      </x:c>
    </x:row>
    <x:row r="8" ht="118" customHeight="1">
      <x:c r="A8" s="17" t="inlineStr">
        <x:is>
          <x:t xml:space="preserve">V04</x:t>
        </x:is>
      </x:c>
      <x:c r="B8" s="17" t="inlineStr">
        <x:is>
          <x:t xml:space="preserve">Finance</x:t>
        </x:is>
      </x:c>
      <x:c r="C8" s="17" t="inlineStr">
        <x:is>
          <x:t xml:space="preserve">Talking head + budget app</x:t>
        </x:is>
      </x:c>
      <x:c r="D8" s="17" t="inlineStr">
        <x:is>
          <x:t xml:space="preserve">You do not have a budgeting problem yet. You have a visibility problem. You cannot control what you cannot see.</x:t>
        </x:is>
      </x:c>
      <x:c r="E8" s="17" t="inlineStr">
        <x:is>
          <x:t xml:space="preserve">Visibility comes before budgeting/control.</x:t>
        </x:is>
      </x:c>
      <x:c r="F8" s="17" t="inlineStr">
        <x:is>
          <x:t xml:space="preserve">Not budgeting.
Visibility first.</x:t>
        </x:is>
      </x:c>
      <x:c r="G8" s="17" t="inlineStr">
        <x:is>
          <x:t xml:space="preserve">**Not** budg**eting**.
**Visib**ility first.</x:t>
        </x:is>
      </x:c>
      <x:c r="H8" s="17" t="inlineStr">
        <x:is>
          <x:t xml:space="preserve">Screen/app mock; avoid covering numbers; use top-safe label.</x:t>
        </x:is>
      </x:c>
    </x:row>
    <x:row r="9" ht="118" customHeight="1">
      <x:c r="A9" s="16" t="inlineStr">
        <x:is>
          <x:t xml:space="preserve">V05</x:t>
        </x:is>
      </x:c>
      <x:c r="B9" s="16" t="inlineStr">
        <x:is>
          <x:t xml:space="preserve">Tutorial</x:t>
        </x:is>
      </x:c>
      <x:c r="C9" s="16" t="inlineStr">
        <x:is>
          <x:t xml:space="preserve">Hands demonstration</x:t>
        </x:is>
      </x:c>
      <x:c r="D9" s="16" t="inlineStr">
        <x:is>
          <x:t xml:space="preserve">If the action takes five steps to start, you will avoid it. Remove one step until starting becomes obvious.</x:t>
        </x:is>
      </x:c>
      <x:c r="E9" s="16" t="inlineStr">
        <x:is>
          <x:t xml:space="preserve">Starting difficulty drives avoidance; remove steps.</x:t>
        </x:is>
      </x:c>
      <x:c r="F9" s="16" t="inlineStr">
        <x:is>
          <x:t xml:space="preserve">Too many steps.
Remove one.
Start obvious.</x:t>
        </x:is>
      </x:c>
      <x:c r="G9" s="16" t="inlineStr">
        <x:is>
          <x:t xml:space="preserve">Too many **steps**.
Remove **one**.
Start **obvi**ous.</x:t>
        </x:is>
      </x:c>
      <x:c r="H9" s="16" t="inlineStr">
        <x:is>
          <x:t xml:space="preserve">Hands are primary; use side labels; 1–3 words during action.</x:t>
        </x:is>
      </x:c>
    </x:row>
    <x:row r="10" ht="118" customHeight="1">
      <x:c r="A10" s="17" t="inlineStr">
        <x:is>
          <x:t xml:space="preserve">V06</x:t>
        </x:is>
      </x:c>
      <x:c r="B10" s="17" t="inlineStr">
        <x:is>
          <x:t xml:space="preserve">Overload</x:t>
        </x:is>
      </x:c>
      <x:c r="C10" s="17" t="inlineStr">
        <x:is>
          <x:t xml:space="preserve">Talking head</x:t>
        </x:is>
      </x:c>
      <x:c r="D10" s="17" t="inlineStr">
        <x:is>
          <x:t xml:space="preserve">When everything feels urgent, moving faster is not the answer. You need fewer open loops.</x:t>
        </x:is>
      </x:c>
      <x:c r="E10" s="17" t="inlineStr">
        <x:is>
          <x:t xml:space="preserve">Urgency is solved by reducing open loops, not speed.</x:t>
        </x:is>
      </x:c>
      <x:c r="F10" s="17" t="inlineStr">
        <x:is>
          <x:t xml:space="preserve">Not faster.
Fewer loops.</x:t>
        </x:is>
      </x:c>
      <x:c r="G10" s="17" t="inlineStr">
        <x:is>
          <x:t xml:space="preserve">**Not** faster.
Fewer **loops**.</x:t>
        </x:is>
      </x:c>
      <x:c r="H10" s="17" t="inlineStr">
        <x:is>
          <x:t xml:space="preserve">Protect face; calm timing; micro-rest after first contrast.</x:t>
        </x:is>
      </x:c>
    </x:row>
    <x:row r="11" ht="118" customHeight="1">
      <x:c r="A11" s="16" t="inlineStr">
        <x:is>
          <x:t xml:space="preserve">V07</x:t>
        </x:is>
      </x:c>
      <x:c r="B11" s="16" t="inlineStr">
        <x:is>
          <x:t xml:space="preserve">Business</x:t>
        </x:is>
      </x:c>
      <x:c r="C11" s="16" t="inlineStr">
        <x:is>
          <x:t xml:space="preserve">Talking head + whiteboard</x:t>
        </x:is>
      </x:c>
      <x:c r="D11" s="16" t="inlineStr">
        <x:is>
          <x:t xml:space="preserve">Your offer is not weak because it needs more features. It is weak because the payoff is unclear.</x:t>
        </x:is>
      </x:c>
      <x:c r="E11" s="16" t="inlineStr">
        <x:is>
          <x:t xml:space="preserve">Offer clarity matters more than adding features.</x:t>
        </x:is>
      </x:c>
      <x:c r="F11" s="16" t="inlineStr">
        <x:is>
          <x:t xml:space="preserve">Not features.
Clear payoff.</x:t>
        </x:is>
      </x:c>
      <x:c r="G11" s="16" t="inlineStr">
        <x:is>
          <x:t xml:space="preserve">**Not** **feat**ures.
Clear **pay**off.</x:t>
        </x:is>
      </x:c>
      <x:c r="H11" s="16" t="inlineStr">
        <x:is>
          <x:t xml:space="preserve">If whiteboard present, avoid covering drawn proof; place near margin.</x:t>
        </x:is>
      </x:c>
    </x:row>
    <x:row r="12" ht="118" customHeight="1">
      <x:c r="A12" s="17" t="inlineStr">
        <x:is>
          <x:t xml:space="preserve">V08</x:t>
        </x:is>
      </x:c>
      <x:c r="B12" s="17" t="inlineStr">
        <x:is>
          <x:t xml:space="preserve">Coding</x:t>
        </x:is>
      </x:c>
      <x:c r="C12" s="17" t="inlineStr">
        <x:is>
          <x:t xml:space="preserve">Screen recording</x:t>
        </x:is>
      </x:c>
      <x:c r="D12" s="17" t="inlineStr">
        <x:is>
          <x:t xml:space="preserve">Most bugs are not syntax problems. They are assumption problems. Write down what you believe the code is doing, then test that.</x:t>
        </x:is>
      </x:c>
      <x:c r="E12" s="17" t="inlineStr">
        <x:is>
          <x:t xml:space="preserve">Debug assumptions, not just syntax.</x:t>
        </x:is>
      </x:c>
      <x:c r="F12" s="17" t="inlineStr">
        <x:is>
          <x:t xml:space="preserve">Not syntax.
Assumptions.
Test the belief.</x:t>
        </x:is>
      </x:c>
      <x:c r="G12" s="17" t="inlineStr">
        <x:is>
          <x:t xml:space="preserve">**Not** **syn**tax.
Assump**tions**.
Test the **belief**.</x:t>
        </x:is>
      </x:c>
      <x:c r="H12" s="17" t="inlineStr">
        <x:is>
          <x:t xml:space="preserve">Screen recording; avoid cursor/line being edited; right-side annotation.</x:t>
        </x:is>
      </x:c>
    </x:row>
    <x:row r="13" ht="118" customHeight="1">
      <x:c r="A13" s="16" t="inlineStr">
        <x:is>
          <x:t xml:space="preserve">V09</x:t>
        </x:is>
      </x:c>
      <x:c r="B13" s="16" t="inlineStr">
        <x:is>
          <x:t xml:space="preserve">Sleep habit</x:t>
        </x:is>
      </x:c>
      <x:c r="C13" s="16" t="inlineStr">
        <x:is>
          <x:t xml:space="preserve">Talking head + routine</x:t>
        </x:is>
      </x:c>
      <x:c r="D13" s="16" t="inlineStr">
        <x:is>
          <x:t xml:space="preserve">The problem is not that you need a perfect night routine. The problem is that your wake time keeps moving.</x:t>
        </x:is>
      </x:c>
      <x:c r="E13" s="16" t="inlineStr">
        <x:is>
          <x:t xml:space="preserve">Consistency beats elaborate routines.</x:t>
        </x:is>
      </x:c>
      <x:c r="F13" s="16" t="inlineStr">
        <x:is>
          <x:t xml:space="preserve">Not perfect routine.
Fixed wake time.</x:t>
        </x:is>
      </x:c>
      <x:c r="G13" s="16" t="inlineStr">
        <x:is>
          <x:t xml:space="preserve">**Not** perfect **rou**tine.
Fixed **wake** time.</x:t>
        </x:is>
      </x:c>
      <x:c r="H13" s="16" t="inlineStr">
        <x:is>
          <x:t xml:space="preserve">General behavior content; avoid medical promises; low-motion text.</x:t>
        </x:is>
      </x:c>
    </x:row>
    <x:row r="14" ht="118" customHeight="1">
      <x:c r="A14" s="17" t="inlineStr">
        <x:is>
          <x:t xml:space="preserve">V10</x:t>
        </x:is>
      </x:c>
      <x:c r="B14" s="17" t="inlineStr">
        <x:is>
          <x:t xml:space="preserve">Product demo</x:t>
        </x:is>
      </x:c>
      <x:c r="C14" s="17" t="inlineStr">
        <x:is>
          <x:t xml:space="preserve">Object demonstration</x:t>
        </x:is>
      </x:c>
      <x:c r="D14" s="17" t="inlineStr">
        <x:is>
          <x:t xml:space="preserve">The mistake is pulling before the latch is fully turned. Turn until it clicks, then pull.</x:t>
        </x:is>
      </x:c>
      <x:c r="E14" s="17" t="inlineStr">
        <x:is>
          <x:t xml:space="preserve">Sequence matters: turn fully, then pull.</x:t>
        </x:is>
      </x:c>
      <x:c r="F14" s="17" t="inlineStr">
        <x:is>
          <x:t xml:space="preserve">Turn until click.
Then pull.</x:t>
        </x:is>
      </x:c>
      <x:c r="G14" s="17" t="inlineStr">
        <x:is>
          <x:t xml:space="preserve">**Turn** until **click**.
**Then** pull.</x:t>
        </x:is>
      </x:c>
      <x:c r="H14" s="17" t="inlineStr">
        <x:is>
          <x:t xml:space="preserve">Object/hands primary; labels only; no mouth issue if voiceover.</x:t>
        </x:is>
      </x:c>
    </x:row>
    <x:row r="15" ht="118" customHeight="1">
      <x:c r="A15" s="16" t="inlineStr">
        <x:is>
          <x:t xml:space="preserve">V11</x:t>
        </x:is>
      </x:c>
      <x:c r="B15" s="16" t="inlineStr">
        <x:is>
          <x:t xml:space="preserve">Creator strategy</x:t>
        </x:is>
      </x:c>
      <x:c r="C15" s="16" t="inlineStr">
        <x:is>
          <x:t xml:space="preserve">Talking head</x:t>
        </x:is>
      </x:c>
      <x:c r="D15" s="16" t="inlineStr">
        <x:is>
          <x:t xml:space="preserve">You do not need a louder hook. You need a faster payoff. The viewer stays when the promise starts paying immediately.</x:t>
        </x:is>
      </x:c>
      <x:c r="E15" s="16" t="inlineStr">
        <x:is>
          <x:t xml:space="preserve">Fast payoff beats louder hooks.</x:t>
        </x:is>
      </x:c>
      <x:c r="F15" s="16" t="inlineStr">
        <x:is>
          <x:t xml:space="preserve">Not louder hook.
Faster payoff.</x:t>
        </x:is>
      </x:c>
      <x:c r="G15" s="16" t="inlineStr">
        <x:is>
          <x:t xml:space="preserve">**Not** louder **hook**.
Faster **pay**off.</x:t>
        </x:is>
      </x:c>
      <x:c r="H15" s="16" t="inlineStr">
        <x:is>
          <x:t xml:space="preserve">Text itself is content; place as hook card then payoff card.</x:t>
        </x:is>
      </x:c>
    </x:row>
    <x:row r="16" ht="118" customHeight="1">
      <x:c r="A16" s="17" t="inlineStr">
        <x:is>
          <x:t xml:space="preserve">V12</x:t>
        </x:is>
      </x:c>
      <x:c r="B16" s="17" t="inlineStr">
        <x:is>
          <x:t xml:space="preserve">Time management</x:t>
        </x:is>
      </x:c>
      <x:c r="C16" s="17" t="inlineStr">
        <x:is>
          <x:t xml:space="preserve">Calendar visual</x:t>
        </x:is>
      </x:c>
      <x:c r="D16" s="17" t="inlineStr">
        <x:is>
          <x:t xml:space="preserve">Too many priorities means no priority. Pick the next constraint and sequence everything around it.</x:t>
        </x:is>
      </x:c>
      <x:c r="E16" s="17" t="inlineStr">
        <x:is>
          <x:t xml:space="preserve">Prioritization requires sequencing around one constraint.</x:t>
        </x:is>
      </x:c>
      <x:c r="F16" s="17" t="inlineStr">
        <x:is>
          <x:t xml:space="preserve">Too many priorities.
Pick one constraint.
Sequence around it.</x:t>
        </x:is>
      </x:c>
      <x:c r="G16" s="17" t="inlineStr">
        <x:is>
          <x:t xml:space="preserve">Too many **prior**ities.
Pick one **constraint**.
**Seq**uence around it.</x:t>
        </x:is>
      </x:c>
      <x:c r="H16" s="17" t="inlineStr">
        <x:is>
          <x:t xml:space="preserve">Calendar visual; avoid covering dates; use top-left or side labels.</x:t>
        </x:is>
      </x:c>
    </x:row>
  </x:sheetData>
  <x:mergeCells>
    <x:mergeCell ref="A2:H2"/>
    <x:mergeCell ref="A1:H1"/>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10" customWidth="1"/>
    <x:col min="2" max="2" width="16" customWidth="1"/>
    <x:col min="3" max="3" width="10" customWidth="1"/>
    <x:col min="4" max="4" width="22" customWidth="1"/>
    <x:col min="5" max="5" width="60" customWidth="1"/>
    <x:col min="6" max="6" width="36" customWidth="1"/>
    <x:col min="7" max="7" width="36" customWidth="1"/>
    <x:col min="8" max="8" width="42" customWidth="1"/>
  </x:cols>
  <x:sheetData>
    <x:row r="1" ht="24" customHeight="1">
      <x:c r="A1" s="14" t="inlineStr">
        <x:is>
          <x:t xml:space="preserve">Overlay Variant Builder — 6 Conditions per Video</x:t>
        </x:is>
      </x:c>
    </x:row>
    <x:row r="2" ht="32" customHeight="1">
      <x:c r="A2" s="3" t="inlineStr">
        <x:is>
          <x:t xml:space="preserve">Use this to generate the exact overlay treatment for each experimental condition. Markdown-style bold markers indicate visual emphasis.</x:t>
        </x:is>
      </x:c>
    </x:row>
    <x:row r="4">
      <x:c r="A4" s="15" t="inlineStr">
        <x:is>
          <x:t xml:space="preserve">Video ID</x:t>
        </x:is>
      </x:c>
      <x:c r="B4" s="15" t="inlineStr">
        <x:is>
          <x:t xml:space="preserve">Category</x:t>
        </x:is>
      </x:c>
      <x:c r="C4" s="15" t="inlineStr">
        <x:is>
          <x:t xml:space="preserve">Condition</x:t>
        </x:is>
      </x:c>
      <x:c r="D4" s="15" t="inlineStr">
        <x:is>
          <x:t xml:space="preserve">Variant</x:t>
        </x:is>
      </x:c>
      <x:c r="E4" s="15" t="inlineStr">
        <x:is>
          <x:t xml:space="preserve">Overlay text</x:t>
        </x:is>
      </x:c>
      <x:c r="F4" s="15" t="inlineStr">
        <x:is>
          <x:t xml:space="preserve">Purpose</x:t>
        </x:is>
      </x:c>
      <x:c r="G4" s="15" t="inlineStr">
        <x:is>
          <x:t xml:space="preserve">What it isolates</x:t>
        </x:is>
      </x:c>
      <x:c r="H4" s="15" t="inlineStr">
        <x:is>
          <x:t xml:space="preserve">Production instruction</x:t>
        </x:is>
      </x:c>
    </x:row>
    <x:row r="5" ht="92" customHeight="1">
      <x:c r="A5" s="16" t="inlineStr">
        <x:is>
          <x:t xml:space="preserve">V01</x:t>
        </x:is>
      </x:c>
      <x:c r="B5" s="16" t="inlineStr">
        <x:is>
          <x:t xml:space="preserve">Productivity</x:t>
        </x:is>
      </x:c>
      <x:c r="C5" s="16" t="inlineStr">
        <x:is>
          <x:t xml:space="preserve">A</x:t>
        </x:is>
      </x:c>
      <x:c r="D5" s="16" t="inlineStr">
        <x:is>
          <x:t xml:space="preserve">Full transcript</x:t>
        </x:is>
      </x:c>
      <x:c r="E5" s="16" t="inlineStr">
        <x:is>
          <x:t xml:space="preserve">Most people don’t fail because they lack motivation. They fail because their day has no structure. If you want the habit to change, reduce the friction around the first step.</x:t>
        </x:is>
      </x:c>
      <x:c r="F5" s="16" t="inlineStr">
        <x:is>
          <x:t xml:space="preserve">Baseline exact wording; may overload visual channel.</x:t>
        </x:is>
      </x:c>
      <x:c r="G5" s="16" t="inlineStr">
        <x:is>
          <x:t xml:space="preserve">Exact recall; accessibility-like readability</x:t>
        </x:is>
      </x:c>
      <x:c r="H5" s="16" t="inlineStr">
        <x:is>
          <x:t xml:space="preserve">Do not style beyond normal captions.</x:t>
        </x:is>
      </x:c>
    </x:row>
    <x:row r="6" ht="92" customHeight="1">
      <x:c r="A6" s="17" t="inlineStr">
        <x:is>
          <x:t xml:space="preserve">V01</x:t>
        </x:is>
      </x:c>
      <x:c r="B6" s="17" t="inlineStr">
        <x:is>
          <x:t xml:space="preserve">Productivity</x:t>
        </x:is>
      </x:c>
      <x:c r="C6" s="17" t="inlineStr">
        <x:is>
          <x:t xml:space="preserve">B</x:t>
        </x:is>
      </x:c>
      <x:c r="D6" s="17" t="inlineStr">
        <x:is>
          <x:t xml:space="preserve">Keyword highlight</x:t>
        </x:is>
      </x:c>
      <x:c r="E6" s="17" t="inlineStr">
        <x:is>
          <x:t xml:space="preserve">Most people don’t fail because they lack **motivation**. They fail because their day has no **structure**. If you want the habit to change, reduce the **friction** around the first step.</x:t>
        </x:is>
      </x:c>
      <x:c r="F6" s="17" t="inlineStr">
        <x:is>
          <x:t xml:space="preserve">Transcript with selected keywords emphasized.</x:t>
        </x:is>
      </x:c>
      <x:c r="G6" s="17" t="inlineStr">
        <x:is>
          <x:t xml:space="preserve">Keyword value without compression</x:t>
        </x:is>
      </x:c>
      <x:c r="H6" s="17" t="inlineStr">
        <x:is>
          <x:t xml:space="preserve">Use sparse highlights; no word-by-word popping.</x:t>
        </x:is>
      </x:c>
    </x:row>
    <x:row r="7" ht="92" customHeight="1">
      <x:c r="A7" s="16" t="inlineStr">
        <x:is>
          <x:t xml:space="preserve">V01</x:t>
        </x:is>
      </x:c>
      <x:c r="B7" s="16" t="inlineStr">
        <x:is>
          <x:t xml:space="preserve">Productivity</x:t>
        </x:is>
      </x:c>
      <x:c r="C7" s="16" t="inlineStr">
        <x:is>
          <x:t xml:space="preserve">C</x:t>
        </x:is>
      </x:c>
      <x:c r="D7" s="16" t="inlineStr">
        <x:is>
          <x:t xml:space="preserve">Semantic compression</x:t>
        </x:is>
      </x:c>
      <x:c r="E7" s="16" t="inlineStr">
        <x:is>
          <x:t xml:space="preserve">Not motivation.
Structure.
Reduce friction.
Shrink the start.</x:t>
        </x:is>
      </x:c>
      <x:c r="F7" s="16" t="inlineStr">
        <x:is>
          <x:t xml:space="preserve">Meaning compressed into short beats.</x:t>
        </x:is>
      </x:c>
      <x:c r="G7" s="16" t="inlineStr">
        <x:is>
          <x:t xml:space="preserve">Compression-only control</x:t>
        </x:is>
      </x:c>
      <x:c r="H7" s="16" t="inlineStr">
        <x:is>
          <x:t xml:space="preserve">No bionic or special anchor styling.</x:t>
        </x:is>
      </x:c>
    </x:row>
    <x:row r="8" ht="92" customHeight="1">
      <x:c r="A8" s="17" t="inlineStr">
        <x:is>
          <x:t xml:space="preserve">V01</x:t>
        </x:is>
      </x:c>
      <x:c r="B8" s="17" t="inlineStr">
        <x:is>
          <x:t xml:space="preserve">Productivity</x:t>
        </x:is>
      </x:c>
      <x:c r="C8" s="17" t="inlineStr">
        <x:is>
          <x:t xml:space="preserve">D</x:t>
        </x:is>
      </x:c>
      <x:c r="D8" s="17" t="inlineStr">
        <x:is>
          <x:t xml:space="preserve">BCC</x:t>
        </x:is>
      </x:c>
      <x:c r="E8" s="17" t="inlineStr">
        <x:is>
          <x:t xml:space="preserve">**Not** **moti**vation.
**Struc**ture.
Reduce **fric**tion.
Shrink the **start**.</x:t>
        </x:is>
      </x:c>
      <x:c r="F8" s="17" t="inlineStr">
        <x:is>
          <x:t xml:space="preserve">Semantic compression + operator/concept anchors.</x:t>
        </x:is>
      </x:c>
      <x:c r="G8" s="17" t="inlineStr">
        <x:is>
          <x:t xml:space="preserve">Does bionic anchoring add value?</x:t>
        </x:is>
      </x:c>
      <x:c r="H8" s="17" t="inlineStr">
        <x:is>
          <x:t xml:space="preserve">Use 1–3 anchors per screen only.</x:t>
        </x:is>
      </x:c>
    </x:row>
    <x:row r="9" ht="92" customHeight="1">
      <x:c r="A9" s="16" t="inlineStr">
        <x:is>
          <x:t xml:space="preserve">V01</x:t>
        </x:is>
      </x:c>
      <x:c r="B9" s="16" t="inlineStr">
        <x:is>
          <x:t xml:space="preserve">Productivity</x:t>
        </x:is>
      </x:c>
      <x:c r="C9" s="16" t="inlineStr">
        <x:is>
          <x:t xml:space="preserve">E</x:t>
        </x:is>
      </x:c>
      <x:c r="D9" s="16" t="inlineStr">
        <x:is>
          <x:t xml:space="preserve">BCC+</x:t>
        </x:is>
      </x:c>
      <x:c r="E9" s="16" t="inlineStr">
        <x:is>
          <x:t xml:space="preserve">**Not** **moti**vation.
**Struc**ture.
Reduce **fric**tion.
Shrink the **start**.
Muted test: must be understandable without audio.
Placement: Talking head; avoid eyes/mouth; place upper-chest/shoulder zone; 4 beats.</x:t>
        </x:is>
      </x:c>
      <x:c r="F9" s="16" t="inlineStr">
        <x:is>
          <x:t xml:space="preserve">BCC plus placement/adaptive density/muted-first notes.</x:t>
        </x:is>
      </x:c>
      <x:c r="G9" s="16" t="inlineStr">
        <x:is>
          <x:t xml:space="preserve">Does physiology-aware placement add value?</x:t>
        </x:is>
      </x:c>
      <x:c r="H9" s="16" t="inlineStr">
        <x:is>
          <x:t xml:space="preserve">Implement placement note, not just text content.</x:t>
        </x:is>
      </x:c>
    </x:row>
    <x:row r="10" ht="92" customHeight="1">
      <x:c r="A10" s="17" t="inlineStr">
        <x:is>
          <x:t xml:space="preserve">V01</x:t>
        </x:is>
      </x:c>
      <x:c r="B10" s="17" t="inlineStr">
        <x:is>
          <x:t xml:space="preserve">Productivity</x:t>
        </x:is>
      </x:c>
      <x:c r="C10" s="17" t="inlineStr">
        <x:is>
          <x:t xml:space="preserve">F</x:t>
        </x:is>
      </x:c>
      <x:c r="D10" s="17" t="inlineStr">
        <x:is>
          <x:t xml:space="preserve">Heavy bionic</x:t>
        </x:is>
      </x:c>
      <x:c r="E10" s="17" t="inlineStr">
        <x:is>
          <x:t xml:space="preserve">**Mo**st **peo**ple **don**’t **fa**il **beca**use **th**ey **la**ck **motiv**ation. **Th**ey **fa**il **beca**use **the**ir day has no **struc**ture. If you **wa**nt the **hab**it to **chan**ge, **red**uce...</x:t>
        </x:is>
      </x:c>
      <x:c r="F10" s="17" t="inlineStr">
        <x:is>
          <x:t xml:space="preserve">Stress-test/control: intentionally over-styled bionic text.</x:t>
        </x:is>
      </x:c>
      <x:c r="G10" s="17" t="inlineStr">
        <x:is>
          <x:t xml:space="preserve">Should reveal noise/overload cost</x:t>
        </x:is>
      </x:c>
      <x:c r="H10" s="17" t="inlineStr">
        <x:is>
          <x:t xml:space="preserve">Use as negative/control variant; do not publish as recommended style.</x:t>
        </x:is>
      </x:c>
    </x:row>
    <x:row r="11" ht="92" customHeight="1">
      <x:c r="A11" s="16" t="inlineStr">
        <x:is>
          <x:t xml:space="preserve">V02</x:t>
        </x:is>
      </x:c>
      <x:c r="B11" s="16" t="inlineStr">
        <x:is>
          <x:t xml:space="preserve">Study</x:t>
        </x:is>
      </x:c>
      <x:c r="C11" s="16" t="inlineStr">
        <x:is>
          <x:t xml:space="preserve">A</x:t>
        </x:is>
      </x:c>
      <x:c r="D11" s="16" t="inlineStr">
        <x:is>
          <x:t xml:space="preserve">Full transcript</x:t>
        </x:is>
      </x:c>
      <x:c r="E11" s="16" t="inlineStr">
        <x:is>
          <x:t xml:space="preserve">Rereading feels productive because it is familiar. But recall is what proves whether you actually know the material.</x:t>
        </x:is>
      </x:c>
      <x:c r="F11" s="16" t="inlineStr">
        <x:is>
          <x:t xml:space="preserve">Baseline exact wording; may overload visual channel.</x:t>
        </x:is>
      </x:c>
      <x:c r="G11" s="16" t="inlineStr">
        <x:is>
          <x:t xml:space="preserve">Exact recall; accessibility-like readability</x:t>
        </x:is>
      </x:c>
      <x:c r="H11" s="16" t="inlineStr">
        <x:is>
          <x:t xml:space="preserve">Do not style beyond normal captions.</x:t>
        </x:is>
      </x:c>
    </x:row>
    <x:row r="12" ht="92" customHeight="1">
      <x:c r="A12" s="17" t="inlineStr">
        <x:is>
          <x:t xml:space="preserve">V02</x:t>
        </x:is>
      </x:c>
      <x:c r="B12" s="17" t="inlineStr">
        <x:is>
          <x:t xml:space="preserve">Study</x:t>
        </x:is>
      </x:c>
      <x:c r="C12" s="17" t="inlineStr">
        <x:is>
          <x:t xml:space="preserve">B</x:t>
        </x:is>
      </x:c>
      <x:c r="D12" s="17" t="inlineStr">
        <x:is>
          <x:t xml:space="preserve">Keyword highlight</x:t>
        </x:is>
      </x:c>
      <x:c r="E12" s="17" t="inlineStr">
        <x:is>
          <x:t xml:space="preserve">**Rereading** feels productive because it is familiar. But **recall** is what proves whether you actually know the material.</x:t>
        </x:is>
      </x:c>
      <x:c r="F12" s="17" t="inlineStr">
        <x:is>
          <x:t xml:space="preserve">Transcript with selected keywords emphasized.</x:t>
        </x:is>
      </x:c>
      <x:c r="G12" s="17" t="inlineStr">
        <x:is>
          <x:t xml:space="preserve">Keyword value without compression</x:t>
        </x:is>
      </x:c>
      <x:c r="H12" s="17" t="inlineStr">
        <x:is>
          <x:t xml:space="preserve">Use sparse highlights; no word-by-word popping.</x:t>
        </x:is>
      </x:c>
    </x:row>
    <x:row r="13" ht="92" customHeight="1">
      <x:c r="A13" s="16" t="inlineStr">
        <x:is>
          <x:t xml:space="preserve">V02</x:t>
        </x:is>
      </x:c>
      <x:c r="B13" s="16" t="inlineStr">
        <x:is>
          <x:t xml:space="preserve">Study</x:t>
        </x:is>
      </x:c>
      <x:c r="C13" s="16" t="inlineStr">
        <x:is>
          <x:t xml:space="preserve">C</x:t>
        </x:is>
      </x:c>
      <x:c r="D13" s="16" t="inlineStr">
        <x:is>
          <x:t xml:space="preserve">Semantic compression</x:t>
        </x:is>
      </x:c>
      <x:c r="E13" s="16" t="inlineStr">
        <x:is>
          <x:t xml:space="preserve">Rereading feels safe.
Recall proves it.</x:t>
        </x:is>
      </x:c>
      <x:c r="F13" s="16" t="inlineStr">
        <x:is>
          <x:t xml:space="preserve">Meaning compressed into short beats.</x:t>
        </x:is>
      </x:c>
      <x:c r="G13" s="16" t="inlineStr">
        <x:is>
          <x:t xml:space="preserve">Compression-only control</x:t>
        </x:is>
      </x:c>
      <x:c r="H13" s="16" t="inlineStr">
        <x:is>
          <x:t xml:space="preserve">No bionic or special anchor styling.</x:t>
        </x:is>
      </x:c>
    </x:row>
    <x:row r="14" ht="92" customHeight="1">
      <x:c r="A14" s="17" t="inlineStr">
        <x:is>
          <x:t xml:space="preserve">V02</x:t>
        </x:is>
      </x:c>
      <x:c r="B14" s="17" t="inlineStr">
        <x:is>
          <x:t xml:space="preserve">Study</x:t>
        </x:is>
      </x:c>
      <x:c r="C14" s="17" t="inlineStr">
        <x:is>
          <x:t xml:space="preserve">D</x:t>
        </x:is>
      </x:c>
      <x:c r="D14" s="17" t="inlineStr">
        <x:is>
          <x:t xml:space="preserve">BCC</x:t>
        </x:is>
      </x:c>
      <x:c r="E14" s="17" t="inlineStr">
        <x:is>
          <x:t xml:space="preserve">**Reread**ing feels safe.
**Recall** proves it.</x:t>
        </x:is>
      </x:c>
      <x:c r="F14" s="17" t="inlineStr">
        <x:is>
          <x:t xml:space="preserve">Semantic compression + operator/concept anchors.</x:t>
        </x:is>
      </x:c>
      <x:c r="G14" s="17" t="inlineStr">
        <x:is>
          <x:t xml:space="preserve">Does bionic anchoring add value?</x:t>
        </x:is>
      </x:c>
      <x:c r="H14" s="17" t="inlineStr">
        <x:is>
          <x:t xml:space="preserve">Use 1–3 anchors per screen only.</x:t>
        </x:is>
      </x:c>
    </x:row>
    <x:row r="15" ht="92" customHeight="1">
      <x:c r="A15" s="16" t="inlineStr">
        <x:is>
          <x:t xml:space="preserve">V02</x:t>
        </x:is>
      </x:c>
      <x:c r="B15" s="16" t="inlineStr">
        <x:is>
          <x:t xml:space="preserve">Study</x:t>
        </x:is>
      </x:c>
      <x:c r="C15" s="16" t="inlineStr">
        <x:is>
          <x:t xml:space="preserve">E</x:t>
        </x:is>
      </x:c>
      <x:c r="D15" s="16" t="inlineStr">
        <x:is>
          <x:t xml:space="preserve">BCC+</x:t>
        </x:is>
      </x:c>
      <x:c r="E15" s="16" t="inlineStr">
        <x:is>
          <x:t xml:space="preserve">**Reread**ing feels safe.
**Recall** proves it.
Muted test: must be understandable without audio.
Placement: Desk/notes; avoid covering page if writing is visible; use 2 beats.</x:t>
        </x:is>
      </x:c>
      <x:c r="F15" s="16" t="inlineStr">
        <x:is>
          <x:t xml:space="preserve">BCC plus placement/adaptive density/muted-first notes.</x:t>
        </x:is>
      </x:c>
      <x:c r="G15" s="16" t="inlineStr">
        <x:is>
          <x:t xml:space="preserve">Does physiology-aware placement add value?</x:t>
        </x:is>
      </x:c>
      <x:c r="H15" s="16" t="inlineStr">
        <x:is>
          <x:t xml:space="preserve">Implement placement note, not just text content.</x:t>
        </x:is>
      </x:c>
    </x:row>
    <x:row r="16" ht="92" customHeight="1">
      <x:c r="A16" s="17" t="inlineStr">
        <x:is>
          <x:t xml:space="preserve">V02</x:t>
        </x:is>
      </x:c>
      <x:c r="B16" s="17" t="inlineStr">
        <x:is>
          <x:t xml:space="preserve">Study</x:t>
        </x:is>
      </x:c>
      <x:c r="C16" s="17" t="inlineStr">
        <x:is>
          <x:t xml:space="preserve">F</x:t>
        </x:is>
      </x:c>
      <x:c r="D16" s="17" t="inlineStr">
        <x:is>
          <x:t xml:space="preserve">Heavy bionic</x:t>
        </x:is>
      </x:c>
      <x:c r="E16" s="17" t="inlineStr">
        <x:is>
          <x:t xml:space="preserve">**Rerea**ding **fee**ls **produ**ctive **beca**use it is **famil**iar. But **rec**all is **wh**at **pro**ves **whet**her you **actu**ally **kn**ow the **mater**ial....</x:t>
        </x:is>
      </x:c>
      <x:c r="F16" s="17" t="inlineStr">
        <x:is>
          <x:t xml:space="preserve">Stress-test/control: intentionally over-styled bionic text.</x:t>
        </x:is>
      </x:c>
      <x:c r="G16" s="17" t="inlineStr">
        <x:is>
          <x:t xml:space="preserve">Should reveal noise/overload cost</x:t>
        </x:is>
      </x:c>
      <x:c r="H16" s="17" t="inlineStr">
        <x:is>
          <x:t xml:space="preserve">Use as negative/control variant; do not publish as recommended style.</x:t>
        </x:is>
      </x:c>
    </x:row>
    <x:row r="17" ht="92" customHeight="1">
      <x:c r="A17" s="16" t="inlineStr">
        <x:is>
          <x:t xml:space="preserve">V03</x:t>
        </x:is>
      </x:c>
      <x:c r="B17" s="16" t="inlineStr">
        <x:is>
          <x:t xml:space="preserve">Fitness</x:t>
        </x:is>
      </x:c>
      <x:c r="C17" s="16" t="inlineStr">
        <x:is>
          <x:t xml:space="preserve">A</x:t>
        </x:is>
      </x:c>
      <x:c r="D17" s="16" t="inlineStr">
        <x:is>
          <x:t xml:space="preserve">Full transcript</x:t>
        </x:is>
      </x:c>
      <x:c r="E17" s="16" t="inlineStr">
        <x:is>
          <x:t xml:space="preserve">You do not need more discipline. You need to make the good choice easier than the bad choice.</x:t>
        </x:is>
      </x:c>
      <x:c r="F17" s="16" t="inlineStr">
        <x:is>
          <x:t xml:space="preserve">Baseline exact wording; may overload visual channel.</x:t>
        </x:is>
      </x:c>
      <x:c r="G17" s="16" t="inlineStr">
        <x:is>
          <x:t xml:space="preserve">Exact recall; accessibility-like readability</x:t>
        </x:is>
      </x:c>
      <x:c r="H17" s="16" t="inlineStr">
        <x:is>
          <x:t xml:space="preserve">Do not style beyond normal captions.</x:t>
        </x:is>
      </x:c>
    </x:row>
    <x:row r="18" ht="92" customHeight="1">
      <x:c r="A18" s="17" t="inlineStr">
        <x:is>
          <x:t xml:space="preserve">V03</x:t>
        </x:is>
      </x:c>
      <x:c r="B18" s="17" t="inlineStr">
        <x:is>
          <x:t xml:space="preserve">Fitness</x:t>
        </x:is>
      </x:c>
      <x:c r="C18" s="17" t="inlineStr">
        <x:is>
          <x:t xml:space="preserve">B</x:t>
        </x:is>
      </x:c>
      <x:c r="D18" s="17" t="inlineStr">
        <x:is>
          <x:t xml:space="preserve">Keyword highlight</x:t>
        </x:is>
      </x:c>
      <x:c r="E18" s="17" t="inlineStr">
        <x:is>
          <x:t xml:space="preserve">You do not need more **discipline**. You need to make the good choice easier than the bad choice.</x:t>
        </x:is>
      </x:c>
      <x:c r="F18" s="17" t="inlineStr">
        <x:is>
          <x:t xml:space="preserve">Transcript with selected keywords emphasized.</x:t>
        </x:is>
      </x:c>
      <x:c r="G18" s="17" t="inlineStr">
        <x:is>
          <x:t xml:space="preserve">Keyword value without compression</x:t>
        </x:is>
      </x:c>
      <x:c r="H18" s="17" t="inlineStr">
        <x:is>
          <x:t xml:space="preserve">Use sparse highlights; no word-by-word popping.</x:t>
        </x:is>
      </x:c>
    </x:row>
    <x:row r="19" ht="92" customHeight="1">
      <x:c r="A19" s="16" t="inlineStr">
        <x:is>
          <x:t xml:space="preserve">V03</x:t>
        </x:is>
      </x:c>
      <x:c r="B19" s="16" t="inlineStr">
        <x:is>
          <x:t xml:space="preserve">Fitness</x:t>
        </x:is>
      </x:c>
      <x:c r="C19" s="16" t="inlineStr">
        <x:is>
          <x:t xml:space="preserve">C</x:t>
        </x:is>
      </x:c>
      <x:c r="D19" s="16" t="inlineStr">
        <x:is>
          <x:t xml:space="preserve">Semantic compression</x:t>
        </x:is>
      </x:c>
      <x:c r="E19" s="16" t="inlineStr">
        <x:is>
          <x:t xml:space="preserve">Not discipline.
Make good easy.</x:t>
        </x:is>
      </x:c>
      <x:c r="F19" s="16" t="inlineStr">
        <x:is>
          <x:t xml:space="preserve">Meaning compressed into short beats.</x:t>
        </x:is>
      </x:c>
      <x:c r="G19" s="16" t="inlineStr">
        <x:is>
          <x:t xml:space="preserve">Compression-only control</x:t>
        </x:is>
      </x:c>
      <x:c r="H19" s="16" t="inlineStr">
        <x:is>
          <x:t xml:space="preserve">No bionic or special anchor styling.</x:t>
        </x:is>
      </x:c>
    </x:row>
    <x:row r="20" ht="92" customHeight="1">
      <x:c r="A20" s="17" t="inlineStr">
        <x:is>
          <x:t xml:space="preserve">V03</x:t>
        </x:is>
      </x:c>
      <x:c r="B20" s="17" t="inlineStr">
        <x:is>
          <x:t xml:space="preserve">Fitness</x:t>
        </x:is>
      </x:c>
      <x:c r="C20" s="17" t="inlineStr">
        <x:is>
          <x:t xml:space="preserve">D</x:t>
        </x:is>
      </x:c>
      <x:c r="D20" s="17" t="inlineStr">
        <x:is>
          <x:t xml:space="preserve">BCC</x:t>
        </x:is>
      </x:c>
      <x:c r="E20" s="17" t="inlineStr">
        <x:is>
          <x:t xml:space="preserve">**Not** disci**pline**.
Make good **easy**.</x:t>
        </x:is>
      </x:c>
      <x:c r="F20" s="17" t="inlineStr">
        <x:is>
          <x:t xml:space="preserve">Semantic compression + operator/concept anchors.</x:t>
        </x:is>
      </x:c>
      <x:c r="G20" s="17" t="inlineStr">
        <x:is>
          <x:t xml:space="preserve">Does bionic anchoring add value?</x:t>
        </x:is>
      </x:c>
      <x:c r="H20" s="17" t="inlineStr">
        <x:is>
          <x:t xml:space="preserve">Use 1–3 anchors per screen only.</x:t>
        </x:is>
      </x:c>
    </x:row>
    <x:row r="21" ht="92" customHeight="1">
      <x:c r="A21" s="16" t="inlineStr">
        <x:is>
          <x:t xml:space="preserve">V03</x:t>
        </x:is>
      </x:c>
      <x:c r="B21" s="16" t="inlineStr">
        <x:is>
          <x:t xml:space="preserve">Fitness</x:t>
        </x:is>
      </x:c>
      <x:c r="C21" s="16" t="inlineStr">
        <x:is>
          <x:t xml:space="preserve">E</x:t>
        </x:is>
      </x:c>
      <x:c r="D21" s="16" t="inlineStr">
        <x:is>
          <x:t xml:space="preserve">BCC+</x:t>
        </x:is>
      </x:c>
      <x:c r="E21" s="16" t="inlineStr">
        <x:is>
          <x:t xml:space="preserve">**Not** disci**pline**.
Make good **easy**.
Muted test: must be understandable without audio.
Placement: Protect body/hand demo; side label if showing equipment.</x:t>
        </x:is>
      </x:c>
      <x:c r="F21" s="16" t="inlineStr">
        <x:is>
          <x:t xml:space="preserve">BCC plus placement/adaptive density/muted-first notes.</x:t>
        </x:is>
      </x:c>
      <x:c r="G21" s="16" t="inlineStr">
        <x:is>
          <x:t xml:space="preserve">Does physiology-aware placement add value?</x:t>
        </x:is>
      </x:c>
      <x:c r="H21" s="16" t="inlineStr">
        <x:is>
          <x:t xml:space="preserve">Implement placement note, not just text content.</x:t>
        </x:is>
      </x:c>
    </x:row>
    <x:row r="22" ht="92" customHeight="1">
      <x:c r="A22" s="17" t="inlineStr">
        <x:is>
          <x:t xml:space="preserve">V03</x:t>
        </x:is>
      </x:c>
      <x:c r="B22" s="17" t="inlineStr">
        <x:is>
          <x:t xml:space="preserve">Fitness</x:t>
        </x:is>
      </x:c>
      <x:c r="C22" s="17" t="inlineStr">
        <x:is>
          <x:t xml:space="preserve">F</x:t>
        </x:is>
      </x:c>
      <x:c r="D22" s="17" t="inlineStr">
        <x:is>
          <x:t xml:space="preserve">Heavy bionic</x:t>
        </x:is>
      </x:c>
      <x:c r="E22" s="17" t="inlineStr">
        <x:is>
          <x:t xml:space="preserve">You do not **ne**ed **mo**re **disci**pline. You **ne**ed to **ma**ke the **go**od **cho**ice **eas**ier **th**an the bad **choi**ce....</x:t>
        </x:is>
      </x:c>
      <x:c r="F22" s="17" t="inlineStr">
        <x:is>
          <x:t xml:space="preserve">Stress-test/control: intentionally over-styled bionic text.</x:t>
        </x:is>
      </x:c>
      <x:c r="G22" s="17" t="inlineStr">
        <x:is>
          <x:t xml:space="preserve">Should reveal noise/overload cost</x:t>
        </x:is>
      </x:c>
      <x:c r="H22" s="17" t="inlineStr">
        <x:is>
          <x:t xml:space="preserve">Use as negative/control variant; do not publish as recommended style.</x:t>
        </x:is>
      </x:c>
    </x:row>
    <x:row r="23" ht="92" customHeight="1">
      <x:c r="A23" s="16" t="inlineStr">
        <x:is>
          <x:t xml:space="preserve">V04</x:t>
        </x:is>
      </x:c>
      <x:c r="B23" s="16" t="inlineStr">
        <x:is>
          <x:t xml:space="preserve">Finance</x:t>
        </x:is>
      </x:c>
      <x:c r="C23" s="16" t="inlineStr">
        <x:is>
          <x:t xml:space="preserve">A</x:t>
        </x:is>
      </x:c>
      <x:c r="D23" s="16" t="inlineStr">
        <x:is>
          <x:t xml:space="preserve">Full transcript</x:t>
        </x:is>
      </x:c>
      <x:c r="E23" s="16" t="inlineStr">
        <x:is>
          <x:t xml:space="preserve">You do not have a budgeting problem yet. You have a visibility problem. You cannot control what you cannot see.</x:t>
        </x:is>
      </x:c>
      <x:c r="F23" s="16" t="inlineStr">
        <x:is>
          <x:t xml:space="preserve">Baseline exact wording; may overload visual channel.</x:t>
        </x:is>
      </x:c>
      <x:c r="G23" s="16" t="inlineStr">
        <x:is>
          <x:t xml:space="preserve">Exact recall; accessibility-like readability</x:t>
        </x:is>
      </x:c>
      <x:c r="H23" s="16" t="inlineStr">
        <x:is>
          <x:t xml:space="preserve">Do not style beyond normal captions.</x:t>
        </x:is>
      </x:c>
    </x:row>
    <x:row r="24" ht="92" customHeight="1">
      <x:c r="A24" s="17" t="inlineStr">
        <x:is>
          <x:t xml:space="preserve">V04</x:t>
        </x:is>
      </x:c>
      <x:c r="B24" s="17" t="inlineStr">
        <x:is>
          <x:t xml:space="preserve">Finance</x:t>
        </x:is>
      </x:c>
      <x:c r="C24" s="17" t="inlineStr">
        <x:is>
          <x:t xml:space="preserve">B</x:t>
        </x:is>
      </x:c>
      <x:c r="D24" s="17" t="inlineStr">
        <x:is>
          <x:t xml:space="preserve">Keyword highlight</x:t>
        </x:is>
      </x:c>
      <x:c r="E24" s="17" t="inlineStr">
        <x:is>
          <x:t xml:space="preserve">You do not have a budgeting problem yet. You have a **visibility** problem. You cannot control what you cannot see.</x:t>
        </x:is>
      </x:c>
      <x:c r="F24" s="17" t="inlineStr">
        <x:is>
          <x:t xml:space="preserve">Transcript with selected keywords emphasized.</x:t>
        </x:is>
      </x:c>
      <x:c r="G24" s="17" t="inlineStr">
        <x:is>
          <x:t xml:space="preserve">Keyword value without compression</x:t>
        </x:is>
      </x:c>
      <x:c r="H24" s="17" t="inlineStr">
        <x:is>
          <x:t xml:space="preserve">Use sparse highlights; no word-by-word popping.</x:t>
        </x:is>
      </x:c>
    </x:row>
    <x:row r="25" ht="92" customHeight="1">
      <x:c r="A25" s="16" t="inlineStr">
        <x:is>
          <x:t xml:space="preserve">V04</x:t>
        </x:is>
      </x:c>
      <x:c r="B25" s="16" t="inlineStr">
        <x:is>
          <x:t xml:space="preserve">Finance</x:t>
        </x:is>
      </x:c>
      <x:c r="C25" s="16" t="inlineStr">
        <x:is>
          <x:t xml:space="preserve">C</x:t>
        </x:is>
      </x:c>
      <x:c r="D25" s="16" t="inlineStr">
        <x:is>
          <x:t xml:space="preserve">Semantic compression</x:t>
        </x:is>
      </x:c>
      <x:c r="E25" s="16" t="inlineStr">
        <x:is>
          <x:t xml:space="preserve">Not budgeting.
Visibility first.</x:t>
        </x:is>
      </x:c>
      <x:c r="F25" s="16" t="inlineStr">
        <x:is>
          <x:t xml:space="preserve">Meaning compressed into short beats.</x:t>
        </x:is>
      </x:c>
      <x:c r="G25" s="16" t="inlineStr">
        <x:is>
          <x:t xml:space="preserve">Compression-only control</x:t>
        </x:is>
      </x:c>
      <x:c r="H25" s="16" t="inlineStr">
        <x:is>
          <x:t xml:space="preserve">No bionic or special anchor styling.</x:t>
        </x:is>
      </x:c>
    </x:row>
    <x:row r="26" ht="92" customHeight="1">
      <x:c r="A26" s="17" t="inlineStr">
        <x:is>
          <x:t xml:space="preserve">V04</x:t>
        </x:is>
      </x:c>
      <x:c r="B26" s="17" t="inlineStr">
        <x:is>
          <x:t xml:space="preserve">Finance</x:t>
        </x:is>
      </x:c>
      <x:c r="C26" s="17" t="inlineStr">
        <x:is>
          <x:t xml:space="preserve">D</x:t>
        </x:is>
      </x:c>
      <x:c r="D26" s="17" t="inlineStr">
        <x:is>
          <x:t xml:space="preserve">BCC</x:t>
        </x:is>
      </x:c>
      <x:c r="E26" s="17" t="inlineStr">
        <x:is>
          <x:t xml:space="preserve">**Not** budg**eting**.
**Visib**ility first.</x:t>
        </x:is>
      </x:c>
      <x:c r="F26" s="17" t="inlineStr">
        <x:is>
          <x:t xml:space="preserve">Semantic compression + operator/concept anchors.</x:t>
        </x:is>
      </x:c>
      <x:c r="G26" s="17" t="inlineStr">
        <x:is>
          <x:t xml:space="preserve">Does bionic anchoring add value?</x:t>
        </x:is>
      </x:c>
      <x:c r="H26" s="17" t="inlineStr">
        <x:is>
          <x:t xml:space="preserve">Use 1–3 anchors per screen only.</x:t>
        </x:is>
      </x:c>
    </x:row>
    <x:row r="27" ht="92" customHeight="1">
      <x:c r="A27" s="16" t="inlineStr">
        <x:is>
          <x:t xml:space="preserve">V04</x:t>
        </x:is>
      </x:c>
      <x:c r="B27" s="16" t="inlineStr">
        <x:is>
          <x:t xml:space="preserve">Finance</x:t>
        </x:is>
      </x:c>
      <x:c r="C27" s="16" t="inlineStr">
        <x:is>
          <x:t xml:space="preserve">E</x:t>
        </x:is>
      </x:c>
      <x:c r="D27" s="16" t="inlineStr">
        <x:is>
          <x:t xml:space="preserve">BCC+</x:t>
        </x:is>
      </x:c>
      <x:c r="E27" s="16" t="inlineStr">
        <x:is>
          <x:t xml:space="preserve">**Not** budg**eting**.
**Visib**ility first.
Muted test: must be understandable without audio.
Placement: Screen/app mock; avoid covering numbers; use top-safe label.</x:t>
        </x:is>
      </x:c>
      <x:c r="F27" s="16" t="inlineStr">
        <x:is>
          <x:t xml:space="preserve">BCC plus placement/adaptive density/muted-first notes.</x:t>
        </x:is>
      </x:c>
      <x:c r="G27" s="16" t="inlineStr">
        <x:is>
          <x:t xml:space="preserve">Does physiology-aware placement add value?</x:t>
        </x:is>
      </x:c>
      <x:c r="H27" s="16" t="inlineStr">
        <x:is>
          <x:t xml:space="preserve">Implement placement note, not just text content.</x:t>
        </x:is>
      </x:c>
    </x:row>
    <x:row r="28" ht="92" customHeight="1">
      <x:c r="A28" s="17" t="inlineStr">
        <x:is>
          <x:t xml:space="preserve">V04</x:t>
        </x:is>
      </x:c>
      <x:c r="B28" s="17" t="inlineStr">
        <x:is>
          <x:t xml:space="preserve">Finance</x:t>
        </x:is>
      </x:c>
      <x:c r="C28" s="17" t="inlineStr">
        <x:is>
          <x:t xml:space="preserve">F</x:t>
        </x:is>
      </x:c>
      <x:c r="D28" s="17" t="inlineStr">
        <x:is>
          <x:t xml:space="preserve">Heavy bionic</x:t>
        </x:is>
      </x:c>
      <x:c r="E28" s="17" t="inlineStr">
        <x:is>
          <x:t xml:space="preserve">You do not **ha**ve a **budge**ting **prob**lem yet. You **ha**ve a **visib**ility **prob**lem. You **can**not **cont**rol **wh**at you **can**not see....</x:t>
        </x:is>
      </x:c>
      <x:c r="F28" s="17" t="inlineStr">
        <x:is>
          <x:t xml:space="preserve">Stress-test/control: intentionally over-styled bionic text.</x:t>
        </x:is>
      </x:c>
      <x:c r="G28" s="17" t="inlineStr">
        <x:is>
          <x:t xml:space="preserve">Should reveal noise/overload cost</x:t>
        </x:is>
      </x:c>
      <x:c r="H28" s="17" t="inlineStr">
        <x:is>
          <x:t xml:space="preserve">Use as negative/control variant; do not publish as recommended style.</x:t>
        </x:is>
      </x:c>
    </x:row>
    <x:row r="29" ht="92" customHeight="1">
      <x:c r="A29" s="16" t="inlineStr">
        <x:is>
          <x:t xml:space="preserve">V05</x:t>
        </x:is>
      </x:c>
      <x:c r="B29" s="16" t="inlineStr">
        <x:is>
          <x:t xml:space="preserve">Tutorial</x:t>
        </x:is>
      </x:c>
      <x:c r="C29" s="16" t="inlineStr">
        <x:is>
          <x:t xml:space="preserve">A</x:t>
        </x:is>
      </x:c>
      <x:c r="D29" s="16" t="inlineStr">
        <x:is>
          <x:t xml:space="preserve">Full transcript</x:t>
        </x:is>
      </x:c>
      <x:c r="E29" s="16" t="inlineStr">
        <x:is>
          <x:t xml:space="preserve">If the action takes five steps to start, you will avoid it. Remove one step until starting becomes obvious.</x:t>
        </x:is>
      </x:c>
      <x:c r="F29" s="16" t="inlineStr">
        <x:is>
          <x:t xml:space="preserve">Baseline exact wording; may overload visual channel.</x:t>
        </x:is>
      </x:c>
      <x:c r="G29" s="16" t="inlineStr">
        <x:is>
          <x:t xml:space="preserve">Exact recall; accessibility-like readability</x:t>
        </x:is>
      </x:c>
      <x:c r="H29" s="16" t="inlineStr">
        <x:is>
          <x:t xml:space="preserve">Do not style beyond normal captions.</x:t>
        </x:is>
      </x:c>
    </x:row>
    <x:row r="30" ht="92" customHeight="1">
      <x:c r="A30" s="17" t="inlineStr">
        <x:is>
          <x:t xml:space="preserve">V05</x:t>
        </x:is>
      </x:c>
      <x:c r="B30" s="17" t="inlineStr">
        <x:is>
          <x:t xml:space="preserve">Tutorial</x:t>
        </x:is>
      </x:c>
      <x:c r="C30" s="17" t="inlineStr">
        <x:is>
          <x:t xml:space="preserve">B</x:t>
        </x:is>
      </x:c>
      <x:c r="D30" s="17" t="inlineStr">
        <x:is>
          <x:t xml:space="preserve">Keyword highlight</x:t>
        </x:is>
      </x:c>
      <x:c r="E30" s="17" t="inlineStr">
        <x:is>
          <x:t xml:space="preserve">If the action takes five **steps** to start, you will avoid it. Remove one step until starting becomes obvious.</x:t>
        </x:is>
      </x:c>
      <x:c r="F30" s="17" t="inlineStr">
        <x:is>
          <x:t xml:space="preserve">Transcript with selected keywords emphasized.</x:t>
        </x:is>
      </x:c>
      <x:c r="G30" s="17" t="inlineStr">
        <x:is>
          <x:t xml:space="preserve">Keyword value without compression</x:t>
        </x:is>
      </x:c>
      <x:c r="H30" s="17" t="inlineStr">
        <x:is>
          <x:t xml:space="preserve">Use sparse highlights; no word-by-word popping.</x:t>
        </x:is>
      </x:c>
    </x:row>
    <x:row r="31" ht="92" customHeight="1">
      <x:c r="A31" s="16" t="inlineStr">
        <x:is>
          <x:t xml:space="preserve">V05</x:t>
        </x:is>
      </x:c>
      <x:c r="B31" s="16" t="inlineStr">
        <x:is>
          <x:t xml:space="preserve">Tutorial</x:t>
        </x:is>
      </x:c>
      <x:c r="C31" s="16" t="inlineStr">
        <x:is>
          <x:t xml:space="preserve">C</x:t>
        </x:is>
      </x:c>
      <x:c r="D31" s="16" t="inlineStr">
        <x:is>
          <x:t xml:space="preserve">Semantic compression</x:t>
        </x:is>
      </x:c>
      <x:c r="E31" s="16" t="inlineStr">
        <x:is>
          <x:t xml:space="preserve">Too many steps.
Remove one.
Start obvious.</x:t>
        </x:is>
      </x:c>
      <x:c r="F31" s="16" t="inlineStr">
        <x:is>
          <x:t xml:space="preserve">Meaning compressed into short beats.</x:t>
        </x:is>
      </x:c>
      <x:c r="G31" s="16" t="inlineStr">
        <x:is>
          <x:t xml:space="preserve">Compression-only control</x:t>
        </x:is>
      </x:c>
      <x:c r="H31" s="16" t="inlineStr">
        <x:is>
          <x:t xml:space="preserve">No bionic or special anchor styling.</x:t>
        </x:is>
      </x:c>
    </x:row>
    <x:row r="32" ht="92" customHeight="1">
      <x:c r="A32" s="17" t="inlineStr">
        <x:is>
          <x:t xml:space="preserve">V05</x:t>
        </x:is>
      </x:c>
      <x:c r="B32" s="17" t="inlineStr">
        <x:is>
          <x:t xml:space="preserve">Tutorial</x:t>
        </x:is>
      </x:c>
      <x:c r="C32" s="17" t="inlineStr">
        <x:is>
          <x:t xml:space="preserve">D</x:t>
        </x:is>
      </x:c>
      <x:c r="D32" s="17" t="inlineStr">
        <x:is>
          <x:t xml:space="preserve">BCC</x:t>
        </x:is>
      </x:c>
      <x:c r="E32" s="17" t="inlineStr">
        <x:is>
          <x:t xml:space="preserve">Too many **steps**.
Remove **one**.
Start **obvi**ous.</x:t>
        </x:is>
      </x:c>
      <x:c r="F32" s="17" t="inlineStr">
        <x:is>
          <x:t xml:space="preserve">Semantic compression + operator/concept anchors.</x:t>
        </x:is>
      </x:c>
      <x:c r="G32" s="17" t="inlineStr">
        <x:is>
          <x:t xml:space="preserve">Does bionic anchoring add value?</x:t>
        </x:is>
      </x:c>
      <x:c r="H32" s="17" t="inlineStr">
        <x:is>
          <x:t xml:space="preserve">Use 1–3 anchors per screen only.</x:t>
        </x:is>
      </x:c>
    </x:row>
    <x:row r="33" ht="92" customHeight="1">
      <x:c r="A33" s="16" t="inlineStr">
        <x:is>
          <x:t xml:space="preserve">V05</x:t>
        </x:is>
      </x:c>
      <x:c r="B33" s="16" t="inlineStr">
        <x:is>
          <x:t xml:space="preserve">Tutorial</x:t>
        </x:is>
      </x:c>
      <x:c r="C33" s="16" t="inlineStr">
        <x:is>
          <x:t xml:space="preserve">E</x:t>
        </x:is>
      </x:c>
      <x:c r="D33" s="16" t="inlineStr">
        <x:is>
          <x:t xml:space="preserve">BCC+</x:t>
        </x:is>
      </x:c>
      <x:c r="E33" s="16" t="inlineStr">
        <x:is>
          <x:t xml:space="preserve">Too many **steps**.
Remove **one**.
Start **obvi**ous.
Muted test: must be understandable without audio.
Placement: Hands are primary; use side labels; 1–3 words during action.</x:t>
        </x:is>
      </x:c>
      <x:c r="F33" s="16" t="inlineStr">
        <x:is>
          <x:t xml:space="preserve">BCC plus placement/adaptive density/muted-first notes.</x:t>
        </x:is>
      </x:c>
      <x:c r="G33" s="16" t="inlineStr">
        <x:is>
          <x:t xml:space="preserve">Does physiology-aware placement add value?</x:t>
        </x:is>
      </x:c>
      <x:c r="H33" s="16" t="inlineStr">
        <x:is>
          <x:t xml:space="preserve">Implement placement note, not just text content.</x:t>
        </x:is>
      </x:c>
    </x:row>
    <x:row r="34" ht="92" customHeight="1">
      <x:c r="A34" s="17" t="inlineStr">
        <x:is>
          <x:t xml:space="preserve">V05</x:t>
        </x:is>
      </x:c>
      <x:c r="B34" s="17" t="inlineStr">
        <x:is>
          <x:t xml:space="preserve">Tutorial</x:t>
        </x:is>
      </x:c>
      <x:c r="C34" s="17" t="inlineStr">
        <x:is>
          <x:t xml:space="preserve">F</x:t>
        </x:is>
      </x:c>
      <x:c r="D34" s="17" t="inlineStr">
        <x:is>
          <x:t xml:space="preserve">Heavy bionic</x:t>
        </x:is>
      </x:c>
      <x:c r="E34" s="17" t="inlineStr">
        <x:is>
          <x:t xml:space="preserve">If the **act**ion **tak**es **fi**ve **ste**ps to **sta**rt, you **wi**ll **avo**id it. **Rem**ove one **st**ep **unt**il **star**ting **beco**mes **obvi**ous....</x:t>
        </x:is>
      </x:c>
      <x:c r="F34" s="17" t="inlineStr">
        <x:is>
          <x:t xml:space="preserve">Stress-test/control: intentionally over-styled bionic text.</x:t>
        </x:is>
      </x:c>
      <x:c r="G34" s="17" t="inlineStr">
        <x:is>
          <x:t xml:space="preserve">Should reveal noise/overload cost</x:t>
        </x:is>
      </x:c>
      <x:c r="H34" s="17" t="inlineStr">
        <x:is>
          <x:t xml:space="preserve">Use as negative/control variant; do not publish as recommended style.</x:t>
        </x:is>
      </x:c>
    </x:row>
    <x:row r="35" ht="92" customHeight="1">
      <x:c r="A35" s="16" t="inlineStr">
        <x:is>
          <x:t xml:space="preserve">V06</x:t>
        </x:is>
      </x:c>
      <x:c r="B35" s="16" t="inlineStr">
        <x:is>
          <x:t xml:space="preserve">Overload</x:t>
        </x:is>
      </x:c>
      <x:c r="C35" s="16" t="inlineStr">
        <x:is>
          <x:t xml:space="preserve">A</x:t>
        </x:is>
      </x:c>
      <x:c r="D35" s="16" t="inlineStr">
        <x:is>
          <x:t xml:space="preserve">Full transcript</x:t>
        </x:is>
      </x:c>
      <x:c r="E35" s="16" t="inlineStr">
        <x:is>
          <x:t xml:space="preserve">When everything feels urgent, moving faster is not the answer. You need fewer open loops.</x:t>
        </x:is>
      </x:c>
      <x:c r="F35" s="16" t="inlineStr">
        <x:is>
          <x:t xml:space="preserve">Baseline exact wording; may overload visual channel.</x:t>
        </x:is>
      </x:c>
      <x:c r="G35" s="16" t="inlineStr">
        <x:is>
          <x:t xml:space="preserve">Exact recall; accessibility-like readability</x:t>
        </x:is>
      </x:c>
      <x:c r="H35" s="16" t="inlineStr">
        <x:is>
          <x:t xml:space="preserve">Do not style beyond normal captions.</x:t>
        </x:is>
      </x:c>
    </x:row>
    <x:row r="36" ht="92" customHeight="1">
      <x:c r="A36" s="17" t="inlineStr">
        <x:is>
          <x:t xml:space="preserve">V06</x:t>
        </x:is>
      </x:c>
      <x:c r="B36" s="17" t="inlineStr">
        <x:is>
          <x:t xml:space="preserve">Overload</x:t>
        </x:is>
      </x:c>
      <x:c r="C36" s="17" t="inlineStr">
        <x:is>
          <x:t xml:space="preserve">B</x:t>
        </x:is>
      </x:c>
      <x:c r="D36" s="17" t="inlineStr">
        <x:is>
          <x:t xml:space="preserve">Keyword highlight</x:t>
        </x:is>
      </x:c>
      <x:c r="E36" s="17" t="inlineStr">
        <x:is>
          <x:t xml:space="preserve">When everything feels urgent, moving faster is not the answer. You need fewer open **loops**.</x:t>
        </x:is>
      </x:c>
      <x:c r="F36" s="17" t="inlineStr">
        <x:is>
          <x:t xml:space="preserve">Transcript with selected keywords emphasized.</x:t>
        </x:is>
      </x:c>
      <x:c r="G36" s="17" t="inlineStr">
        <x:is>
          <x:t xml:space="preserve">Keyword value without compression</x:t>
        </x:is>
      </x:c>
      <x:c r="H36" s="17" t="inlineStr">
        <x:is>
          <x:t xml:space="preserve">Use sparse highlights; no word-by-word popping.</x:t>
        </x:is>
      </x:c>
    </x:row>
    <x:row r="37" ht="92" customHeight="1">
      <x:c r="A37" s="16" t="inlineStr">
        <x:is>
          <x:t xml:space="preserve">V06</x:t>
        </x:is>
      </x:c>
      <x:c r="B37" s="16" t="inlineStr">
        <x:is>
          <x:t xml:space="preserve">Overload</x:t>
        </x:is>
      </x:c>
      <x:c r="C37" s="16" t="inlineStr">
        <x:is>
          <x:t xml:space="preserve">C</x:t>
        </x:is>
      </x:c>
      <x:c r="D37" s="16" t="inlineStr">
        <x:is>
          <x:t xml:space="preserve">Semantic compression</x:t>
        </x:is>
      </x:c>
      <x:c r="E37" s="16" t="inlineStr">
        <x:is>
          <x:t xml:space="preserve">Not faster.
Fewer loops.</x:t>
        </x:is>
      </x:c>
      <x:c r="F37" s="16" t="inlineStr">
        <x:is>
          <x:t xml:space="preserve">Meaning compressed into short beats.</x:t>
        </x:is>
      </x:c>
      <x:c r="G37" s="16" t="inlineStr">
        <x:is>
          <x:t xml:space="preserve">Compression-only control</x:t>
        </x:is>
      </x:c>
      <x:c r="H37" s="16" t="inlineStr">
        <x:is>
          <x:t xml:space="preserve">No bionic or special anchor styling.</x:t>
        </x:is>
      </x:c>
    </x:row>
    <x:row r="38" ht="92" customHeight="1">
      <x:c r="A38" s="17" t="inlineStr">
        <x:is>
          <x:t xml:space="preserve">V06</x:t>
        </x:is>
      </x:c>
      <x:c r="B38" s="17" t="inlineStr">
        <x:is>
          <x:t xml:space="preserve">Overload</x:t>
        </x:is>
      </x:c>
      <x:c r="C38" s="17" t="inlineStr">
        <x:is>
          <x:t xml:space="preserve">D</x:t>
        </x:is>
      </x:c>
      <x:c r="D38" s="17" t="inlineStr">
        <x:is>
          <x:t xml:space="preserve">BCC</x:t>
        </x:is>
      </x:c>
      <x:c r="E38" s="17" t="inlineStr">
        <x:is>
          <x:t xml:space="preserve">**Not** faster.
Fewer **loops**.</x:t>
        </x:is>
      </x:c>
      <x:c r="F38" s="17" t="inlineStr">
        <x:is>
          <x:t xml:space="preserve">Semantic compression + operator/concept anchors.</x:t>
        </x:is>
      </x:c>
      <x:c r="G38" s="17" t="inlineStr">
        <x:is>
          <x:t xml:space="preserve">Does bionic anchoring add value?</x:t>
        </x:is>
      </x:c>
      <x:c r="H38" s="17" t="inlineStr">
        <x:is>
          <x:t xml:space="preserve">Use 1–3 anchors per screen only.</x:t>
        </x:is>
      </x:c>
    </x:row>
    <x:row r="39" ht="92" customHeight="1">
      <x:c r="A39" s="16" t="inlineStr">
        <x:is>
          <x:t xml:space="preserve">V06</x:t>
        </x:is>
      </x:c>
      <x:c r="B39" s="16" t="inlineStr">
        <x:is>
          <x:t xml:space="preserve">Overload</x:t>
        </x:is>
      </x:c>
      <x:c r="C39" s="16" t="inlineStr">
        <x:is>
          <x:t xml:space="preserve">E</x:t>
        </x:is>
      </x:c>
      <x:c r="D39" s="16" t="inlineStr">
        <x:is>
          <x:t xml:space="preserve">BCC+</x:t>
        </x:is>
      </x:c>
      <x:c r="E39" s="16" t="inlineStr">
        <x:is>
          <x:t xml:space="preserve">**Not** faster.
Fewer **loops**.
Muted test: must be understandable without audio.
Placement: Protect face; calm timing; micro-rest after first contrast.</x:t>
        </x:is>
      </x:c>
      <x:c r="F39" s="16" t="inlineStr">
        <x:is>
          <x:t xml:space="preserve">BCC plus placement/adaptive density/muted-first notes.</x:t>
        </x:is>
      </x:c>
      <x:c r="G39" s="16" t="inlineStr">
        <x:is>
          <x:t xml:space="preserve">Does physiology-aware placement add value?</x:t>
        </x:is>
      </x:c>
      <x:c r="H39" s="16" t="inlineStr">
        <x:is>
          <x:t xml:space="preserve">Implement placement note, not just text content.</x:t>
        </x:is>
      </x:c>
    </x:row>
    <x:row r="40" ht="92" customHeight="1">
      <x:c r="A40" s="17" t="inlineStr">
        <x:is>
          <x:t xml:space="preserve">V06</x:t>
        </x:is>
      </x:c>
      <x:c r="B40" s="17" t="inlineStr">
        <x:is>
          <x:t xml:space="preserve">Overload</x:t>
        </x:is>
      </x:c>
      <x:c r="C40" s="17" t="inlineStr">
        <x:is>
          <x:t xml:space="preserve">F</x:t>
        </x:is>
      </x:c>
      <x:c r="D40" s="17" t="inlineStr">
        <x:is>
          <x:t xml:space="preserve">Heavy bionic</x:t>
        </x:is>
      </x:c>
      <x:c r="E40" s="17" t="inlineStr">
        <x:is>
          <x:t xml:space="preserve">**Wh**en **every**thing **fee**ls **urge**nt, **mov**ing **fas**ter is not the **answ**er. You **ne**ed **few**er **op**en **loo**ps....</x:t>
        </x:is>
      </x:c>
      <x:c r="F40" s="17" t="inlineStr">
        <x:is>
          <x:t xml:space="preserve">Stress-test/control: intentionally over-styled bionic text.</x:t>
        </x:is>
      </x:c>
      <x:c r="G40" s="17" t="inlineStr">
        <x:is>
          <x:t xml:space="preserve">Should reveal noise/overload cost</x:t>
        </x:is>
      </x:c>
      <x:c r="H40" s="17" t="inlineStr">
        <x:is>
          <x:t xml:space="preserve">Use as negative/control variant; do not publish as recommended style.</x:t>
        </x:is>
      </x:c>
    </x:row>
    <x:row r="41" ht="92" customHeight="1">
      <x:c r="A41" s="16" t="inlineStr">
        <x:is>
          <x:t xml:space="preserve">V07</x:t>
        </x:is>
      </x:c>
      <x:c r="B41" s="16" t="inlineStr">
        <x:is>
          <x:t xml:space="preserve">Business</x:t>
        </x:is>
      </x:c>
      <x:c r="C41" s="16" t="inlineStr">
        <x:is>
          <x:t xml:space="preserve">A</x:t>
        </x:is>
      </x:c>
      <x:c r="D41" s="16" t="inlineStr">
        <x:is>
          <x:t xml:space="preserve">Full transcript</x:t>
        </x:is>
      </x:c>
      <x:c r="E41" s="16" t="inlineStr">
        <x:is>
          <x:t xml:space="preserve">Your offer is not weak because it needs more features. It is weak because the payoff is unclear.</x:t>
        </x:is>
      </x:c>
      <x:c r="F41" s="16" t="inlineStr">
        <x:is>
          <x:t xml:space="preserve">Baseline exact wording; may overload visual channel.</x:t>
        </x:is>
      </x:c>
      <x:c r="G41" s="16" t="inlineStr">
        <x:is>
          <x:t xml:space="preserve">Exact recall; accessibility-like readability</x:t>
        </x:is>
      </x:c>
      <x:c r="H41" s="16" t="inlineStr">
        <x:is>
          <x:t xml:space="preserve">Do not style beyond normal captions.</x:t>
        </x:is>
      </x:c>
    </x:row>
    <x:row r="42" ht="92" customHeight="1">
      <x:c r="A42" s="17" t="inlineStr">
        <x:is>
          <x:t xml:space="preserve">V07</x:t>
        </x:is>
      </x:c>
      <x:c r="B42" s="17" t="inlineStr">
        <x:is>
          <x:t xml:space="preserve">Business</x:t>
        </x:is>
      </x:c>
      <x:c r="C42" s="17" t="inlineStr">
        <x:is>
          <x:t xml:space="preserve">B</x:t>
        </x:is>
      </x:c>
      <x:c r="D42" s="17" t="inlineStr">
        <x:is>
          <x:t xml:space="preserve">Keyword highlight</x:t>
        </x:is>
      </x:c>
      <x:c r="E42" s="17" t="inlineStr">
        <x:is>
          <x:t xml:space="preserve">Your offer is not weak because it needs more **features**. It is weak because the **payoff** is unclear.</x:t>
        </x:is>
      </x:c>
      <x:c r="F42" s="17" t="inlineStr">
        <x:is>
          <x:t xml:space="preserve">Transcript with selected keywords emphasized.</x:t>
        </x:is>
      </x:c>
      <x:c r="G42" s="17" t="inlineStr">
        <x:is>
          <x:t xml:space="preserve">Keyword value without compression</x:t>
        </x:is>
      </x:c>
      <x:c r="H42" s="17" t="inlineStr">
        <x:is>
          <x:t xml:space="preserve">Use sparse highlights; no word-by-word popping.</x:t>
        </x:is>
      </x:c>
    </x:row>
    <x:row r="43" ht="92" customHeight="1">
      <x:c r="A43" s="16" t="inlineStr">
        <x:is>
          <x:t xml:space="preserve">V07</x:t>
        </x:is>
      </x:c>
      <x:c r="B43" s="16" t="inlineStr">
        <x:is>
          <x:t xml:space="preserve">Business</x:t>
        </x:is>
      </x:c>
      <x:c r="C43" s="16" t="inlineStr">
        <x:is>
          <x:t xml:space="preserve">C</x:t>
        </x:is>
      </x:c>
      <x:c r="D43" s="16" t="inlineStr">
        <x:is>
          <x:t xml:space="preserve">Semantic compression</x:t>
        </x:is>
      </x:c>
      <x:c r="E43" s="16" t="inlineStr">
        <x:is>
          <x:t xml:space="preserve">Not features.
Clear payoff.</x:t>
        </x:is>
      </x:c>
      <x:c r="F43" s="16" t="inlineStr">
        <x:is>
          <x:t xml:space="preserve">Meaning compressed into short beats.</x:t>
        </x:is>
      </x:c>
      <x:c r="G43" s="16" t="inlineStr">
        <x:is>
          <x:t xml:space="preserve">Compression-only control</x:t>
        </x:is>
      </x:c>
      <x:c r="H43" s="16" t="inlineStr">
        <x:is>
          <x:t xml:space="preserve">No bionic or special anchor styling.</x:t>
        </x:is>
      </x:c>
    </x:row>
    <x:row r="44" ht="92" customHeight="1">
      <x:c r="A44" s="17" t="inlineStr">
        <x:is>
          <x:t xml:space="preserve">V07</x:t>
        </x:is>
      </x:c>
      <x:c r="B44" s="17" t="inlineStr">
        <x:is>
          <x:t xml:space="preserve">Business</x:t>
        </x:is>
      </x:c>
      <x:c r="C44" s="17" t="inlineStr">
        <x:is>
          <x:t xml:space="preserve">D</x:t>
        </x:is>
      </x:c>
      <x:c r="D44" s="17" t="inlineStr">
        <x:is>
          <x:t xml:space="preserve">BCC</x:t>
        </x:is>
      </x:c>
      <x:c r="E44" s="17" t="inlineStr">
        <x:is>
          <x:t xml:space="preserve">**Not** **feat**ures.
Clear **pay**off.</x:t>
        </x:is>
      </x:c>
      <x:c r="F44" s="17" t="inlineStr">
        <x:is>
          <x:t xml:space="preserve">Semantic compression + operator/concept anchors.</x:t>
        </x:is>
      </x:c>
      <x:c r="G44" s="17" t="inlineStr">
        <x:is>
          <x:t xml:space="preserve">Does bionic anchoring add value?</x:t>
        </x:is>
      </x:c>
      <x:c r="H44" s="17" t="inlineStr">
        <x:is>
          <x:t xml:space="preserve">Use 1–3 anchors per screen only.</x:t>
        </x:is>
      </x:c>
    </x:row>
    <x:row r="45" ht="92" customHeight="1">
      <x:c r="A45" s="16" t="inlineStr">
        <x:is>
          <x:t xml:space="preserve">V07</x:t>
        </x:is>
      </x:c>
      <x:c r="B45" s="16" t="inlineStr">
        <x:is>
          <x:t xml:space="preserve">Business</x:t>
        </x:is>
      </x:c>
      <x:c r="C45" s="16" t="inlineStr">
        <x:is>
          <x:t xml:space="preserve">E</x:t>
        </x:is>
      </x:c>
      <x:c r="D45" s="16" t="inlineStr">
        <x:is>
          <x:t xml:space="preserve">BCC+</x:t>
        </x:is>
      </x:c>
      <x:c r="E45" s="16" t="inlineStr">
        <x:is>
          <x:t xml:space="preserve">**Not** **feat**ures.
Clear **pay**off.
Muted test: must be understandable without audio.
Placement: If whiteboard present, avoid covering drawn proof; place near margin.</x:t>
        </x:is>
      </x:c>
      <x:c r="F45" s="16" t="inlineStr">
        <x:is>
          <x:t xml:space="preserve">BCC plus placement/adaptive density/muted-first notes.</x:t>
        </x:is>
      </x:c>
      <x:c r="G45" s="16" t="inlineStr">
        <x:is>
          <x:t xml:space="preserve">Does physiology-aware placement add value?</x:t>
        </x:is>
      </x:c>
      <x:c r="H45" s="16" t="inlineStr">
        <x:is>
          <x:t xml:space="preserve">Implement placement note, not just text content.</x:t>
        </x:is>
      </x:c>
    </x:row>
    <x:row r="46" ht="92" customHeight="1">
      <x:c r="A46" s="17" t="inlineStr">
        <x:is>
          <x:t xml:space="preserve">V07</x:t>
        </x:is>
      </x:c>
      <x:c r="B46" s="17" t="inlineStr">
        <x:is>
          <x:t xml:space="preserve">Business</x:t>
        </x:is>
      </x:c>
      <x:c r="C46" s="17" t="inlineStr">
        <x:is>
          <x:t xml:space="preserve">F</x:t>
        </x:is>
      </x:c>
      <x:c r="D46" s="17" t="inlineStr">
        <x:is>
          <x:t xml:space="preserve">Heavy bionic</x:t>
        </x:is>
      </x:c>
      <x:c r="E46" s="17" t="inlineStr">
        <x:is>
          <x:t xml:space="preserve">**Yo**ur **off**er is not **we**ak **beca**use it **nee**ds **mo**re **featu**res. It is **we**ak **beca**use the **pay**off is **uncl**ear....</x:t>
        </x:is>
      </x:c>
      <x:c r="F46" s="17" t="inlineStr">
        <x:is>
          <x:t xml:space="preserve">Stress-test/control: intentionally over-styled bionic text.</x:t>
        </x:is>
      </x:c>
      <x:c r="G46" s="17" t="inlineStr">
        <x:is>
          <x:t xml:space="preserve">Should reveal noise/overload cost</x:t>
        </x:is>
      </x:c>
      <x:c r="H46" s="17" t="inlineStr">
        <x:is>
          <x:t xml:space="preserve">Use as negative/control variant; do not publish as recommended style.</x:t>
        </x:is>
      </x:c>
    </x:row>
    <x:row r="47" ht="92" customHeight="1">
      <x:c r="A47" s="16" t="inlineStr">
        <x:is>
          <x:t xml:space="preserve">V08</x:t>
        </x:is>
      </x:c>
      <x:c r="B47" s="16" t="inlineStr">
        <x:is>
          <x:t xml:space="preserve">Coding</x:t>
        </x:is>
      </x:c>
      <x:c r="C47" s="16" t="inlineStr">
        <x:is>
          <x:t xml:space="preserve">A</x:t>
        </x:is>
      </x:c>
      <x:c r="D47" s="16" t="inlineStr">
        <x:is>
          <x:t xml:space="preserve">Full transcript</x:t>
        </x:is>
      </x:c>
      <x:c r="E47" s="16" t="inlineStr">
        <x:is>
          <x:t xml:space="preserve">Most bugs are not syntax problems. They are assumption problems. Write down what you believe the code is doing, then test that.</x:t>
        </x:is>
      </x:c>
      <x:c r="F47" s="16" t="inlineStr">
        <x:is>
          <x:t xml:space="preserve">Baseline exact wording; may overload visual channel.</x:t>
        </x:is>
      </x:c>
      <x:c r="G47" s="16" t="inlineStr">
        <x:is>
          <x:t xml:space="preserve">Exact recall; accessibility-like readability</x:t>
        </x:is>
      </x:c>
      <x:c r="H47" s="16" t="inlineStr">
        <x:is>
          <x:t xml:space="preserve">Do not style beyond normal captions.</x:t>
        </x:is>
      </x:c>
    </x:row>
    <x:row r="48" ht="92" customHeight="1">
      <x:c r="A48" s="17" t="inlineStr">
        <x:is>
          <x:t xml:space="preserve">V08</x:t>
        </x:is>
      </x:c>
      <x:c r="B48" s="17" t="inlineStr">
        <x:is>
          <x:t xml:space="preserve">Coding</x:t>
        </x:is>
      </x:c>
      <x:c r="C48" s="17" t="inlineStr">
        <x:is>
          <x:t xml:space="preserve">B</x:t>
        </x:is>
      </x:c>
      <x:c r="D48" s="17" t="inlineStr">
        <x:is>
          <x:t xml:space="preserve">Keyword highlight</x:t>
        </x:is>
      </x:c>
      <x:c r="E48" s="17" t="inlineStr">
        <x:is>
          <x:t xml:space="preserve">Most bugs are not **syntax** problems. They are **assumption** problems. Write down what you believe the code is doing, then test that.</x:t>
        </x:is>
      </x:c>
      <x:c r="F48" s="17" t="inlineStr">
        <x:is>
          <x:t xml:space="preserve">Transcript with selected keywords emphasized.</x:t>
        </x:is>
      </x:c>
      <x:c r="G48" s="17" t="inlineStr">
        <x:is>
          <x:t xml:space="preserve">Keyword value without compression</x:t>
        </x:is>
      </x:c>
      <x:c r="H48" s="17" t="inlineStr">
        <x:is>
          <x:t xml:space="preserve">Use sparse highlights; no word-by-word popping.</x:t>
        </x:is>
      </x:c>
    </x:row>
    <x:row r="49" ht="92" customHeight="1">
      <x:c r="A49" s="16" t="inlineStr">
        <x:is>
          <x:t xml:space="preserve">V08</x:t>
        </x:is>
      </x:c>
      <x:c r="B49" s="16" t="inlineStr">
        <x:is>
          <x:t xml:space="preserve">Coding</x:t>
        </x:is>
      </x:c>
      <x:c r="C49" s="16" t="inlineStr">
        <x:is>
          <x:t xml:space="preserve">C</x:t>
        </x:is>
      </x:c>
      <x:c r="D49" s="16" t="inlineStr">
        <x:is>
          <x:t xml:space="preserve">Semantic compression</x:t>
        </x:is>
      </x:c>
      <x:c r="E49" s="16" t="inlineStr">
        <x:is>
          <x:t xml:space="preserve">Not syntax.
Assumptions.
Test the belief.</x:t>
        </x:is>
      </x:c>
      <x:c r="F49" s="16" t="inlineStr">
        <x:is>
          <x:t xml:space="preserve">Meaning compressed into short beats.</x:t>
        </x:is>
      </x:c>
      <x:c r="G49" s="16" t="inlineStr">
        <x:is>
          <x:t xml:space="preserve">Compression-only control</x:t>
        </x:is>
      </x:c>
      <x:c r="H49" s="16" t="inlineStr">
        <x:is>
          <x:t xml:space="preserve">No bionic or special anchor styling.</x:t>
        </x:is>
      </x:c>
    </x:row>
    <x:row r="50" ht="92" customHeight="1">
      <x:c r="A50" s="17" t="inlineStr">
        <x:is>
          <x:t xml:space="preserve">V08</x:t>
        </x:is>
      </x:c>
      <x:c r="B50" s="17" t="inlineStr">
        <x:is>
          <x:t xml:space="preserve">Coding</x:t>
        </x:is>
      </x:c>
      <x:c r="C50" s="17" t="inlineStr">
        <x:is>
          <x:t xml:space="preserve">D</x:t>
        </x:is>
      </x:c>
      <x:c r="D50" s="17" t="inlineStr">
        <x:is>
          <x:t xml:space="preserve">BCC</x:t>
        </x:is>
      </x:c>
      <x:c r="E50" s="17" t="inlineStr">
        <x:is>
          <x:t xml:space="preserve">**Not** **syn**tax.
Assump**tions**.
Test the **belief**.</x:t>
        </x:is>
      </x:c>
      <x:c r="F50" s="17" t="inlineStr">
        <x:is>
          <x:t xml:space="preserve">Semantic compression + operator/concept anchors.</x:t>
        </x:is>
      </x:c>
      <x:c r="G50" s="17" t="inlineStr">
        <x:is>
          <x:t xml:space="preserve">Does bionic anchoring add value?</x:t>
        </x:is>
      </x:c>
      <x:c r="H50" s="17" t="inlineStr">
        <x:is>
          <x:t xml:space="preserve">Use 1–3 anchors per screen only.</x:t>
        </x:is>
      </x:c>
    </x:row>
    <x:row r="51" ht="92" customHeight="1">
      <x:c r="A51" s="16" t="inlineStr">
        <x:is>
          <x:t xml:space="preserve">V08</x:t>
        </x:is>
      </x:c>
      <x:c r="B51" s="16" t="inlineStr">
        <x:is>
          <x:t xml:space="preserve">Coding</x:t>
        </x:is>
      </x:c>
      <x:c r="C51" s="16" t="inlineStr">
        <x:is>
          <x:t xml:space="preserve">E</x:t>
        </x:is>
      </x:c>
      <x:c r="D51" s="16" t="inlineStr">
        <x:is>
          <x:t xml:space="preserve">BCC+</x:t>
        </x:is>
      </x:c>
      <x:c r="E51" s="16" t="inlineStr">
        <x:is>
          <x:t xml:space="preserve">**Not** **syn**tax.
Assump**tions**.
Test the **belief**.
Muted test: must be understandable without audio.
Placement: Screen recording; avoid cursor/line being edited; right-side annotation.</x:t>
        </x:is>
      </x:c>
      <x:c r="F51" s="16" t="inlineStr">
        <x:is>
          <x:t xml:space="preserve">BCC plus placement/adaptive density/muted-first notes.</x:t>
        </x:is>
      </x:c>
      <x:c r="G51" s="16" t="inlineStr">
        <x:is>
          <x:t xml:space="preserve">Does physiology-aware placement add value?</x:t>
        </x:is>
      </x:c>
      <x:c r="H51" s="16" t="inlineStr">
        <x:is>
          <x:t xml:space="preserve">Implement placement note, not just text content.</x:t>
        </x:is>
      </x:c>
    </x:row>
    <x:row r="52" ht="92" customHeight="1">
      <x:c r="A52" s="17" t="inlineStr">
        <x:is>
          <x:t xml:space="preserve">V08</x:t>
        </x:is>
      </x:c>
      <x:c r="B52" s="17" t="inlineStr">
        <x:is>
          <x:t xml:space="preserve">Coding</x:t>
        </x:is>
      </x:c>
      <x:c r="C52" s="17" t="inlineStr">
        <x:is>
          <x:t xml:space="preserve">F</x:t>
        </x:is>
      </x:c>
      <x:c r="D52" s="17" t="inlineStr">
        <x:is>
          <x:t xml:space="preserve">Heavy bionic</x:t>
        </x:is>
      </x:c>
      <x:c r="E52" s="17" t="inlineStr">
        <x:is>
          <x:t xml:space="preserve">**Mo**st **bu**gs are not **syn**tax **probl**ems. **Th**ey are **assum**ption **probl**ems. **Wri**te **do**wn **wh**at you **beli**eve the **co**de is **doi**ng, **th**en **te**st **tha**t....</x:t>
        </x:is>
      </x:c>
      <x:c r="F52" s="17" t="inlineStr">
        <x:is>
          <x:t xml:space="preserve">Stress-test/control: intentionally over-styled bionic text.</x:t>
        </x:is>
      </x:c>
      <x:c r="G52" s="17" t="inlineStr">
        <x:is>
          <x:t xml:space="preserve">Should reveal noise/overload cost</x:t>
        </x:is>
      </x:c>
      <x:c r="H52" s="17" t="inlineStr">
        <x:is>
          <x:t xml:space="preserve">Use as negative/control variant; do not publish as recommended style.</x:t>
        </x:is>
      </x:c>
    </x:row>
    <x:row r="53" ht="92" customHeight="1">
      <x:c r="A53" s="16" t="inlineStr">
        <x:is>
          <x:t xml:space="preserve">V09</x:t>
        </x:is>
      </x:c>
      <x:c r="B53" s="16" t="inlineStr">
        <x:is>
          <x:t xml:space="preserve">Sleep habit</x:t>
        </x:is>
      </x:c>
      <x:c r="C53" s="16" t="inlineStr">
        <x:is>
          <x:t xml:space="preserve">A</x:t>
        </x:is>
      </x:c>
      <x:c r="D53" s="16" t="inlineStr">
        <x:is>
          <x:t xml:space="preserve">Full transcript</x:t>
        </x:is>
      </x:c>
      <x:c r="E53" s="16" t="inlineStr">
        <x:is>
          <x:t xml:space="preserve">The problem is not that you need a perfect night routine. The problem is that your wake time keeps moving.</x:t>
        </x:is>
      </x:c>
      <x:c r="F53" s="16" t="inlineStr">
        <x:is>
          <x:t xml:space="preserve">Baseline exact wording; may overload visual channel.</x:t>
        </x:is>
      </x:c>
      <x:c r="G53" s="16" t="inlineStr">
        <x:is>
          <x:t xml:space="preserve">Exact recall; accessibility-like readability</x:t>
        </x:is>
      </x:c>
      <x:c r="H53" s="16" t="inlineStr">
        <x:is>
          <x:t xml:space="preserve">Do not style beyond normal captions.</x:t>
        </x:is>
      </x:c>
    </x:row>
    <x:row r="54" ht="92" customHeight="1">
      <x:c r="A54" s="17" t="inlineStr">
        <x:is>
          <x:t xml:space="preserve">V09</x:t>
        </x:is>
      </x:c>
      <x:c r="B54" s="17" t="inlineStr">
        <x:is>
          <x:t xml:space="preserve">Sleep habit</x:t>
        </x:is>
      </x:c>
      <x:c r="C54" s="17" t="inlineStr">
        <x:is>
          <x:t xml:space="preserve">B</x:t>
        </x:is>
      </x:c>
      <x:c r="D54" s="17" t="inlineStr">
        <x:is>
          <x:t xml:space="preserve">Keyword highlight</x:t>
        </x:is>
      </x:c>
      <x:c r="E54" s="17" t="inlineStr">
        <x:is>
          <x:t xml:space="preserve">The problem is not that you need a perfect night routine. The problem is that your **wake time** keeps moving.</x:t>
        </x:is>
      </x:c>
      <x:c r="F54" s="17" t="inlineStr">
        <x:is>
          <x:t xml:space="preserve">Transcript with selected keywords emphasized.</x:t>
        </x:is>
      </x:c>
      <x:c r="G54" s="17" t="inlineStr">
        <x:is>
          <x:t xml:space="preserve">Keyword value without compression</x:t>
        </x:is>
      </x:c>
      <x:c r="H54" s="17" t="inlineStr">
        <x:is>
          <x:t xml:space="preserve">Use sparse highlights; no word-by-word popping.</x:t>
        </x:is>
      </x:c>
    </x:row>
    <x:row r="55" ht="92" customHeight="1">
      <x:c r="A55" s="16" t="inlineStr">
        <x:is>
          <x:t xml:space="preserve">V09</x:t>
        </x:is>
      </x:c>
      <x:c r="B55" s="16" t="inlineStr">
        <x:is>
          <x:t xml:space="preserve">Sleep habit</x:t>
        </x:is>
      </x:c>
      <x:c r="C55" s="16" t="inlineStr">
        <x:is>
          <x:t xml:space="preserve">C</x:t>
        </x:is>
      </x:c>
      <x:c r="D55" s="16" t="inlineStr">
        <x:is>
          <x:t xml:space="preserve">Semantic compression</x:t>
        </x:is>
      </x:c>
      <x:c r="E55" s="16" t="inlineStr">
        <x:is>
          <x:t xml:space="preserve">Not perfect routine.
Fixed wake time.</x:t>
        </x:is>
      </x:c>
      <x:c r="F55" s="16" t="inlineStr">
        <x:is>
          <x:t xml:space="preserve">Meaning compressed into short beats.</x:t>
        </x:is>
      </x:c>
      <x:c r="G55" s="16" t="inlineStr">
        <x:is>
          <x:t xml:space="preserve">Compression-only control</x:t>
        </x:is>
      </x:c>
      <x:c r="H55" s="16" t="inlineStr">
        <x:is>
          <x:t xml:space="preserve">No bionic or special anchor styling.</x:t>
        </x:is>
      </x:c>
    </x:row>
    <x:row r="56" ht="92" customHeight="1">
      <x:c r="A56" s="17" t="inlineStr">
        <x:is>
          <x:t xml:space="preserve">V09</x:t>
        </x:is>
      </x:c>
      <x:c r="B56" s="17" t="inlineStr">
        <x:is>
          <x:t xml:space="preserve">Sleep habit</x:t>
        </x:is>
      </x:c>
      <x:c r="C56" s="17" t="inlineStr">
        <x:is>
          <x:t xml:space="preserve">D</x:t>
        </x:is>
      </x:c>
      <x:c r="D56" s="17" t="inlineStr">
        <x:is>
          <x:t xml:space="preserve">BCC</x:t>
        </x:is>
      </x:c>
      <x:c r="E56" s="17" t="inlineStr">
        <x:is>
          <x:t xml:space="preserve">**Not** perfect **rou**tine.
Fixed **wake** time.</x:t>
        </x:is>
      </x:c>
      <x:c r="F56" s="17" t="inlineStr">
        <x:is>
          <x:t xml:space="preserve">Semantic compression + operator/concept anchors.</x:t>
        </x:is>
      </x:c>
      <x:c r="G56" s="17" t="inlineStr">
        <x:is>
          <x:t xml:space="preserve">Does bionic anchoring add value?</x:t>
        </x:is>
      </x:c>
      <x:c r="H56" s="17" t="inlineStr">
        <x:is>
          <x:t xml:space="preserve">Use 1–3 anchors per screen only.</x:t>
        </x:is>
      </x:c>
    </x:row>
    <x:row r="57" ht="92" customHeight="1">
      <x:c r="A57" s="16" t="inlineStr">
        <x:is>
          <x:t xml:space="preserve">V09</x:t>
        </x:is>
      </x:c>
      <x:c r="B57" s="16" t="inlineStr">
        <x:is>
          <x:t xml:space="preserve">Sleep habit</x:t>
        </x:is>
      </x:c>
      <x:c r="C57" s="16" t="inlineStr">
        <x:is>
          <x:t xml:space="preserve">E</x:t>
        </x:is>
      </x:c>
      <x:c r="D57" s="16" t="inlineStr">
        <x:is>
          <x:t xml:space="preserve">BCC+</x:t>
        </x:is>
      </x:c>
      <x:c r="E57" s="16" t="inlineStr">
        <x:is>
          <x:t xml:space="preserve">**Not** perfect **rou**tine.
Fixed **wake** time.
Muted test: must be understandable without audio.
Placement: General behavior content; avoid medical promises; low-motion text.</x:t>
        </x:is>
      </x:c>
      <x:c r="F57" s="16" t="inlineStr">
        <x:is>
          <x:t xml:space="preserve">BCC plus placement/adaptive density/muted-first notes.</x:t>
        </x:is>
      </x:c>
      <x:c r="G57" s="16" t="inlineStr">
        <x:is>
          <x:t xml:space="preserve">Does physiology-aware placement add value?</x:t>
        </x:is>
      </x:c>
      <x:c r="H57" s="16" t="inlineStr">
        <x:is>
          <x:t xml:space="preserve">Implement placement note, not just text content.</x:t>
        </x:is>
      </x:c>
    </x:row>
    <x:row r="58" ht="92" customHeight="1">
      <x:c r="A58" s="17" t="inlineStr">
        <x:is>
          <x:t xml:space="preserve">V09</x:t>
        </x:is>
      </x:c>
      <x:c r="B58" s="17" t="inlineStr">
        <x:is>
          <x:t xml:space="preserve">Sleep habit</x:t>
        </x:is>
      </x:c>
      <x:c r="C58" s="17" t="inlineStr">
        <x:is>
          <x:t xml:space="preserve">F</x:t>
        </x:is>
      </x:c>
      <x:c r="D58" s="17" t="inlineStr">
        <x:is>
          <x:t xml:space="preserve">Heavy bionic</x:t>
        </x:is>
      </x:c>
      <x:c r="E58" s="17" t="inlineStr">
        <x:is>
          <x:t xml:space="preserve">The **prob**lem is not **th**at you **ne**ed a **perf**ect **nig**ht **rout**ine. The **prob**lem is **th**at **yo**ur **wa**ke **ti**me **kee**ps **movi**ng....</x:t>
        </x:is>
      </x:c>
      <x:c r="F58" s="17" t="inlineStr">
        <x:is>
          <x:t xml:space="preserve">Stress-test/control: intentionally over-styled bionic text.</x:t>
        </x:is>
      </x:c>
      <x:c r="G58" s="17" t="inlineStr">
        <x:is>
          <x:t xml:space="preserve">Should reveal noise/overload cost</x:t>
        </x:is>
      </x:c>
      <x:c r="H58" s="17" t="inlineStr">
        <x:is>
          <x:t xml:space="preserve">Use as negative/control variant; do not publish as recommended style.</x:t>
        </x:is>
      </x:c>
    </x:row>
    <x:row r="59" ht="92" customHeight="1">
      <x:c r="A59" s="16" t="inlineStr">
        <x:is>
          <x:t xml:space="preserve">V10</x:t>
        </x:is>
      </x:c>
      <x:c r="B59" s="16" t="inlineStr">
        <x:is>
          <x:t xml:space="preserve">Product demo</x:t>
        </x:is>
      </x:c>
      <x:c r="C59" s="16" t="inlineStr">
        <x:is>
          <x:t xml:space="preserve">A</x:t>
        </x:is>
      </x:c>
      <x:c r="D59" s="16" t="inlineStr">
        <x:is>
          <x:t xml:space="preserve">Full transcript</x:t>
        </x:is>
      </x:c>
      <x:c r="E59" s="16" t="inlineStr">
        <x:is>
          <x:t xml:space="preserve">The mistake is pulling before the latch is fully turned. Turn until it clicks, then pull.</x:t>
        </x:is>
      </x:c>
      <x:c r="F59" s="16" t="inlineStr">
        <x:is>
          <x:t xml:space="preserve">Baseline exact wording; may overload visual channel.</x:t>
        </x:is>
      </x:c>
      <x:c r="G59" s="16" t="inlineStr">
        <x:is>
          <x:t xml:space="preserve">Exact recall; accessibility-like readability</x:t>
        </x:is>
      </x:c>
      <x:c r="H59" s="16" t="inlineStr">
        <x:is>
          <x:t xml:space="preserve">Do not style beyond normal captions.</x:t>
        </x:is>
      </x:c>
    </x:row>
    <x:row r="60" ht="92" customHeight="1">
      <x:c r="A60" s="17" t="inlineStr">
        <x:is>
          <x:t xml:space="preserve">V10</x:t>
        </x:is>
      </x:c>
      <x:c r="B60" s="17" t="inlineStr">
        <x:is>
          <x:t xml:space="preserve">Product demo</x:t>
        </x:is>
      </x:c>
      <x:c r="C60" s="17" t="inlineStr">
        <x:is>
          <x:t xml:space="preserve">B</x:t>
        </x:is>
      </x:c>
      <x:c r="D60" s="17" t="inlineStr">
        <x:is>
          <x:t xml:space="preserve">Keyword highlight</x:t>
        </x:is>
      </x:c>
      <x:c r="E60" s="17" t="inlineStr">
        <x:is>
          <x:t xml:space="preserve">The mistake is pulling before the latch is fully turned. Turn until it **clicks**, then pull.</x:t>
        </x:is>
      </x:c>
      <x:c r="F60" s="17" t="inlineStr">
        <x:is>
          <x:t xml:space="preserve">Transcript with selected keywords emphasized.</x:t>
        </x:is>
      </x:c>
      <x:c r="G60" s="17" t="inlineStr">
        <x:is>
          <x:t xml:space="preserve">Keyword value without compression</x:t>
        </x:is>
      </x:c>
      <x:c r="H60" s="17" t="inlineStr">
        <x:is>
          <x:t xml:space="preserve">Use sparse highlights; no word-by-word popping.</x:t>
        </x:is>
      </x:c>
    </x:row>
    <x:row r="61" ht="92" customHeight="1">
      <x:c r="A61" s="16" t="inlineStr">
        <x:is>
          <x:t xml:space="preserve">V10</x:t>
        </x:is>
      </x:c>
      <x:c r="B61" s="16" t="inlineStr">
        <x:is>
          <x:t xml:space="preserve">Product demo</x:t>
        </x:is>
      </x:c>
      <x:c r="C61" s="16" t="inlineStr">
        <x:is>
          <x:t xml:space="preserve">C</x:t>
        </x:is>
      </x:c>
      <x:c r="D61" s="16" t="inlineStr">
        <x:is>
          <x:t xml:space="preserve">Semantic compression</x:t>
        </x:is>
      </x:c>
      <x:c r="E61" s="16" t="inlineStr">
        <x:is>
          <x:t xml:space="preserve">Turn until click.
Then pull.</x:t>
        </x:is>
      </x:c>
      <x:c r="F61" s="16" t="inlineStr">
        <x:is>
          <x:t xml:space="preserve">Meaning compressed into short beats.</x:t>
        </x:is>
      </x:c>
      <x:c r="G61" s="16" t="inlineStr">
        <x:is>
          <x:t xml:space="preserve">Compression-only control</x:t>
        </x:is>
      </x:c>
      <x:c r="H61" s="16" t="inlineStr">
        <x:is>
          <x:t xml:space="preserve">No bionic or special anchor styling.</x:t>
        </x:is>
      </x:c>
    </x:row>
    <x:row r="62" ht="92" customHeight="1">
      <x:c r="A62" s="17" t="inlineStr">
        <x:is>
          <x:t xml:space="preserve">V10</x:t>
        </x:is>
      </x:c>
      <x:c r="B62" s="17" t="inlineStr">
        <x:is>
          <x:t xml:space="preserve">Product demo</x:t>
        </x:is>
      </x:c>
      <x:c r="C62" s="17" t="inlineStr">
        <x:is>
          <x:t xml:space="preserve">D</x:t>
        </x:is>
      </x:c>
      <x:c r="D62" s="17" t="inlineStr">
        <x:is>
          <x:t xml:space="preserve">BCC</x:t>
        </x:is>
      </x:c>
      <x:c r="E62" s="17" t="inlineStr">
        <x:is>
          <x:t xml:space="preserve">**Turn** until **click**.
**Then** pull.</x:t>
        </x:is>
      </x:c>
      <x:c r="F62" s="17" t="inlineStr">
        <x:is>
          <x:t xml:space="preserve">Semantic compression + operator/concept anchors.</x:t>
        </x:is>
      </x:c>
      <x:c r="G62" s="17" t="inlineStr">
        <x:is>
          <x:t xml:space="preserve">Does bionic anchoring add value?</x:t>
        </x:is>
      </x:c>
      <x:c r="H62" s="17" t="inlineStr">
        <x:is>
          <x:t xml:space="preserve">Use 1–3 anchors per screen only.</x:t>
        </x:is>
      </x:c>
    </x:row>
    <x:row r="63" ht="92" customHeight="1">
      <x:c r="A63" s="16" t="inlineStr">
        <x:is>
          <x:t xml:space="preserve">V10</x:t>
        </x:is>
      </x:c>
      <x:c r="B63" s="16" t="inlineStr">
        <x:is>
          <x:t xml:space="preserve">Product demo</x:t>
        </x:is>
      </x:c>
      <x:c r="C63" s="16" t="inlineStr">
        <x:is>
          <x:t xml:space="preserve">E</x:t>
        </x:is>
      </x:c>
      <x:c r="D63" s="16" t="inlineStr">
        <x:is>
          <x:t xml:space="preserve">BCC+</x:t>
        </x:is>
      </x:c>
      <x:c r="E63" s="16" t="inlineStr">
        <x:is>
          <x:t xml:space="preserve">**Turn** until **click**.
**Then** pull.
Muted test: must be understandable without audio.
Placement: Object/hands primary; labels only; no mouth issue if voiceover.</x:t>
        </x:is>
      </x:c>
      <x:c r="F63" s="16" t="inlineStr">
        <x:is>
          <x:t xml:space="preserve">BCC plus placement/adaptive density/muted-first notes.</x:t>
        </x:is>
      </x:c>
      <x:c r="G63" s="16" t="inlineStr">
        <x:is>
          <x:t xml:space="preserve">Does physiology-aware placement add value?</x:t>
        </x:is>
      </x:c>
      <x:c r="H63" s="16" t="inlineStr">
        <x:is>
          <x:t xml:space="preserve">Implement placement note, not just text content.</x:t>
        </x:is>
      </x:c>
    </x:row>
    <x:row r="64" ht="92" customHeight="1">
      <x:c r="A64" s="17" t="inlineStr">
        <x:is>
          <x:t xml:space="preserve">V10</x:t>
        </x:is>
      </x:c>
      <x:c r="B64" s="17" t="inlineStr">
        <x:is>
          <x:t xml:space="preserve">Product demo</x:t>
        </x:is>
      </x:c>
      <x:c r="C64" s="17" t="inlineStr">
        <x:is>
          <x:t xml:space="preserve">F</x:t>
        </x:is>
      </x:c>
      <x:c r="D64" s="17" t="inlineStr">
        <x:is>
          <x:t xml:space="preserve">Heavy bionic</x:t>
        </x:is>
      </x:c>
      <x:c r="E64" s="17" t="inlineStr">
        <x:is>
          <x:t xml:space="preserve">The **mist**ake is **pull**ing **bef**ore the **lat**ch is **ful**ly **turn**ed. **Tu**rn **unt**il it **clic**ks, **th**en **pul**l....</x:t>
        </x:is>
      </x:c>
      <x:c r="F64" s="17" t="inlineStr">
        <x:is>
          <x:t xml:space="preserve">Stress-test/control: intentionally over-styled bionic text.</x:t>
        </x:is>
      </x:c>
      <x:c r="G64" s="17" t="inlineStr">
        <x:is>
          <x:t xml:space="preserve">Should reveal noise/overload cost</x:t>
        </x:is>
      </x:c>
      <x:c r="H64" s="17" t="inlineStr">
        <x:is>
          <x:t xml:space="preserve">Use as negative/control variant; do not publish as recommended style.</x:t>
        </x:is>
      </x:c>
    </x:row>
    <x:row r="65" ht="92" customHeight="1">
      <x:c r="A65" s="16" t="inlineStr">
        <x:is>
          <x:t xml:space="preserve">V11</x:t>
        </x:is>
      </x:c>
      <x:c r="B65" s="16" t="inlineStr">
        <x:is>
          <x:t xml:space="preserve">Creator strategy</x:t>
        </x:is>
      </x:c>
      <x:c r="C65" s="16" t="inlineStr">
        <x:is>
          <x:t xml:space="preserve">A</x:t>
        </x:is>
      </x:c>
      <x:c r="D65" s="16" t="inlineStr">
        <x:is>
          <x:t xml:space="preserve">Full transcript</x:t>
        </x:is>
      </x:c>
      <x:c r="E65" s="16" t="inlineStr">
        <x:is>
          <x:t xml:space="preserve">You do not need a louder hook. You need a faster payoff. The viewer stays when the promise starts paying immediately.</x:t>
        </x:is>
      </x:c>
      <x:c r="F65" s="16" t="inlineStr">
        <x:is>
          <x:t xml:space="preserve">Baseline exact wording; may overload visual channel.</x:t>
        </x:is>
      </x:c>
      <x:c r="G65" s="16" t="inlineStr">
        <x:is>
          <x:t xml:space="preserve">Exact recall; accessibility-like readability</x:t>
        </x:is>
      </x:c>
      <x:c r="H65" s="16" t="inlineStr">
        <x:is>
          <x:t xml:space="preserve">Do not style beyond normal captions.</x:t>
        </x:is>
      </x:c>
    </x:row>
    <x:row r="66" ht="92" customHeight="1">
      <x:c r="A66" s="17" t="inlineStr">
        <x:is>
          <x:t xml:space="preserve">V11</x:t>
        </x:is>
      </x:c>
      <x:c r="B66" s="17" t="inlineStr">
        <x:is>
          <x:t xml:space="preserve">Creator strategy</x:t>
        </x:is>
      </x:c>
      <x:c r="C66" s="17" t="inlineStr">
        <x:is>
          <x:t xml:space="preserve">B</x:t>
        </x:is>
      </x:c>
      <x:c r="D66" s="17" t="inlineStr">
        <x:is>
          <x:t xml:space="preserve">Keyword highlight</x:t>
        </x:is>
      </x:c>
      <x:c r="E66" s="17" t="inlineStr">
        <x:is>
          <x:t xml:space="preserve">You do not need a louder **hook**. You need a faster **payoff**. The viewer stays when the promise starts paying immediately.</x:t>
        </x:is>
      </x:c>
      <x:c r="F66" s="17" t="inlineStr">
        <x:is>
          <x:t xml:space="preserve">Transcript with selected keywords emphasized.</x:t>
        </x:is>
      </x:c>
      <x:c r="G66" s="17" t="inlineStr">
        <x:is>
          <x:t xml:space="preserve">Keyword value without compression</x:t>
        </x:is>
      </x:c>
      <x:c r="H66" s="17" t="inlineStr">
        <x:is>
          <x:t xml:space="preserve">Use sparse highlights; no word-by-word popping.</x:t>
        </x:is>
      </x:c>
    </x:row>
    <x:row r="67" ht="92" customHeight="1">
      <x:c r="A67" s="16" t="inlineStr">
        <x:is>
          <x:t xml:space="preserve">V11</x:t>
        </x:is>
      </x:c>
      <x:c r="B67" s="16" t="inlineStr">
        <x:is>
          <x:t xml:space="preserve">Creator strategy</x:t>
        </x:is>
      </x:c>
      <x:c r="C67" s="16" t="inlineStr">
        <x:is>
          <x:t xml:space="preserve">C</x:t>
        </x:is>
      </x:c>
      <x:c r="D67" s="16" t="inlineStr">
        <x:is>
          <x:t xml:space="preserve">Semantic compression</x:t>
        </x:is>
      </x:c>
      <x:c r="E67" s="16" t="inlineStr">
        <x:is>
          <x:t xml:space="preserve">Not louder hook.
Faster payoff.</x:t>
        </x:is>
      </x:c>
      <x:c r="F67" s="16" t="inlineStr">
        <x:is>
          <x:t xml:space="preserve">Meaning compressed into short beats.</x:t>
        </x:is>
      </x:c>
      <x:c r="G67" s="16" t="inlineStr">
        <x:is>
          <x:t xml:space="preserve">Compression-only control</x:t>
        </x:is>
      </x:c>
      <x:c r="H67" s="16" t="inlineStr">
        <x:is>
          <x:t xml:space="preserve">No bionic or special anchor styling.</x:t>
        </x:is>
      </x:c>
    </x:row>
    <x:row r="68" ht="92" customHeight="1">
      <x:c r="A68" s="17" t="inlineStr">
        <x:is>
          <x:t xml:space="preserve">V11</x:t>
        </x:is>
      </x:c>
      <x:c r="B68" s="17" t="inlineStr">
        <x:is>
          <x:t xml:space="preserve">Creator strategy</x:t>
        </x:is>
      </x:c>
      <x:c r="C68" s="17" t="inlineStr">
        <x:is>
          <x:t xml:space="preserve">D</x:t>
        </x:is>
      </x:c>
      <x:c r="D68" s="17" t="inlineStr">
        <x:is>
          <x:t xml:space="preserve">BCC</x:t>
        </x:is>
      </x:c>
      <x:c r="E68" s="17" t="inlineStr">
        <x:is>
          <x:t xml:space="preserve">**Not** louder **hook**.
Faster **pay**off.</x:t>
        </x:is>
      </x:c>
      <x:c r="F68" s="17" t="inlineStr">
        <x:is>
          <x:t xml:space="preserve">Semantic compression + operator/concept anchors.</x:t>
        </x:is>
      </x:c>
      <x:c r="G68" s="17" t="inlineStr">
        <x:is>
          <x:t xml:space="preserve">Does bionic anchoring add value?</x:t>
        </x:is>
      </x:c>
      <x:c r="H68" s="17" t="inlineStr">
        <x:is>
          <x:t xml:space="preserve">Use 1–3 anchors per screen only.</x:t>
        </x:is>
      </x:c>
    </x:row>
    <x:row r="69" ht="92" customHeight="1">
      <x:c r="A69" s="16" t="inlineStr">
        <x:is>
          <x:t xml:space="preserve">V11</x:t>
        </x:is>
      </x:c>
      <x:c r="B69" s="16" t="inlineStr">
        <x:is>
          <x:t xml:space="preserve">Creator strategy</x:t>
        </x:is>
      </x:c>
      <x:c r="C69" s="16" t="inlineStr">
        <x:is>
          <x:t xml:space="preserve">E</x:t>
        </x:is>
      </x:c>
      <x:c r="D69" s="16" t="inlineStr">
        <x:is>
          <x:t xml:space="preserve">BCC+</x:t>
        </x:is>
      </x:c>
      <x:c r="E69" s="16" t="inlineStr">
        <x:is>
          <x:t xml:space="preserve">**Not** louder **hook**.
Faster **pay**off.
Muted test: must be understandable without audio.
Placement: Text itself is content; place as hook card then payoff card.</x:t>
        </x:is>
      </x:c>
      <x:c r="F69" s="16" t="inlineStr">
        <x:is>
          <x:t xml:space="preserve">BCC plus placement/adaptive density/muted-first notes.</x:t>
        </x:is>
      </x:c>
      <x:c r="G69" s="16" t="inlineStr">
        <x:is>
          <x:t xml:space="preserve">Does physiology-aware placement add value?</x:t>
        </x:is>
      </x:c>
      <x:c r="H69" s="16" t="inlineStr">
        <x:is>
          <x:t xml:space="preserve">Implement placement note, not just text content.</x:t>
        </x:is>
      </x:c>
    </x:row>
    <x:row r="70" ht="92" customHeight="1">
      <x:c r="A70" s="17" t="inlineStr">
        <x:is>
          <x:t xml:space="preserve">V11</x:t>
        </x:is>
      </x:c>
      <x:c r="B70" s="17" t="inlineStr">
        <x:is>
          <x:t xml:space="preserve">Creator strategy</x:t>
        </x:is>
      </x:c>
      <x:c r="C70" s="17" t="inlineStr">
        <x:is>
          <x:t xml:space="preserve">F</x:t>
        </x:is>
      </x:c>
      <x:c r="D70" s="17" t="inlineStr">
        <x:is>
          <x:t xml:space="preserve">Heavy bionic</x:t>
        </x:is>
      </x:c>
      <x:c r="E70" s="17" t="inlineStr">
        <x:is>
          <x:t xml:space="preserve">You do not **ne**ed a **lou**der **hoo**k. You **ne**ed a **fas**ter **payo**ff. The **vie**wer **sta**ys **wh**en the **prom**ise **sta**rts **pay**ing **immedi**ately....</x:t>
        </x:is>
      </x:c>
      <x:c r="F70" s="17" t="inlineStr">
        <x:is>
          <x:t xml:space="preserve">Stress-test/control: intentionally over-styled bionic text.</x:t>
        </x:is>
      </x:c>
      <x:c r="G70" s="17" t="inlineStr">
        <x:is>
          <x:t xml:space="preserve">Should reveal noise/overload cost</x:t>
        </x:is>
      </x:c>
      <x:c r="H70" s="17" t="inlineStr">
        <x:is>
          <x:t xml:space="preserve">Use as negative/control variant; do not publish as recommended style.</x:t>
        </x:is>
      </x:c>
    </x:row>
    <x:row r="71" ht="92" customHeight="1">
      <x:c r="A71" s="16" t="inlineStr">
        <x:is>
          <x:t xml:space="preserve">V12</x:t>
        </x:is>
      </x:c>
      <x:c r="B71" s="16" t="inlineStr">
        <x:is>
          <x:t xml:space="preserve">Time management</x:t>
        </x:is>
      </x:c>
      <x:c r="C71" s="16" t="inlineStr">
        <x:is>
          <x:t xml:space="preserve">A</x:t>
        </x:is>
      </x:c>
      <x:c r="D71" s="16" t="inlineStr">
        <x:is>
          <x:t xml:space="preserve">Full transcript</x:t>
        </x:is>
      </x:c>
      <x:c r="E71" s="16" t="inlineStr">
        <x:is>
          <x:t xml:space="preserve">Too many priorities means no priority. Pick the next constraint and sequence everything around it.</x:t>
        </x:is>
      </x:c>
      <x:c r="F71" s="16" t="inlineStr">
        <x:is>
          <x:t xml:space="preserve">Baseline exact wording; may overload visual channel.</x:t>
        </x:is>
      </x:c>
      <x:c r="G71" s="16" t="inlineStr">
        <x:is>
          <x:t xml:space="preserve">Exact recall; accessibility-like readability</x:t>
        </x:is>
      </x:c>
      <x:c r="H71" s="16" t="inlineStr">
        <x:is>
          <x:t xml:space="preserve">Do not style beyond normal captions.</x:t>
        </x:is>
      </x:c>
    </x:row>
    <x:row r="72" ht="92" customHeight="1">
      <x:c r="A72" s="17" t="inlineStr">
        <x:is>
          <x:t xml:space="preserve">V12</x:t>
        </x:is>
      </x:c>
      <x:c r="B72" s="17" t="inlineStr">
        <x:is>
          <x:t xml:space="preserve">Time management</x:t>
        </x:is>
      </x:c>
      <x:c r="C72" s="17" t="inlineStr">
        <x:is>
          <x:t xml:space="preserve">B</x:t>
        </x:is>
      </x:c>
      <x:c r="D72" s="17" t="inlineStr">
        <x:is>
          <x:t xml:space="preserve">Keyword highlight</x:t>
        </x:is>
      </x:c>
      <x:c r="E72" s="17" t="inlineStr">
        <x:is>
          <x:t xml:space="preserve">Too many priorities means no **priority**. Pick the next **constraint** and sequence everything around it.</x:t>
        </x:is>
      </x:c>
      <x:c r="F72" s="17" t="inlineStr">
        <x:is>
          <x:t xml:space="preserve">Transcript with selected keywords emphasized.</x:t>
        </x:is>
      </x:c>
      <x:c r="G72" s="17" t="inlineStr">
        <x:is>
          <x:t xml:space="preserve">Keyword value without compression</x:t>
        </x:is>
      </x:c>
      <x:c r="H72" s="17" t="inlineStr">
        <x:is>
          <x:t xml:space="preserve">Use sparse highlights; no word-by-word popping.</x:t>
        </x:is>
      </x:c>
    </x:row>
    <x:row r="73" ht="92" customHeight="1">
      <x:c r="A73" s="16" t="inlineStr">
        <x:is>
          <x:t xml:space="preserve">V12</x:t>
        </x:is>
      </x:c>
      <x:c r="B73" s="16" t="inlineStr">
        <x:is>
          <x:t xml:space="preserve">Time management</x:t>
        </x:is>
      </x:c>
      <x:c r="C73" s="16" t="inlineStr">
        <x:is>
          <x:t xml:space="preserve">C</x:t>
        </x:is>
      </x:c>
      <x:c r="D73" s="16" t="inlineStr">
        <x:is>
          <x:t xml:space="preserve">Semantic compression</x:t>
        </x:is>
      </x:c>
      <x:c r="E73" s="16" t="inlineStr">
        <x:is>
          <x:t xml:space="preserve">Too many priorities.
Pick one constraint.
Sequence around it.</x:t>
        </x:is>
      </x:c>
      <x:c r="F73" s="16" t="inlineStr">
        <x:is>
          <x:t xml:space="preserve">Meaning compressed into short beats.</x:t>
        </x:is>
      </x:c>
      <x:c r="G73" s="16" t="inlineStr">
        <x:is>
          <x:t xml:space="preserve">Compression-only control</x:t>
        </x:is>
      </x:c>
      <x:c r="H73" s="16" t="inlineStr">
        <x:is>
          <x:t xml:space="preserve">No bionic or special anchor styling.</x:t>
        </x:is>
      </x:c>
    </x:row>
    <x:row r="74" ht="92" customHeight="1">
      <x:c r="A74" s="17" t="inlineStr">
        <x:is>
          <x:t xml:space="preserve">V12</x:t>
        </x:is>
      </x:c>
      <x:c r="B74" s="17" t="inlineStr">
        <x:is>
          <x:t xml:space="preserve">Time management</x:t>
        </x:is>
      </x:c>
      <x:c r="C74" s="17" t="inlineStr">
        <x:is>
          <x:t xml:space="preserve">D</x:t>
        </x:is>
      </x:c>
      <x:c r="D74" s="17" t="inlineStr">
        <x:is>
          <x:t xml:space="preserve">BCC</x:t>
        </x:is>
      </x:c>
      <x:c r="E74" s="17" t="inlineStr">
        <x:is>
          <x:t xml:space="preserve">Too many **prior**ities.
Pick one **constraint**.
**Seq**uence around it.</x:t>
        </x:is>
      </x:c>
      <x:c r="F74" s="17" t="inlineStr">
        <x:is>
          <x:t xml:space="preserve">Semantic compression + operator/concept anchors.</x:t>
        </x:is>
      </x:c>
      <x:c r="G74" s="17" t="inlineStr">
        <x:is>
          <x:t xml:space="preserve">Does bionic anchoring add value?</x:t>
        </x:is>
      </x:c>
      <x:c r="H74" s="17" t="inlineStr">
        <x:is>
          <x:t xml:space="preserve">Use 1–3 anchors per screen only.</x:t>
        </x:is>
      </x:c>
    </x:row>
    <x:row r="75" ht="92" customHeight="1">
      <x:c r="A75" s="16" t="inlineStr">
        <x:is>
          <x:t xml:space="preserve">V12</x:t>
        </x:is>
      </x:c>
      <x:c r="B75" s="16" t="inlineStr">
        <x:is>
          <x:t xml:space="preserve">Time management</x:t>
        </x:is>
      </x:c>
      <x:c r="C75" s="16" t="inlineStr">
        <x:is>
          <x:t xml:space="preserve">E</x:t>
        </x:is>
      </x:c>
      <x:c r="D75" s="16" t="inlineStr">
        <x:is>
          <x:t xml:space="preserve">BCC+</x:t>
        </x:is>
      </x:c>
      <x:c r="E75" s="16" t="inlineStr">
        <x:is>
          <x:t xml:space="preserve">Too many **prior**ities.
Pick one **constraint**.
**Seq**uence around it.
Muted test: must be understandable without audio.
Placement: Calendar visual; avoid covering dates; use top-left or side labels.</x:t>
        </x:is>
      </x:c>
      <x:c r="F75" s="16" t="inlineStr">
        <x:is>
          <x:t xml:space="preserve">BCC plus placement/adaptive density/muted-first notes.</x:t>
        </x:is>
      </x:c>
      <x:c r="G75" s="16" t="inlineStr">
        <x:is>
          <x:t xml:space="preserve">Does physiology-aware placement add value?</x:t>
        </x:is>
      </x:c>
      <x:c r="H75" s="16" t="inlineStr">
        <x:is>
          <x:t xml:space="preserve">Implement placement note, not just text content.</x:t>
        </x:is>
      </x:c>
    </x:row>
    <x:row r="76" ht="92" customHeight="1">
      <x:c r="A76" s="17" t="inlineStr">
        <x:is>
          <x:t xml:space="preserve">V12</x:t>
        </x:is>
      </x:c>
      <x:c r="B76" s="17" t="inlineStr">
        <x:is>
          <x:t xml:space="preserve">Time management</x:t>
        </x:is>
      </x:c>
      <x:c r="C76" s="17" t="inlineStr">
        <x:is>
          <x:t xml:space="preserve">F</x:t>
        </x:is>
      </x:c>
      <x:c r="D76" s="17" t="inlineStr">
        <x:is>
          <x:t xml:space="preserve">Heavy bionic</x:t>
        </x:is>
      </x:c>
      <x:c r="E76" s="17" t="inlineStr">
        <x:is>
          <x:t xml:space="preserve">Too **ma**ny **prior**ities **mea**ns no **prior**ity. **Pi**ck the **ne**xt **const**raint and **sequ**ence **every**thing **aro**und it....</x:t>
        </x:is>
      </x:c>
      <x:c r="F76" s="17" t="inlineStr">
        <x:is>
          <x:t xml:space="preserve">Stress-test/control: intentionally over-styled bionic text.</x:t>
        </x:is>
      </x:c>
      <x:c r="G76" s="17" t="inlineStr">
        <x:is>
          <x:t xml:space="preserve">Should reveal noise/overload cost</x:t>
        </x:is>
      </x:c>
      <x:c r="H76" s="17" t="inlineStr">
        <x:is>
          <x:t xml:space="preserve">Use as negative/control variant; do not publish as recommended style.</x:t>
        </x:is>
      </x:c>
    </x:row>
  </x:sheetData>
  <x:mergeCells>
    <x:mergeCell ref="A1:I1"/>
    <x:mergeCell ref="A2:I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14" customWidth="1"/>
    <x:col min="2" max="2" width="8" customWidth="1"/>
    <x:col min="3" max="3" width="10" customWidth="1"/>
    <x:col min="4" max="4" width="10" customWidth="1"/>
    <x:col min="5" max="5" width="16" customWidth="1"/>
    <x:col min="6" max="6" width="24" customWidth="1"/>
    <x:col min="7" max="7" width="12" customWidth="1"/>
    <x:col min="8" max="8" width="28" customWidth="1"/>
    <x:col min="9" max="9" width="24" customWidth="1"/>
  </x:cols>
  <x:sheetData>
    <x:row r="1" ht="24" customHeight="1">
      <x:c r="A1" s="14" t="inlineStr">
        <x:is>
          <x:t xml:space="preserve">Trial Randomization — 48 Participant Pilot</x:t>
        </x:is>
      </x:c>
    </x:row>
    <x:row r="2" ht="32" customHeight="1">
      <x:c r="A2" s="3" t="inlineStr">
        <x:is>
          <x:t xml:space="preserve">Balanced assignment: each video appears once per participant; each condition appears evenly per video; audio-on/muted balanced by block.</x:t>
        </x:is>
      </x:c>
    </x:row>
    <x:row r="4">
      <x:c r="A4" s="15" t="inlineStr">
        <x:is>
          <x:t xml:space="preserve">Participant ID</x:t>
        </x:is>
      </x:c>
      <x:c r="B4" s="15" t="inlineStr">
        <x:is>
          <x:t xml:space="preserve">Block</x:t>
        </x:is>
      </x:c>
      <x:c r="C4" s="15" t="inlineStr">
        <x:is>
          <x:t xml:space="preserve">Trial order</x:t>
        </x:is>
      </x:c>
      <x:c r="D4" s="15" t="inlineStr">
        <x:is>
          <x:t xml:space="preserve">Video ID</x:t>
        </x:is>
      </x:c>
      <x:c r="E4" s="15" t="inlineStr">
        <x:is>
          <x:t xml:space="preserve">Category</x:t>
        </x:is>
      </x:c>
      <x:c r="F4" s="15" t="inlineStr">
        <x:is>
          <x:t xml:space="preserve">Assigned variant</x:t>
        </x:is>
      </x:c>
      <x:c r="G4" s="15" t="inlineStr">
        <x:is>
          <x:t xml:space="preserve">Audio mode</x:t>
        </x:is>
      </x:c>
      <x:c r="H4" s="15" t="inlineStr">
        <x:is>
          <x:t xml:space="preserve">Instruction</x:t>
        </x:is>
      </x:c>
      <x:c r="I4" s="15" t="inlineStr">
        <x:is>
          <x:t xml:space="preserve">Notes</x:t>
        </x:is>
      </x:c>
    </x:row>
    <x:row r="5">
      <x:c r="A5" s="16" t="inlineStr">
        <x:is>
          <x:t xml:space="preserve">P001</x:t>
        </x:is>
      </x:c>
      <x:c r="B5" s="16" t="n">
        <x:v>1</x:v>
      </x:c>
      <x:c r="C5" s="16" t="n">
        <x:v>1</x:v>
      </x:c>
      <x:c r="D5" s="16" t="inlineStr">
        <x:is>
          <x:t xml:space="preserve">V12</x:t>
        </x:is>
      </x:c>
      <x:c r="E5" s="16" t="inlineStr">
        <x:is>
          <x:t xml:space="preserve">Time management</x:t>
        </x:is>
      </x:c>
      <x:c r="F5" s="16" t="inlineStr">
        <x:is>
          <x:t xml:space="preserve">Heavy bionic</x:t>
        </x:is>
      </x:c>
      <x:c r="G5" s="16" t="inlineStr">
        <x:is>
          <x:t xml:space="preserve">Muted</x:t>
        </x:is>
      </x:c>
      <x:c r="H5" s="16" t="inlineStr">
        <x:is>
          <x:t xml:space="preserve">Use mobile portrait playback</x:t>
        </x:is>
      </x:c>
      <x:c r="I5" s="16" t="inlineStr">
        <x:is>
          <x:t xml:space="preserve"/>
        </x:is>
      </x:c>
    </x:row>
    <x:row r="6">
      <x:c r="A6" s="17" t="inlineStr">
        <x:is>
          <x:t xml:space="preserve">P001</x:t>
        </x:is>
      </x:c>
      <x:c r="B6" s="17" t="n">
        <x:v>1</x:v>
      </x:c>
      <x:c r="C6" s="17" t="n">
        <x:v>2</x:v>
      </x:c>
      <x:c r="D6" s="17" t="inlineStr">
        <x:is>
          <x:t xml:space="preserve">V06</x:t>
        </x:is>
      </x:c>
      <x:c r="E6" s="17" t="inlineStr">
        <x:is>
          <x:t xml:space="preserve">Overload</x:t>
        </x:is>
      </x:c>
      <x:c r="F6" s="17" t="inlineStr">
        <x:is>
          <x:t xml:space="preserve">Heavy bionic</x:t>
        </x:is>
      </x:c>
      <x:c r="G6" s="17" t="inlineStr">
        <x:is>
          <x:t xml:space="preserve">Muted</x:t>
        </x:is>
      </x:c>
      <x:c r="H6" s="17" t="inlineStr">
        <x:is>
          <x:t xml:space="preserve">Use mobile portrait playback</x:t>
        </x:is>
      </x:c>
      <x:c r="I6" s="17" t="inlineStr">
        <x:is>
          <x:t xml:space="preserve"/>
        </x:is>
      </x:c>
    </x:row>
    <x:row r="7">
      <x:c r="A7" s="16" t="inlineStr">
        <x:is>
          <x:t xml:space="preserve">P001</x:t>
        </x:is>
      </x:c>
      <x:c r="B7" s="16" t="n">
        <x:v>1</x:v>
      </x:c>
      <x:c r="C7" s="16" t="n">
        <x:v>3</x:v>
      </x:c>
      <x:c r="D7" s="16" t="inlineStr">
        <x:is>
          <x:t xml:space="preserve">V05</x:t>
        </x:is>
      </x:c>
      <x:c r="E7" s="16" t="inlineStr">
        <x:is>
          <x:t xml:space="preserve">Tutorial</x:t>
        </x:is>
      </x:c>
      <x:c r="F7" s="16" t="inlineStr">
        <x:is>
          <x:t xml:space="preserve">BCC+</x:t>
        </x:is>
      </x:c>
      <x:c r="G7" s="16" t="inlineStr">
        <x:is>
          <x:t xml:space="preserve">Muted</x:t>
        </x:is>
      </x:c>
      <x:c r="H7" s="16" t="inlineStr">
        <x:is>
          <x:t xml:space="preserve">Use mobile portrait playback</x:t>
        </x:is>
      </x:c>
      <x:c r="I7" s="16" t="inlineStr">
        <x:is>
          <x:t xml:space="preserve"/>
        </x:is>
      </x:c>
    </x:row>
    <x:row r="8">
      <x:c r="A8" s="17" t="inlineStr">
        <x:is>
          <x:t xml:space="preserve">P001</x:t>
        </x:is>
      </x:c>
      <x:c r="B8" s="17" t="n">
        <x:v>1</x:v>
      </x:c>
      <x:c r="C8" s="17" t="n">
        <x:v>4</x:v>
      </x:c>
      <x:c r="D8" s="17" t="inlineStr">
        <x:is>
          <x:t xml:space="preserve">V03</x:t>
        </x:is>
      </x:c>
      <x:c r="E8" s="17" t="inlineStr">
        <x:is>
          <x:t xml:space="preserve">Fitness</x:t>
        </x:is>
      </x:c>
      <x:c r="F8" s="17" t="inlineStr">
        <x:is>
          <x:t xml:space="preserve">Semantic compression</x:t>
        </x:is>
      </x:c>
      <x:c r="G8" s="17" t="inlineStr">
        <x:is>
          <x:t xml:space="preserve">Muted</x:t>
        </x:is>
      </x:c>
      <x:c r="H8" s="17" t="inlineStr">
        <x:is>
          <x:t xml:space="preserve">Use mobile portrait playback</x:t>
        </x:is>
      </x:c>
      <x:c r="I8" s="17" t="inlineStr">
        <x:is>
          <x:t xml:space="preserve"/>
        </x:is>
      </x:c>
    </x:row>
    <x:row r="9">
      <x:c r="A9" s="16" t="inlineStr">
        <x:is>
          <x:t xml:space="preserve">P001</x:t>
        </x:is>
      </x:c>
      <x:c r="B9" s="16" t="n">
        <x:v>1</x:v>
      </x:c>
      <x:c r="C9" s="16" t="n">
        <x:v>5</x:v>
      </x:c>
      <x:c r="D9" s="16" t="inlineStr">
        <x:is>
          <x:t xml:space="preserve">V11</x:t>
        </x:is>
      </x:c>
      <x:c r="E9" s="16" t="inlineStr">
        <x:is>
          <x:t xml:space="preserve">Creator strategy</x:t>
        </x:is>
      </x:c>
      <x:c r="F9" s="16" t="inlineStr">
        <x:is>
          <x:t xml:space="preserve">BCC+</x:t>
        </x:is>
      </x:c>
      <x:c r="G9" s="16" t="inlineStr">
        <x:is>
          <x:t xml:space="preserve">Muted</x:t>
        </x:is>
      </x:c>
      <x:c r="H9" s="16" t="inlineStr">
        <x:is>
          <x:t xml:space="preserve">Use mobile portrait playback</x:t>
        </x:is>
      </x:c>
      <x:c r="I9" s="16" t="inlineStr">
        <x:is>
          <x:t xml:space="preserve"/>
        </x:is>
      </x:c>
    </x:row>
    <x:row r="10">
      <x:c r="A10" s="17" t="inlineStr">
        <x:is>
          <x:t xml:space="preserve">P001</x:t>
        </x:is>
      </x:c>
      <x:c r="B10" s="17" t="n">
        <x:v>1</x:v>
      </x:c>
      <x:c r="C10" s="17" t="n">
        <x:v>6</x:v>
      </x:c>
      <x:c r="D10" s="17" t="inlineStr">
        <x:is>
          <x:t xml:space="preserve">V10</x:t>
        </x:is>
      </x:c>
      <x:c r="E10" s="17" t="inlineStr">
        <x:is>
          <x:t xml:space="preserve">Product demo</x:t>
        </x:is>
      </x:c>
      <x:c r="F10" s="17" t="inlineStr">
        <x:is>
          <x:t xml:space="preserve">BCC</x:t>
        </x:is>
      </x:c>
      <x:c r="G10" s="17" t="inlineStr">
        <x:is>
          <x:t xml:space="preserve">Muted</x:t>
        </x:is>
      </x:c>
      <x:c r="H10" s="17" t="inlineStr">
        <x:is>
          <x:t xml:space="preserve">Use mobile portrait playback</x:t>
        </x:is>
      </x:c>
      <x:c r="I10" s="17" t="inlineStr">
        <x:is>
          <x:t xml:space="preserve"/>
        </x:is>
      </x:c>
    </x:row>
    <x:row r="11">
      <x:c r="A11" s="16" t="inlineStr">
        <x:is>
          <x:t xml:space="preserve">P001</x:t>
        </x:is>
      </x:c>
      <x:c r="B11" s="16" t="n">
        <x:v>1</x:v>
      </x:c>
      <x:c r="C11" s="16" t="n">
        <x:v>7</x:v>
      </x:c>
      <x:c r="D11" s="16" t="inlineStr">
        <x:is>
          <x:t xml:space="preserve">V08</x:t>
        </x:is>
      </x:c>
      <x:c r="E11" s="16" t="inlineStr">
        <x:is>
          <x:t xml:space="preserve">Coding</x:t>
        </x:is>
      </x:c>
      <x:c r="F11" s="16" t="inlineStr">
        <x:is>
          <x:t xml:space="preserve">Keyword highlight</x:t>
        </x:is>
      </x:c>
      <x:c r="G11" s="16" t="inlineStr">
        <x:is>
          <x:t xml:space="preserve">Muted</x:t>
        </x:is>
      </x:c>
      <x:c r="H11" s="16" t="inlineStr">
        <x:is>
          <x:t xml:space="preserve">Use mobile portrait playback</x:t>
        </x:is>
      </x:c>
      <x:c r="I11" s="16" t="inlineStr">
        <x:is>
          <x:t xml:space="preserve"/>
        </x:is>
      </x:c>
    </x:row>
    <x:row r="12">
      <x:c r="A12" s="17" t="inlineStr">
        <x:is>
          <x:t xml:space="preserve">P001</x:t>
        </x:is>
      </x:c>
      <x:c r="B12" s="17" t="n">
        <x:v>1</x:v>
      </x:c>
      <x:c r="C12" s="17" t="n">
        <x:v>8</x:v>
      </x:c>
      <x:c r="D12" s="17" t="inlineStr">
        <x:is>
          <x:t xml:space="preserve">V07</x:t>
        </x:is>
      </x:c>
      <x:c r="E12" s="17" t="inlineStr">
        <x:is>
          <x:t xml:space="preserve">Business</x:t>
        </x:is>
      </x:c>
      <x:c r="F12" s="17" t="inlineStr">
        <x:is>
          <x:t xml:space="preserve">Full transcript</x:t>
        </x:is>
      </x:c>
      <x:c r="G12" s="17" t="inlineStr">
        <x:is>
          <x:t xml:space="preserve">Muted</x:t>
        </x:is>
      </x:c>
      <x:c r="H12" s="17" t="inlineStr">
        <x:is>
          <x:t xml:space="preserve">Use mobile portrait playback</x:t>
        </x:is>
      </x:c>
      <x:c r="I12" s="17" t="inlineStr">
        <x:is>
          <x:t xml:space="preserve"/>
        </x:is>
      </x:c>
    </x:row>
    <x:row r="13">
      <x:c r="A13" s="16" t="inlineStr">
        <x:is>
          <x:t xml:space="preserve">P001</x:t>
        </x:is>
      </x:c>
      <x:c r="B13" s="16" t="n">
        <x:v>1</x:v>
      </x:c>
      <x:c r="C13" s="16" t="n">
        <x:v>9</x:v>
      </x:c>
      <x:c r="D13" s="16" t="inlineStr">
        <x:is>
          <x:t xml:space="preserve">V09</x:t>
        </x:is>
      </x:c>
      <x:c r="E13" s="16" t="inlineStr">
        <x:is>
          <x:t xml:space="preserve">Sleep habit</x:t>
        </x:is>
      </x:c>
      <x:c r="F13" s="16" t="inlineStr">
        <x:is>
          <x:t xml:space="preserve">Semantic compression</x:t>
        </x:is>
      </x:c>
      <x:c r="G13" s="16" t="inlineStr">
        <x:is>
          <x:t xml:space="preserve">Muted</x:t>
        </x:is>
      </x:c>
      <x:c r="H13" s="16" t="inlineStr">
        <x:is>
          <x:t xml:space="preserve">Use mobile portrait playback</x:t>
        </x:is>
      </x:c>
      <x:c r="I13" s="16" t="inlineStr">
        <x:is>
          <x:t xml:space="preserve"/>
        </x:is>
      </x:c>
    </x:row>
    <x:row r="14">
      <x:c r="A14" s="17" t="inlineStr">
        <x:is>
          <x:t xml:space="preserve">P001</x:t>
        </x:is>
      </x:c>
      <x:c r="B14" s="17" t="n">
        <x:v>1</x:v>
      </x:c>
      <x:c r="C14" s="17" t="n">
        <x:v>10</x:v>
      </x:c>
      <x:c r="D14" s="17" t="inlineStr">
        <x:is>
          <x:t xml:space="preserve">V02</x:t>
        </x:is>
      </x:c>
      <x:c r="E14" s="17" t="inlineStr">
        <x:is>
          <x:t xml:space="preserve">Study</x:t>
        </x:is>
      </x:c>
      <x:c r="F14" s="17" t="inlineStr">
        <x:is>
          <x:t xml:space="preserve">Keyword highlight</x:t>
        </x:is>
      </x:c>
      <x:c r="G14" s="17" t="inlineStr">
        <x:is>
          <x:t xml:space="preserve">Muted</x:t>
        </x:is>
      </x:c>
      <x:c r="H14" s="17" t="inlineStr">
        <x:is>
          <x:t xml:space="preserve">Use mobile portrait playback</x:t>
        </x:is>
      </x:c>
      <x:c r="I14" s="17" t="inlineStr">
        <x:is>
          <x:t xml:space="preserve"/>
        </x:is>
      </x:c>
    </x:row>
    <x:row r="15">
      <x:c r="A15" s="16" t="inlineStr">
        <x:is>
          <x:t xml:space="preserve">P001</x:t>
        </x:is>
      </x:c>
      <x:c r="B15" s="16" t="n">
        <x:v>1</x:v>
      </x:c>
      <x:c r="C15" s="16" t="n">
        <x:v>11</x:v>
      </x:c>
      <x:c r="D15" s="16" t="inlineStr">
        <x:is>
          <x:t xml:space="preserve">V04</x:t>
        </x:is>
      </x:c>
      <x:c r="E15" s="16" t="inlineStr">
        <x:is>
          <x:t xml:space="preserve">Finance</x:t>
        </x:is>
      </x:c>
      <x:c r="F15" s="16" t="inlineStr">
        <x:is>
          <x:t xml:space="preserve">BCC</x:t>
        </x:is>
      </x:c>
      <x:c r="G15" s="16" t="inlineStr">
        <x:is>
          <x:t xml:space="preserve">Muted</x:t>
        </x:is>
      </x:c>
      <x:c r="H15" s="16" t="inlineStr">
        <x:is>
          <x:t xml:space="preserve">Use mobile portrait playback</x:t>
        </x:is>
      </x:c>
      <x:c r="I15" s="16" t="inlineStr">
        <x:is>
          <x:t xml:space="preserve"/>
        </x:is>
      </x:c>
    </x:row>
    <x:row r="16">
      <x:c r="A16" s="17" t="inlineStr">
        <x:is>
          <x:t xml:space="preserve">P001</x:t>
        </x:is>
      </x:c>
      <x:c r="B16" s="17" t="n">
        <x:v>1</x:v>
      </x:c>
      <x:c r="C16" s="17" t="n">
        <x:v>12</x:v>
      </x:c>
      <x:c r="D16" s="17" t="inlineStr">
        <x:is>
          <x:t xml:space="preserve">V01</x:t>
        </x:is>
      </x:c>
      <x:c r="E16" s="17" t="inlineStr">
        <x:is>
          <x:t xml:space="preserve">Productivity</x:t>
        </x:is>
      </x:c>
      <x:c r="F16" s="17" t="inlineStr">
        <x:is>
          <x:t xml:space="preserve">Full transcript</x:t>
        </x:is>
      </x:c>
      <x:c r="G16" s="17" t="inlineStr">
        <x:is>
          <x:t xml:space="preserve">Muted</x:t>
        </x:is>
      </x:c>
      <x:c r="H16" s="17" t="inlineStr">
        <x:is>
          <x:t xml:space="preserve">Use mobile portrait playback</x:t>
        </x:is>
      </x:c>
      <x:c r="I16" s="17" t="inlineStr">
        <x:is>
          <x:t xml:space="preserve"/>
        </x:is>
      </x:c>
    </x:row>
    <x:row r="17">
      <x:c r="A17" s="16" t="inlineStr">
        <x:is>
          <x:t xml:space="preserve">P002</x:t>
        </x:is>
      </x:c>
      <x:c r="B17" s="16" t="n">
        <x:v>1</x:v>
      </x:c>
      <x:c r="C17" s="16" t="n">
        <x:v>1</x:v>
      </x:c>
      <x:c r="D17" s="16" t="inlineStr">
        <x:is>
          <x:t xml:space="preserve">V05</x:t>
        </x:is>
      </x:c>
      <x:c r="E17" s="16" t="inlineStr">
        <x:is>
          <x:t xml:space="preserve">Tutorial</x:t>
        </x:is>
      </x:c>
      <x:c r="F17" s="16" t="inlineStr">
        <x:is>
          <x:t xml:space="preserve">Heavy bionic</x:t>
        </x:is>
      </x:c>
      <x:c r="G17" s="16" t="inlineStr">
        <x:is>
          <x:t xml:space="preserve">Muted</x:t>
        </x:is>
      </x:c>
      <x:c r="H17" s="16" t="inlineStr">
        <x:is>
          <x:t xml:space="preserve">Use mobile portrait playback</x:t>
        </x:is>
      </x:c>
      <x:c r="I17" s="16" t="inlineStr">
        <x:is>
          <x:t xml:space="preserve"/>
        </x:is>
      </x:c>
    </x:row>
    <x:row r="18">
      <x:c r="A18" s="17" t="inlineStr">
        <x:is>
          <x:t xml:space="preserve">P002</x:t>
        </x:is>
      </x:c>
      <x:c r="B18" s="17" t="n">
        <x:v>1</x:v>
      </x:c>
      <x:c r="C18" s="17" t="n">
        <x:v>2</x:v>
      </x:c>
      <x:c r="D18" s="17" t="inlineStr">
        <x:is>
          <x:t xml:space="preserve">V01</x:t>
        </x:is>
      </x:c>
      <x:c r="E18" s="17" t="inlineStr">
        <x:is>
          <x:t xml:space="preserve">Productivity</x:t>
        </x:is>
      </x:c>
      <x:c r="F18" s="17" t="inlineStr">
        <x:is>
          <x:t xml:space="preserve">Keyword highlight</x:t>
        </x:is>
      </x:c>
      <x:c r="G18" s="17" t="inlineStr">
        <x:is>
          <x:t xml:space="preserve">Muted</x:t>
        </x:is>
      </x:c>
      <x:c r="H18" s="17" t="inlineStr">
        <x:is>
          <x:t xml:space="preserve">Use mobile portrait playback</x:t>
        </x:is>
      </x:c>
      <x:c r="I18" s="17" t="inlineStr">
        <x:is>
          <x:t xml:space="preserve"/>
        </x:is>
      </x:c>
    </x:row>
    <x:row r="19">
      <x:c r="A19" s="16" t="inlineStr">
        <x:is>
          <x:t xml:space="preserve">P002</x:t>
        </x:is>
      </x:c>
      <x:c r="B19" s="16" t="n">
        <x:v>1</x:v>
      </x:c>
      <x:c r="C19" s="16" t="n">
        <x:v>3</x:v>
      </x:c>
      <x:c r="D19" s="16" t="inlineStr">
        <x:is>
          <x:t xml:space="preserve">V06</x:t>
        </x:is>
      </x:c>
      <x:c r="E19" s="16" t="inlineStr">
        <x:is>
          <x:t xml:space="preserve">Overload</x:t>
        </x:is>
      </x:c>
      <x:c r="F19" s="16" t="inlineStr">
        <x:is>
          <x:t xml:space="preserve">Full transcript</x:t>
        </x:is>
      </x:c>
      <x:c r="G19" s="16" t="inlineStr">
        <x:is>
          <x:t xml:space="preserve">Muted</x:t>
        </x:is>
      </x:c>
      <x:c r="H19" s="16" t="inlineStr">
        <x:is>
          <x:t xml:space="preserve">Use mobile portrait playback</x:t>
        </x:is>
      </x:c>
      <x:c r="I19" s="16" t="inlineStr">
        <x:is>
          <x:t xml:space="preserve"/>
        </x:is>
      </x:c>
    </x:row>
    <x:row r="20">
      <x:c r="A20" s="17" t="inlineStr">
        <x:is>
          <x:t xml:space="preserve">P002</x:t>
        </x:is>
      </x:c>
      <x:c r="B20" s="17" t="n">
        <x:v>1</x:v>
      </x:c>
      <x:c r="C20" s="17" t="n">
        <x:v>4</x:v>
      </x:c>
      <x:c r="D20" s="17" t="inlineStr">
        <x:is>
          <x:t xml:space="preserve">V11</x:t>
        </x:is>
      </x:c>
      <x:c r="E20" s="17" t="inlineStr">
        <x:is>
          <x:t xml:space="preserve">Creator strategy</x:t>
        </x:is>
      </x:c>
      <x:c r="F20" s="17" t="inlineStr">
        <x:is>
          <x:t xml:space="preserve">Heavy bionic</x:t>
        </x:is>
      </x:c>
      <x:c r="G20" s="17" t="inlineStr">
        <x:is>
          <x:t xml:space="preserve">Muted</x:t>
        </x:is>
      </x:c>
      <x:c r="H20" s="17" t="inlineStr">
        <x:is>
          <x:t xml:space="preserve">Use mobile portrait playback</x:t>
        </x:is>
      </x:c>
      <x:c r="I20" s="17" t="inlineStr">
        <x:is>
          <x:t xml:space="preserve"/>
        </x:is>
      </x:c>
    </x:row>
    <x:row r="21">
      <x:c r="A21" s="16" t="inlineStr">
        <x:is>
          <x:t xml:space="preserve">P002</x:t>
        </x:is>
      </x:c>
      <x:c r="B21" s="16" t="n">
        <x:v>1</x:v>
      </x:c>
      <x:c r="C21" s="16" t="n">
        <x:v>5</x:v>
      </x:c>
      <x:c r="D21" s="16" t="inlineStr">
        <x:is>
          <x:t xml:space="preserve">V12</x:t>
        </x:is>
      </x:c>
      <x:c r="E21" s="16" t="inlineStr">
        <x:is>
          <x:t xml:space="preserve">Time management</x:t>
        </x:is>
      </x:c>
      <x:c r="F21" s="16" t="inlineStr">
        <x:is>
          <x:t xml:space="preserve">Full transcript</x:t>
        </x:is>
      </x:c>
      <x:c r="G21" s="16" t="inlineStr">
        <x:is>
          <x:t xml:space="preserve">Muted</x:t>
        </x:is>
      </x:c>
      <x:c r="H21" s="16" t="inlineStr">
        <x:is>
          <x:t xml:space="preserve">Use mobile portrait playback</x:t>
        </x:is>
      </x:c>
      <x:c r="I21" s="16" t="inlineStr">
        <x:is>
          <x:t xml:space="preserve"/>
        </x:is>
      </x:c>
    </x:row>
    <x:row r="22">
      <x:c r="A22" s="17" t="inlineStr">
        <x:is>
          <x:t xml:space="preserve">P002</x:t>
        </x:is>
      </x:c>
      <x:c r="B22" s="17" t="n">
        <x:v>1</x:v>
      </x:c>
      <x:c r="C22" s="17" t="n">
        <x:v>6</x:v>
      </x:c>
      <x:c r="D22" s="17" t="inlineStr">
        <x:is>
          <x:t xml:space="preserve">V08</x:t>
        </x:is>
      </x:c>
      <x:c r="E22" s="17" t="inlineStr">
        <x:is>
          <x:t xml:space="preserve">Coding</x:t>
        </x:is>
      </x:c>
      <x:c r="F22" s="17" t="inlineStr">
        <x:is>
          <x:t xml:space="preserve">Semantic compression</x:t>
        </x:is>
      </x:c>
      <x:c r="G22" s="17" t="inlineStr">
        <x:is>
          <x:t xml:space="preserve">Muted</x:t>
        </x:is>
      </x:c>
      <x:c r="H22" s="17" t="inlineStr">
        <x:is>
          <x:t xml:space="preserve">Use mobile portrait playback</x:t>
        </x:is>
      </x:c>
      <x:c r="I22" s="17" t="inlineStr">
        <x:is>
          <x:t xml:space="preserve"/>
        </x:is>
      </x:c>
    </x:row>
    <x:row r="23">
      <x:c r="A23" s="16" t="inlineStr">
        <x:is>
          <x:t xml:space="preserve">P002</x:t>
        </x:is>
      </x:c>
      <x:c r="B23" s="16" t="n">
        <x:v>1</x:v>
      </x:c>
      <x:c r="C23" s="16" t="n">
        <x:v>7</x:v>
      </x:c>
      <x:c r="D23" s="16" t="inlineStr">
        <x:is>
          <x:t xml:space="preserve">V02</x:t>
        </x:is>
      </x:c>
      <x:c r="E23" s="16" t="inlineStr">
        <x:is>
          <x:t xml:space="preserve">Study</x:t>
        </x:is>
      </x:c>
      <x:c r="F23" s="16" t="inlineStr">
        <x:is>
          <x:t xml:space="preserve">Semantic compression</x:t>
        </x:is>
      </x:c>
      <x:c r="G23" s="16" t="inlineStr">
        <x:is>
          <x:t xml:space="preserve">Muted</x:t>
        </x:is>
      </x:c>
      <x:c r="H23" s="16" t="inlineStr">
        <x:is>
          <x:t xml:space="preserve">Use mobile portrait playback</x:t>
        </x:is>
      </x:c>
      <x:c r="I23" s="16" t="inlineStr">
        <x:is>
          <x:t xml:space="preserve"/>
        </x:is>
      </x:c>
    </x:row>
    <x:row r="24">
      <x:c r="A24" s="17" t="inlineStr">
        <x:is>
          <x:t xml:space="preserve">P002</x:t>
        </x:is>
      </x:c>
      <x:c r="B24" s="17" t="n">
        <x:v>1</x:v>
      </x:c>
      <x:c r="C24" s="17" t="n">
        <x:v>8</x:v>
      </x:c>
      <x:c r="D24" s="17" t="inlineStr">
        <x:is>
          <x:t xml:space="preserve">V03</x:t>
        </x:is>
      </x:c>
      <x:c r="E24" s="17" t="inlineStr">
        <x:is>
          <x:t xml:space="preserve">Fitness</x:t>
        </x:is>
      </x:c>
      <x:c r="F24" s="17" t="inlineStr">
        <x:is>
          <x:t xml:space="preserve">BCC</x:t>
        </x:is>
      </x:c>
      <x:c r="G24" s="17" t="inlineStr">
        <x:is>
          <x:t xml:space="preserve">Muted</x:t>
        </x:is>
      </x:c>
      <x:c r="H24" s="17" t="inlineStr">
        <x:is>
          <x:t xml:space="preserve">Use mobile portrait playback</x:t>
        </x:is>
      </x:c>
      <x:c r="I24" s="17" t="inlineStr">
        <x:is>
          <x:t xml:space="preserve"/>
        </x:is>
      </x:c>
    </x:row>
    <x:row r="25">
      <x:c r="A25" s="16" t="inlineStr">
        <x:is>
          <x:t xml:space="preserve">P002</x:t>
        </x:is>
      </x:c>
      <x:c r="B25" s="16" t="n">
        <x:v>1</x:v>
      </x:c>
      <x:c r="C25" s="16" t="n">
        <x:v>9</x:v>
      </x:c>
      <x:c r="D25" s="16" t="inlineStr">
        <x:is>
          <x:t xml:space="preserve">V04</x:t>
        </x:is>
      </x:c>
      <x:c r="E25" s="16" t="inlineStr">
        <x:is>
          <x:t xml:space="preserve">Finance</x:t>
        </x:is>
      </x:c>
      <x:c r="F25" s="16" t="inlineStr">
        <x:is>
          <x:t xml:space="preserve">BCC+</x:t>
        </x:is>
      </x:c>
      <x:c r="G25" s="16" t="inlineStr">
        <x:is>
          <x:t xml:space="preserve">Muted</x:t>
        </x:is>
      </x:c>
      <x:c r="H25" s="16" t="inlineStr">
        <x:is>
          <x:t xml:space="preserve">Use mobile portrait playback</x:t>
        </x:is>
      </x:c>
      <x:c r="I25" s="16" t="inlineStr">
        <x:is>
          <x:t xml:space="preserve"/>
        </x:is>
      </x:c>
    </x:row>
    <x:row r="26">
      <x:c r="A26" s="17" t="inlineStr">
        <x:is>
          <x:t xml:space="preserve">P002</x:t>
        </x:is>
      </x:c>
      <x:c r="B26" s="17" t="n">
        <x:v>1</x:v>
      </x:c>
      <x:c r="C26" s="17" t="n">
        <x:v>10</x:v>
      </x:c>
      <x:c r="D26" s="17" t="inlineStr">
        <x:is>
          <x:t xml:space="preserve">V07</x:t>
        </x:is>
      </x:c>
      <x:c r="E26" s="17" t="inlineStr">
        <x:is>
          <x:t xml:space="preserve">Business</x:t>
        </x:is>
      </x:c>
      <x:c r="F26" s="17" t="inlineStr">
        <x:is>
          <x:t xml:space="preserve">Keyword highlight</x:t>
        </x:is>
      </x:c>
      <x:c r="G26" s="17" t="inlineStr">
        <x:is>
          <x:t xml:space="preserve">Muted</x:t>
        </x:is>
      </x:c>
      <x:c r="H26" s="17" t="inlineStr">
        <x:is>
          <x:t xml:space="preserve">Use mobile portrait playback</x:t>
        </x:is>
      </x:c>
      <x:c r="I26" s="17" t="inlineStr">
        <x:is>
          <x:t xml:space="preserve"/>
        </x:is>
      </x:c>
    </x:row>
    <x:row r="27">
      <x:c r="A27" s="16" t="inlineStr">
        <x:is>
          <x:t xml:space="preserve">P002</x:t>
        </x:is>
      </x:c>
      <x:c r="B27" s="16" t="n">
        <x:v>1</x:v>
      </x:c>
      <x:c r="C27" s="16" t="n">
        <x:v>11</x:v>
      </x:c>
      <x:c r="D27" s="16" t="inlineStr">
        <x:is>
          <x:t xml:space="preserve">V10</x:t>
        </x:is>
      </x:c>
      <x:c r="E27" s="16" t="inlineStr">
        <x:is>
          <x:t xml:space="preserve">Product demo</x:t>
        </x:is>
      </x:c>
      <x:c r="F27" s="16" t="inlineStr">
        <x:is>
          <x:t xml:space="preserve">BCC+</x:t>
        </x:is>
      </x:c>
      <x:c r="G27" s="16" t="inlineStr">
        <x:is>
          <x:t xml:space="preserve">Muted</x:t>
        </x:is>
      </x:c>
      <x:c r="H27" s="16" t="inlineStr">
        <x:is>
          <x:t xml:space="preserve">Use mobile portrait playback</x:t>
        </x:is>
      </x:c>
      <x:c r="I27" s="16" t="inlineStr">
        <x:is>
          <x:t xml:space="preserve"/>
        </x:is>
      </x:c>
    </x:row>
    <x:row r="28">
      <x:c r="A28" s="17" t="inlineStr">
        <x:is>
          <x:t xml:space="preserve">P002</x:t>
        </x:is>
      </x:c>
      <x:c r="B28" s="17" t="n">
        <x:v>1</x:v>
      </x:c>
      <x:c r="C28" s="17" t="n">
        <x:v>12</x:v>
      </x:c>
      <x:c r="D28" s="17" t="inlineStr">
        <x:is>
          <x:t xml:space="preserve">V09</x:t>
        </x:is>
      </x:c>
      <x:c r="E28" s="17" t="inlineStr">
        <x:is>
          <x:t xml:space="preserve">Sleep habit</x:t>
        </x:is>
      </x:c>
      <x:c r="F28" s="17" t="inlineStr">
        <x:is>
          <x:t xml:space="preserve">BCC</x:t>
        </x:is>
      </x:c>
      <x:c r="G28" s="17" t="inlineStr">
        <x:is>
          <x:t xml:space="preserve">Muted</x:t>
        </x:is>
      </x:c>
      <x:c r="H28" s="17" t="inlineStr">
        <x:is>
          <x:t xml:space="preserve">Use mobile portrait playback</x:t>
        </x:is>
      </x:c>
      <x:c r="I28" s="17" t="inlineStr">
        <x:is>
          <x:t xml:space="preserve"/>
        </x:is>
      </x:c>
    </x:row>
    <x:row r="29">
      <x:c r="A29" s="16" t="inlineStr">
        <x:is>
          <x:t xml:space="preserve">P003</x:t>
        </x:is>
      </x:c>
      <x:c r="B29" s="16" t="n">
        <x:v>1</x:v>
      </x:c>
      <x:c r="C29" s="16" t="n">
        <x:v>1</x:v>
      </x:c>
      <x:c r="D29" s="16" t="inlineStr">
        <x:is>
          <x:t xml:space="preserve">V03</x:t>
        </x:is>
      </x:c>
      <x:c r="E29" s="16" t="inlineStr">
        <x:is>
          <x:t xml:space="preserve">Fitness</x:t>
        </x:is>
      </x:c>
      <x:c r="F29" s="16" t="inlineStr">
        <x:is>
          <x:t xml:space="preserve">BCC+</x:t>
        </x:is>
      </x:c>
      <x:c r="G29" s="16" t="inlineStr">
        <x:is>
          <x:t xml:space="preserve">Muted</x:t>
        </x:is>
      </x:c>
      <x:c r="H29" s="16" t="inlineStr">
        <x:is>
          <x:t xml:space="preserve">Use mobile portrait playback</x:t>
        </x:is>
      </x:c>
      <x:c r="I29" s="16" t="inlineStr">
        <x:is>
          <x:t xml:space="preserve"/>
        </x:is>
      </x:c>
    </x:row>
    <x:row r="30">
      <x:c r="A30" s="17" t="inlineStr">
        <x:is>
          <x:t xml:space="preserve">P003</x:t>
        </x:is>
      </x:c>
      <x:c r="B30" s="17" t="n">
        <x:v>1</x:v>
      </x:c>
      <x:c r="C30" s="17" t="n">
        <x:v>2</x:v>
      </x:c>
      <x:c r="D30" s="17" t="inlineStr">
        <x:is>
          <x:t xml:space="preserve">V02</x:t>
        </x:is>
      </x:c>
      <x:c r="E30" s="17" t="inlineStr">
        <x:is>
          <x:t xml:space="preserve">Study</x:t>
        </x:is>
      </x:c>
      <x:c r="F30" s="17" t="inlineStr">
        <x:is>
          <x:t xml:space="preserve">BCC</x:t>
        </x:is>
      </x:c>
      <x:c r="G30" s="17" t="inlineStr">
        <x:is>
          <x:t xml:space="preserve">Muted</x:t>
        </x:is>
      </x:c>
      <x:c r="H30" s="17" t="inlineStr">
        <x:is>
          <x:t xml:space="preserve">Use mobile portrait playback</x:t>
        </x:is>
      </x:c>
      <x:c r="I30" s="17" t="inlineStr">
        <x:is>
          <x:t xml:space="preserve"/>
        </x:is>
      </x:c>
    </x:row>
    <x:row r="31">
      <x:c r="A31" s="16" t="inlineStr">
        <x:is>
          <x:t xml:space="preserve">P003</x:t>
        </x:is>
      </x:c>
      <x:c r="B31" s="16" t="n">
        <x:v>1</x:v>
      </x:c>
      <x:c r="C31" s="16" t="n">
        <x:v>3</x:v>
      </x:c>
      <x:c r="D31" s="16" t="inlineStr">
        <x:is>
          <x:t xml:space="preserve">V01</x:t>
        </x:is>
      </x:c>
      <x:c r="E31" s="16" t="inlineStr">
        <x:is>
          <x:t xml:space="preserve">Productivity</x:t>
        </x:is>
      </x:c>
      <x:c r="F31" s="16" t="inlineStr">
        <x:is>
          <x:t xml:space="preserve">Semantic compression</x:t>
        </x:is>
      </x:c>
      <x:c r="G31" s="16" t="inlineStr">
        <x:is>
          <x:t xml:space="preserve">Muted</x:t>
        </x:is>
      </x:c>
      <x:c r="H31" s="16" t="inlineStr">
        <x:is>
          <x:t xml:space="preserve">Use mobile portrait playback</x:t>
        </x:is>
      </x:c>
      <x:c r="I31" s="16" t="inlineStr">
        <x:is>
          <x:t xml:space="preserve"/>
        </x:is>
      </x:c>
    </x:row>
    <x:row r="32">
      <x:c r="A32" s="17" t="inlineStr">
        <x:is>
          <x:t xml:space="preserve">P003</x:t>
        </x:is>
      </x:c>
      <x:c r="B32" s="17" t="n">
        <x:v>1</x:v>
      </x:c>
      <x:c r="C32" s="17" t="n">
        <x:v>4</x:v>
      </x:c>
      <x:c r="D32" s="17" t="inlineStr">
        <x:is>
          <x:t xml:space="preserve">V10</x:t>
        </x:is>
      </x:c>
      <x:c r="E32" s="17" t="inlineStr">
        <x:is>
          <x:t xml:space="preserve">Product demo</x:t>
        </x:is>
      </x:c>
      <x:c r="F32" s="17" t="inlineStr">
        <x:is>
          <x:t xml:space="preserve">Heavy bionic</x:t>
        </x:is>
      </x:c>
      <x:c r="G32" s="17" t="inlineStr">
        <x:is>
          <x:t xml:space="preserve">Muted</x:t>
        </x:is>
      </x:c>
      <x:c r="H32" s="17" t="inlineStr">
        <x:is>
          <x:t xml:space="preserve">Use mobile portrait playback</x:t>
        </x:is>
      </x:c>
      <x:c r="I32" s="17" t="inlineStr">
        <x:is>
          <x:t xml:space="preserve"/>
        </x:is>
      </x:c>
    </x:row>
    <x:row r="33">
      <x:c r="A33" s="16" t="inlineStr">
        <x:is>
          <x:t xml:space="preserve">P003</x:t>
        </x:is>
      </x:c>
      <x:c r="B33" s="16" t="n">
        <x:v>1</x:v>
      </x:c>
      <x:c r="C33" s="16" t="n">
        <x:v>5</x:v>
      </x:c>
      <x:c r="D33" s="16" t="inlineStr">
        <x:is>
          <x:t xml:space="preserve">V07</x:t>
        </x:is>
      </x:c>
      <x:c r="E33" s="16" t="inlineStr">
        <x:is>
          <x:t xml:space="preserve">Business</x:t>
        </x:is>
      </x:c>
      <x:c r="F33" s="16" t="inlineStr">
        <x:is>
          <x:t xml:space="preserve">Semantic compression</x:t>
        </x:is>
      </x:c>
      <x:c r="G33" s="16" t="inlineStr">
        <x:is>
          <x:t xml:space="preserve">Muted</x:t>
        </x:is>
      </x:c>
      <x:c r="H33" s="16" t="inlineStr">
        <x:is>
          <x:t xml:space="preserve">Use mobile portrait playback</x:t>
        </x:is>
      </x:c>
      <x:c r="I33" s="16" t="inlineStr">
        <x:is>
          <x:t xml:space="preserve"/>
        </x:is>
      </x:c>
    </x:row>
    <x:row r="34">
      <x:c r="A34" s="17" t="inlineStr">
        <x:is>
          <x:t xml:space="preserve">P003</x:t>
        </x:is>
      </x:c>
      <x:c r="B34" s="17" t="n">
        <x:v>1</x:v>
      </x:c>
      <x:c r="C34" s="17" t="n">
        <x:v>6</x:v>
      </x:c>
      <x:c r="D34" s="17" t="inlineStr">
        <x:is>
          <x:t xml:space="preserve">V05</x:t>
        </x:is>
      </x:c>
      <x:c r="E34" s="17" t="inlineStr">
        <x:is>
          <x:t xml:space="preserve">Tutorial</x:t>
        </x:is>
      </x:c>
      <x:c r="F34" s="17" t="inlineStr">
        <x:is>
          <x:t xml:space="preserve">Full transcript</x:t>
        </x:is>
      </x:c>
      <x:c r="G34" s="17" t="inlineStr">
        <x:is>
          <x:t xml:space="preserve">Muted</x:t>
        </x:is>
      </x:c>
      <x:c r="H34" s="17" t="inlineStr">
        <x:is>
          <x:t xml:space="preserve">Use mobile portrait playback</x:t>
        </x:is>
      </x:c>
      <x:c r="I34" s="17" t="inlineStr">
        <x:is>
          <x:t xml:space="preserve"/>
        </x:is>
      </x:c>
    </x:row>
    <x:row r="35">
      <x:c r="A35" s="16" t="inlineStr">
        <x:is>
          <x:t xml:space="preserve">P003</x:t>
        </x:is>
      </x:c>
      <x:c r="B35" s="16" t="n">
        <x:v>1</x:v>
      </x:c>
      <x:c r="C35" s="16" t="n">
        <x:v>7</x:v>
      </x:c>
      <x:c r="D35" s="16" t="inlineStr">
        <x:is>
          <x:t xml:space="preserve">V11</x:t>
        </x:is>
      </x:c>
      <x:c r="E35" s="16" t="inlineStr">
        <x:is>
          <x:t xml:space="preserve">Creator strategy</x:t>
        </x:is>
      </x:c>
      <x:c r="F35" s="16" t="inlineStr">
        <x:is>
          <x:t xml:space="preserve">Full transcript</x:t>
        </x:is>
      </x:c>
      <x:c r="G35" s="16" t="inlineStr">
        <x:is>
          <x:t xml:space="preserve">Muted</x:t>
        </x:is>
      </x:c>
      <x:c r="H35" s="16" t="inlineStr">
        <x:is>
          <x:t xml:space="preserve">Use mobile portrait playback</x:t>
        </x:is>
      </x:c>
      <x:c r="I35" s="16" t="inlineStr">
        <x:is>
          <x:t xml:space="preserve"/>
        </x:is>
      </x:c>
    </x:row>
    <x:row r="36">
      <x:c r="A36" s="17" t="inlineStr">
        <x:is>
          <x:t xml:space="preserve">P003</x:t>
        </x:is>
      </x:c>
      <x:c r="B36" s="17" t="n">
        <x:v>1</x:v>
      </x:c>
      <x:c r="C36" s="17" t="n">
        <x:v>8</x:v>
      </x:c>
      <x:c r="D36" s="17" t="inlineStr">
        <x:is>
          <x:t xml:space="preserve">V12</x:t>
        </x:is>
      </x:c>
      <x:c r="E36" s="17" t="inlineStr">
        <x:is>
          <x:t xml:space="preserve">Time management</x:t>
        </x:is>
      </x:c>
      <x:c r="F36" s="17" t="inlineStr">
        <x:is>
          <x:t xml:space="preserve">Keyword highlight</x:t>
        </x:is>
      </x:c>
      <x:c r="G36" s="17" t="inlineStr">
        <x:is>
          <x:t xml:space="preserve">Muted</x:t>
        </x:is>
      </x:c>
      <x:c r="H36" s="17" t="inlineStr">
        <x:is>
          <x:t xml:space="preserve">Use mobile portrait playback</x:t>
        </x:is>
      </x:c>
      <x:c r="I36" s="17" t="inlineStr">
        <x:is>
          <x:t xml:space="preserve"/>
        </x:is>
      </x:c>
    </x:row>
    <x:row r="37">
      <x:c r="A37" s="16" t="inlineStr">
        <x:is>
          <x:t xml:space="preserve">P003</x:t>
        </x:is>
      </x:c>
      <x:c r="B37" s="16" t="n">
        <x:v>1</x:v>
      </x:c>
      <x:c r="C37" s="16" t="n">
        <x:v>9</x:v>
      </x:c>
      <x:c r="D37" s="16" t="inlineStr">
        <x:is>
          <x:t xml:space="preserve">V04</x:t>
        </x:is>
      </x:c>
      <x:c r="E37" s="16" t="inlineStr">
        <x:is>
          <x:t xml:space="preserve">Finance</x:t>
        </x:is>
      </x:c>
      <x:c r="F37" s="16" t="inlineStr">
        <x:is>
          <x:t xml:space="preserve">Heavy bionic</x:t>
        </x:is>
      </x:c>
      <x:c r="G37" s="16" t="inlineStr">
        <x:is>
          <x:t xml:space="preserve">Muted</x:t>
        </x:is>
      </x:c>
      <x:c r="H37" s="16" t="inlineStr">
        <x:is>
          <x:t xml:space="preserve">Use mobile portrait playback</x:t>
        </x:is>
      </x:c>
      <x:c r="I37" s="16" t="inlineStr">
        <x:is>
          <x:t xml:space="preserve"/>
        </x:is>
      </x:c>
    </x:row>
    <x:row r="38">
      <x:c r="A38" s="17" t="inlineStr">
        <x:is>
          <x:t xml:space="preserve">P003</x:t>
        </x:is>
      </x:c>
      <x:c r="B38" s="17" t="n">
        <x:v>1</x:v>
      </x:c>
      <x:c r="C38" s="17" t="n">
        <x:v>10</x:v>
      </x:c>
      <x:c r="D38" s="17" t="inlineStr">
        <x:is>
          <x:t xml:space="preserve">V06</x:t>
        </x:is>
      </x:c>
      <x:c r="E38" s="17" t="inlineStr">
        <x:is>
          <x:t xml:space="preserve">Overload</x:t>
        </x:is>
      </x:c>
      <x:c r="F38" s="17" t="inlineStr">
        <x:is>
          <x:t xml:space="preserve">Keyword highlight</x:t>
        </x:is>
      </x:c>
      <x:c r="G38" s="17" t="inlineStr">
        <x:is>
          <x:t xml:space="preserve">Muted</x:t>
        </x:is>
      </x:c>
      <x:c r="H38" s="17" t="inlineStr">
        <x:is>
          <x:t xml:space="preserve">Use mobile portrait playback</x:t>
        </x:is>
      </x:c>
      <x:c r="I38" s="17" t="inlineStr">
        <x:is>
          <x:t xml:space="preserve"/>
        </x:is>
      </x:c>
    </x:row>
    <x:row r="39">
      <x:c r="A39" s="16" t="inlineStr">
        <x:is>
          <x:t xml:space="preserve">P003</x:t>
        </x:is>
      </x:c>
      <x:c r="B39" s="16" t="n">
        <x:v>1</x:v>
      </x:c>
      <x:c r="C39" s="16" t="n">
        <x:v>11</x:v>
      </x:c>
      <x:c r="D39" s="16" t="inlineStr">
        <x:is>
          <x:t xml:space="preserve">V09</x:t>
        </x:is>
      </x:c>
      <x:c r="E39" s="16" t="inlineStr">
        <x:is>
          <x:t xml:space="preserve">Sleep habit</x:t>
        </x:is>
      </x:c>
      <x:c r="F39" s="16" t="inlineStr">
        <x:is>
          <x:t xml:space="preserve">BCC+</x:t>
        </x:is>
      </x:c>
      <x:c r="G39" s="16" t="inlineStr">
        <x:is>
          <x:t xml:space="preserve">Muted</x:t>
        </x:is>
      </x:c>
      <x:c r="H39" s="16" t="inlineStr">
        <x:is>
          <x:t xml:space="preserve">Use mobile portrait playback</x:t>
        </x:is>
      </x:c>
      <x:c r="I39" s="16" t="inlineStr">
        <x:is>
          <x:t xml:space="preserve"/>
        </x:is>
      </x:c>
    </x:row>
    <x:row r="40">
      <x:c r="A40" s="17" t="inlineStr">
        <x:is>
          <x:t xml:space="preserve">P003</x:t>
        </x:is>
      </x:c>
      <x:c r="B40" s="17" t="n">
        <x:v>1</x:v>
      </x:c>
      <x:c r="C40" s="17" t="n">
        <x:v>12</x:v>
      </x:c>
      <x:c r="D40" s="17" t="inlineStr">
        <x:is>
          <x:t xml:space="preserve">V08</x:t>
        </x:is>
      </x:c>
      <x:c r="E40" s="17" t="inlineStr">
        <x:is>
          <x:t xml:space="preserve">Coding</x:t>
        </x:is>
      </x:c>
      <x:c r="F40" s="17" t="inlineStr">
        <x:is>
          <x:t xml:space="preserve">BCC</x:t>
        </x:is>
      </x:c>
      <x:c r="G40" s="17" t="inlineStr">
        <x:is>
          <x:t xml:space="preserve">Muted</x:t>
        </x:is>
      </x:c>
      <x:c r="H40" s="17" t="inlineStr">
        <x:is>
          <x:t xml:space="preserve">Use mobile portrait playback</x:t>
        </x:is>
      </x:c>
      <x:c r="I40" s="17" t="inlineStr">
        <x:is>
          <x:t xml:space="preserve"/>
        </x:is>
      </x:c>
    </x:row>
    <x:row r="41">
      <x:c r="A41" s="16" t="inlineStr">
        <x:is>
          <x:t xml:space="preserve">P004</x:t>
        </x:is>
      </x:c>
      <x:c r="B41" s="16" t="n">
        <x:v>1</x:v>
      </x:c>
      <x:c r="C41" s="16" t="n">
        <x:v>1</x:v>
      </x:c>
      <x:c r="D41" s="16" t="inlineStr">
        <x:is>
          <x:t xml:space="preserve">V06</x:t>
        </x:is>
      </x:c>
      <x:c r="E41" s="16" t="inlineStr">
        <x:is>
          <x:t xml:space="preserve">Overload</x:t>
        </x:is>
      </x:c>
      <x:c r="F41" s="16" t="inlineStr">
        <x:is>
          <x:t xml:space="preserve">Semantic compression</x:t>
        </x:is>
      </x:c>
      <x:c r="G41" s="16" t="inlineStr">
        <x:is>
          <x:t xml:space="preserve">Muted</x:t>
        </x:is>
      </x:c>
      <x:c r="H41" s="16" t="inlineStr">
        <x:is>
          <x:t xml:space="preserve">Use mobile portrait playback</x:t>
        </x:is>
      </x:c>
      <x:c r="I41" s="16" t="inlineStr">
        <x:is>
          <x:t xml:space="preserve"/>
        </x:is>
      </x:c>
    </x:row>
    <x:row r="42">
      <x:c r="A42" s="17" t="inlineStr">
        <x:is>
          <x:t xml:space="preserve">P004</x:t>
        </x:is>
      </x:c>
      <x:c r="B42" s="17" t="n">
        <x:v>1</x:v>
      </x:c>
      <x:c r="C42" s="17" t="n">
        <x:v>2</x:v>
      </x:c>
      <x:c r="D42" s="17" t="inlineStr">
        <x:is>
          <x:t xml:space="preserve">V08</x:t>
        </x:is>
      </x:c>
      <x:c r="E42" s="17" t="inlineStr">
        <x:is>
          <x:t xml:space="preserve">Coding</x:t>
        </x:is>
      </x:c>
      <x:c r="F42" s="17" t="inlineStr">
        <x:is>
          <x:t xml:space="preserve">BCC+</x:t>
        </x:is>
      </x:c>
      <x:c r="G42" s="17" t="inlineStr">
        <x:is>
          <x:t xml:space="preserve">Muted</x:t>
        </x:is>
      </x:c>
      <x:c r="H42" s="17" t="inlineStr">
        <x:is>
          <x:t xml:space="preserve">Use mobile portrait playback</x:t>
        </x:is>
      </x:c>
      <x:c r="I42" s="17" t="inlineStr">
        <x:is>
          <x:t xml:space="preserve"/>
        </x:is>
      </x:c>
    </x:row>
    <x:row r="43">
      <x:c r="A43" s="16" t="inlineStr">
        <x:is>
          <x:t xml:space="preserve">P004</x:t>
        </x:is>
      </x:c>
      <x:c r="B43" s="16" t="n">
        <x:v>1</x:v>
      </x:c>
      <x:c r="C43" s="16" t="n">
        <x:v>3</x:v>
      </x:c>
      <x:c r="D43" s="16" t="inlineStr">
        <x:is>
          <x:t xml:space="preserve">V05</x:t>
        </x:is>
      </x:c>
      <x:c r="E43" s="16" t="inlineStr">
        <x:is>
          <x:t xml:space="preserve">Tutorial</x:t>
        </x:is>
      </x:c>
      <x:c r="F43" s="16" t="inlineStr">
        <x:is>
          <x:t xml:space="preserve">Keyword highlight</x:t>
        </x:is>
      </x:c>
      <x:c r="G43" s="16" t="inlineStr">
        <x:is>
          <x:t xml:space="preserve">Muted</x:t>
        </x:is>
      </x:c>
      <x:c r="H43" s="16" t="inlineStr">
        <x:is>
          <x:t xml:space="preserve">Use mobile portrait playback</x:t>
        </x:is>
      </x:c>
      <x:c r="I43" s="16" t="inlineStr">
        <x:is>
          <x:t xml:space="preserve"/>
        </x:is>
      </x:c>
    </x:row>
    <x:row r="44">
      <x:c r="A44" s="17" t="inlineStr">
        <x:is>
          <x:t xml:space="preserve">P004</x:t>
        </x:is>
      </x:c>
      <x:c r="B44" s="17" t="n">
        <x:v>1</x:v>
      </x:c>
      <x:c r="C44" s="17" t="n">
        <x:v>4</x:v>
      </x:c>
      <x:c r="D44" s="17" t="inlineStr">
        <x:is>
          <x:t xml:space="preserve">V01</x:t>
        </x:is>
      </x:c>
      <x:c r="E44" s="17" t="inlineStr">
        <x:is>
          <x:t xml:space="preserve">Productivity</x:t>
        </x:is>
      </x:c>
      <x:c r="F44" s="17" t="inlineStr">
        <x:is>
          <x:t xml:space="preserve">BCC</x:t>
        </x:is>
      </x:c>
      <x:c r="G44" s="17" t="inlineStr">
        <x:is>
          <x:t xml:space="preserve">Muted</x:t>
        </x:is>
      </x:c>
      <x:c r="H44" s="17" t="inlineStr">
        <x:is>
          <x:t xml:space="preserve">Use mobile portrait playback</x:t>
        </x:is>
      </x:c>
      <x:c r="I44" s="17" t="inlineStr">
        <x:is>
          <x:t xml:space="preserve"/>
        </x:is>
      </x:c>
    </x:row>
    <x:row r="45">
      <x:c r="A45" s="16" t="inlineStr">
        <x:is>
          <x:t xml:space="preserve">P004</x:t>
        </x:is>
      </x:c>
      <x:c r="B45" s="16" t="n">
        <x:v>1</x:v>
      </x:c>
      <x:c r="C45" s="16" t="n">
        <x:v>5</x:v>
      </x:c>
      <x:c r="D45" s="16" t="inlineStr">
        <x:is>
          <x:t xml:space="preserve">V03</x:t>
        </x:is>
      </x:c>
      <x:c r="E45" s="16" t="inlineStr">
        <x:is>
          <x:t xml:space="preserve">Fitness</x:t>
        </x:is>
      </x:c>
      <x:c r="F45" s="16" t="inlineStr">
        <x:is>
          <x:t xml:space="preserve">Heavy bionic</x:t>
        </x:is>
      </x:c>
      <x:c r="G45" s="16" t="inlineStr">
        <x:is>
          <x:t xml:space="preserve">Muted</x:t>
        </x:is>
      </x:c>
      <x:c r="H45" s="16" t="inlineStr">
        <x:is>
          <x:t xml:space="preserve">Use mobile portrait playback</x:t>
        </x:is>
      </x:c>
      <x:c r="I45" s="16" t="inlineStr">
        <x:is>
          <x:t xml:space="preserve"/>
        </x:is>
      </x:c>
    </x:row>
    <x:row r="46">
      <x:c r="A46" s="17" t="inlineStr">
        <x:is>
          <x:t xml:space="preserve">P004</x:t>
        </x:is>
      </x:c>
      <x:c r="B46" s="17" t="n">
        <x:v>1</x:v>
      </x:c>
      <x:c r="C46" s="17" t="n">
        <x:v>6</x:v>
      </x:c>
      <x:c r="D46" s="17" t="inlineStr">
        <x:is>
          <x:t xml:space="preserve">V11</x:t>
        </x:is>
      </x:c>
      <x:c r="E46" s="17" t="inlineStr">
        <x:is>
          <x:t xml:space="preserve">Creator strategy</x:t>
        </x:is>
      </x:c>
      <x:c r="F46" s="17" t="inlineStr">
        <x:is>
          <x:t xml:space="preserve">Keyword highlight</x:t>
        </x:is>
      </x:c>
      <x:c r="G46" s="17" t="inlineStr">
        <x:is>
          <x:t xml:space="preserve">Muted</x:t>
        </x:is>
      </x:c>
      <x:c r="H46" s="17" t="inlineStr">
        <x:is>
          <x:t xml:space="preserve">Use mobile portrait playback</x:t>
        </x:is>
      </x:c>
      <x:c r="I46" s="17" t="inlineStr">
        <x:is>
          <x:t xml:space="preserve"/>
        </x:is>
      </x:c>
    </x:row>
    <x:row r="47">
      <x:c r="A47" s="16" t="inlineStr">
        <x:is>
          <x:t xml:space="preserve">P004</x:t>
        </x:is>
      </x:c>
      <x:c r="B47" s="16" t="n">
        <x:v>1</x:v>
      </x:c>
      <x:c r="C47" s="16" t="n">
        <x:v>7</x:v>
      </x:c>
      <x:c r="D47" s="16" t="inlineStr">
        <x:is>
          <x:t xml:space="preserve">V12</x:t>
        </x:is>
      </x:c>
      <x:c r="E47" s="16" t="inlineStr">
        <x:is>
          <x:t xml:space="preserve">Time management</x:t>
        </x:is>
      </x:c>
      <x:c r="F47" s="16" t="inlineStr">
        <x:is>
          <x:t xml:space="preserve">Semantic compression</x:t>
        </x:is>
      </x:c>
      <x:c r="G47" s="16" t="inlineStr">
        <x:is>
          <x:t xml:space="preserve">Muted</x:t>
        </x:is>
      </x:c>
      <x:c r="H47" s="16" t="inlineStr">
        <x:is>
          <x:t xml:space="preserve">Use mobile portrait playback</x:t>
        </x:is>
      </x:c>
      <x:c r="I47" s="16" t="inlineStr">
        <x:is>
          <x:t xml:space="preserve"/>
        </x:is>
      </x:c>
    </x:row>
    <x:row r="48">
      <x:c r="A48" s="17" t="inlineStr">
        <x:is>
          <x:t xml:space="preserve">P004</x:t>
        </x:is>
      </x:c>
      <x:c r="B48" s="17" t="n">
        <x:v>1</x:v>
      </x:c>
      <x:c r="C48" s="17" t="n">
        <x:v>8</x:v>
      </x:c>
      <x:c r="D48" s="17" t="inlineStr">
        <x:is>
          <x:t xml:space="preserve">V04</x:t>
        </x:is>
      </x:c>
      <x:c r="E48" s="17" t="inlineStr">
        <x:is>
          <x:t xml:space="preserve">Finance</x:t>
        </x:is>
      </x:c>
      <x:c r="F48" s="17" t="inlineStr">
        <x:is>
          <x:t xml:space="preserve">Full transcript</x:t>
        </x:is>
      </x:c>
      <x:c r="G48" s="17" t="inlineStr">
        <x:is>
          <x:t xml:space="preserve">Muted</x:t>
        </x:is>
      </x:c>
      <x:c r="H48" s="17" t="inlineStr">
        <x:is>
          <x:t xml:space="preserve">Use mobile portrait playback</x:t>
        </x:is>
      </x:c>
      <x:c r="I48" s="17" t="inlineStr">
        <x:is>
          <x:t xml:space="preserve"/>
        </x:is>
      </x:c>
    </x:row>
    <x:row r="49">
      <x:c r="A49" s="16" t="inlineStr">
        <x:is>
          <x:t xml:space="preserve">P004</x:t>
        </x:is>
      </x:c>
      <x:c r="B49" s="16" t="n">
        <x:v>1</x:v>
      </x:c>
      <x:c r="C49" s="16" t="n">
        <x:v>9</x:v>
      </x:c>
      <x:c r="D49" s="16" t="inlineStr">
        <x:is>
          <x:t xml:space="preserve">V09</x:t>
        </x:is>
      </x:c>
      <x:c r="E49" s="16" t="inlineStr">
        <x:is>
          <x:t xml:space="preserve">Sleep habit</x:t>
        </x:is>
      </x:c>
      <x:c r="F49" s="16" t="inlineStr">
        <x:is>
          <x:t xml:space="preserve">Heavy bionic</x:t>
        </x:is>
      </x:c>
      <x:c r="G49" s="16" t="inlineStr">
        <x:is>
          <x:t xml:space="preserve">Muted</x:t>
        </x:is>
      </x:c>
      <x:c r="H49" s="16" t="inlineStr">
        <x:is>
          <x:t xml:space="preserve">Use mobile portrait playback</x:t>
        </x:is>
      </x:c>
      <x:c r="I49" s="16" t="inlineStr">
        <x:is>
          <x:t xml:space="preserve"/>
        </x:is>
      </x:c>
    </x:row>
    <x:row r="50">
      <x:c r="A50" s="17" t="inlineStr">
        <x:is>
          <x:t xml:space="preserve">P004</x:t>
        </x:is>
      </x:c>
      <x:c r="B50" s="17" t="n">
        <x:v>1</x:v>
      </x:c>
      <x:c r="C50" s="17" t="n">
        <x:v>10</x:v>
      </x:c>
      <x:c r="D50" s="17" t="inlineStr">
        <x:is>
          <x:t xml:space="preserve">V10</x:t>
        </x:is>
      </x:c>
      <x:c r="E50" s="17" t="inlineStr">
        <x:is>
          <x:t xml:space="preserve">Product demo</x:t>
        </x:is>
      </x:c>
      <x:c r="F50" s="17" t="inlineStr">
        <x:is>
          <x:t xml:space="preserve">Full transcript</x:t>
        </x:is>
      </x:c>
      <x:c r="G50" s="17" t="inlineStr">
        <x:is>
          <x:t xml:space="preserve">Muted</x:t>
        </x:is>
      </x:c>
      <x:c r="H50" s="17" t="inlineStr">
        <x:is>
          <x:t xml:space="preserve">Use mobile portrait playback</x:t>
        </x:is>
      </x:c>
      <x:c r="I50" s="17" t="inlineStr">
        <x:is>
          <x:t xml:space="preserve"/>
        </x:is>
      </x:c>
    </x:row>
    <x:row r="51">
      <x:c r="A51" s="16" t="inlineStr">
        <x:is>
          <x:t xml:space="preserve">P004</x:t>
        </x:is>
      </x:c>
      <x:c r="B51" s="16" t="n">
        <x:v>1</x:v>
      </x:c>
      <x:c r="C51" s="16" t="n">
        <x:v>11</x:v>
      </x:c>
      <x:c r="D51" s="16" t="inlineStr">
        <x:is>
          <x:t xml:space="preserve">V02</x:t>
        </x:is>
      </x:c>
      <x:c r="E51" s="16" t="inlineStr">
        <x:is>
          <x:t xml:space="preserve">Study</x:t>
        </x:is>
      </x:c>
      <x:c r="F51" s="16" t="inlineStr">
        <x:is>
          <x:t xml:space="preserve">BCC+</x:t>
        </x:is>
      </x:c>
      <x:c r="G51" s="16" t="inlineStr">
        <x:is>
          <x:t xml:space="preserve">Muted</x:t>
        </x:is>
      </x:c>
      <x:c r="H51" s="16" t="inlineStr">
        <x:is>
          <x:t xml:space="preserve">Use mobile portrait playback</x:t>
        </x:is>
      </x:c>
      <x:c r="I51" s="16" t="inlineStr">
        <x:is>
          <x:t xml:space="preserve"/>
        </x:is>
      </x:c>
    </x:row>
    <x:row r="52">
      <x:c r="A52" s="17" t="inlineStr">
        <x:is>
          <x:t xml:space="preserve">P004</x:t>
        </x:is>
      </x:c>
      <x:c r="B52" s="17" t="n">
        <x:v>1</x:v>
      </x:c>
      <x:c r="C52" s="17" t="n">
        <x:v>12</x:v>
      </x:c>
      <x:c r="D52" s="17" t="inlineStr">
        <x:is>
          <x:t xml:space="preserve">V07</x:t>
        </x:is>
      </x:c>
      <x:c r="E52" s="17" t="inlineStr">
        <x:is>
          <x:t xml:space="preserve">Business</x:t>
        </x:is>
      </x:c>
      <x:c r="F52" s="17" t="inlineStr">
        <x:is>
          <x:t xml:space="preserve">BCC</x:t>
        </x:is>
      </x:c>
      <x:c r="G52" s="17" t="inlineStr">
        <x:is>
          <x:t xml:space="preserve">Muted</x:t>
        </x:is>
      </x:c>
      <x:c r="H52" s="17" t="inlineStr">
        <x:is>
          <x:t xml:space="preserve">Use mobile portrait playback</x:t>
        </x:is>
      </x:c>
      <x:c r="I52" s="17" t="inlineStr">
        <x:is>
          <x:t xml:space="preserve"/>
        </x:is>
      </x:c>
    </x:row>
    <x:row r="53">
      <x:c r="A53" s="16" t="inlineStr">
        <x:is>
          <x:t xml:space="preserve">P005</x:t>
        </x:is>
      </x:c>
      <x:c r="B53" s="16" t="n">
        <x:v>1</x:v>
      </x:c>
      <x:c r="C53" s="16" t="n">
        <x:v>1</x:v>
      </x:c>
      <x:c r="D53" s="16" t="inlineStr">
        <x:is>
          <x:t xml:space="preserve">V10</x:t>
        </x:is>
      </x:c>
      <x:c r="E53" s="16" t="inlineStr">
        <x:is>
          <x:t xml:space="preserve">Product demo</x:t>
        </x:is>
      </x:c>
      <x:c r="F53" s="16" t="inlineStr">
        <x:is>
          <x:t xml:space="preserve">Keyword highlight</x:t>
        </x:is>
      </x:c>
      <x:c r="G53" s="16" t="inlineStr">
        <x:is>
          <x:t xml:space="preserve">Muted</x:t>
        </x:is>
      </x:c>
      <x:c r="H53" s="16" t="inlineStr">
        <x:is>
          <x:t xml:space="preserve">Use mobile portrait playback</x:t>
        </x:is>
      </x:c>
      <x:c r="I53" s="16" t="inlineStr">
        <x:is>
          <x:t xml:space="preserve"/>
        </x:is>
      </x:c>
    </x:row>
    <x:row r="54">
      <x:c r="A54" s="17" t="inlineStr">
        <x:is>
          <x:t xml:space="preserve">P005</x:t>
        </x:is>
      </x:c>
      <x:c r="B54" s="17" t="n">
        <x:v>1</x:v>
      </x:c>
      <x:c r="C54" s="17" t="n">
        <x:v>2</x:v>
      </x:c>
      <x:c r="D54" s="17" t="inlineStr">
        <x:is>
          <x:t xml:space="preserve">V06</x:t>
        </x:is>
      </x:c>
      <x:c r="E54" s="17" t="inlineStr">
        <x:is>
          <x:t xml:space="preserve">Overload</x:t>
        </x:is>
      </x:c>
      <x:c r="F54" s="17" t="inlineStr">
        <x:is>
          <x:t xml:space="preserve">BCC</x:t>
        </x:is>
      </x:c>
      <x:c r="G54" s="17" t="inlineStr">
        <x:is>
          <x:t xml:space="preserve">Muted</x:t>
        </x:is>
      </x:c>
      <x:c r="H54" s="17" t="inlineStr">
        <x:is>
          <x:t xml:space="preserve">Use mobile portrait playback</x:t>
        </x:is>
      </x:c>
      <x:c r="I54" s="17" t="inlineStr">
        <x:is>
          <x:t xml:space="preserve"/>
        </x:is>
      </x:c>
    </x:row>
    <x:row r="55">
      <x:c r="A55" s="16" t="inlineStr">
        <x:is>
          <x:t xml:space="preserve">P005</x:t>
        </x:is>
      </x:c>
      <x:c r="B55" s="16" t="n">
        <x:v>1</x:v>
      </x:c>
      <x:c r="C55" s="16" t="n">
        <x:v>3</x:v>
      </x:c>
      <x:c r="D55" s="16" t="inlineStr">
        <x:is>
          <x:t xml:space="preserve">V01</x:t>
        </x:is>
      </x:c>
      <x:c r="E55" s="16" t="inlineStr">
        <x:is>
          <x:t xml:space="preserve">Productivity</x:t>
        </x:is>
      </x:c>
      <x:c r="F55" s="16" t="inlineStr">
        <x:is>
          <x:t xml:space="preserve">BCC+</x:t>
        </x:is>
      </x:c>
      <x:c r="G55" s="16" t="inlineStr">
        <x:is>
          <x:t xml:space="preserve">Muted</x:t>
        </x:is>
      </x:c>
      <x:c r="H55" s="16" t="inlineStr">
        <x:is>
          <x:t xml:space="preserve">Use mobile portrait playback</x:t>
        </x:is>
      </x:c>
      <x:c r="I55" s="16" t="inlineStr">
        <x:is>
          <x:t xml:space="preserve"/>
        </x:is>
      </x:c>
    </x:row>
    <x:row r="56">
      <x:c r="A56" s="17" t="inlineStr">
        <x:is>
          <x:t xml:space="preserve">P005</x:t>
        </x:is>
      </x:c>
      <x:c r="B56" s="17" t="n">
        <x:v>1</x:v>
      </x:c>
      <x:c r="C56" s="17" t="n">
        <x:v>4</x:v>
      </x:c>
      <x:c r="D56" s="17" t="inlineStr">
        <x:is>
          <x:t xml:space="preserve">V04</x:t>
        </x:is>
      </x:c>
      <x:c r="E56" s="17" t="inlineStr">
        <x:is>
          <x:t xml:space="preserve">Finance</x:t>
        </x:is>
      </x:c>
      <x:c r="F56" s="17" t="inlineStr">
        <x:is>
          <x:t xml:space="preserve">Keyword highlight</x:t>
        </x:is>
      </x:c>
      <x:c r="G56" s="17" t="inlineStr">
        <x:is>
          <x:t xml:space="preserve">Muted</x:t>
        </x:is>
      </x:c>
      <x:c r="H56" s="17" t="inlineStr">
        <x:is>
          <x:t xml:space="preserve">Use mobile portrait playback</x:t>
        </x:is>
      </x:c>
      <x:c r="I56" s="17" t="inlineStr">
        <x:is>
          <x:t xml:space="preserve"/>
        </x:is>
      </x:c>
    </x:row>
    <x:row r="57">
      <x:c r="A57" s="16" t="inlineStr">
        <x:is>
          <x:t xml:space="preserve">P005</x:t>
        </x:is>
      </x:c>
      <x:c r="B57" s="16" t="n">
        <x:v>1</x:v>
      </x:c>
      <x:c r="C57" s="16" t="n">
        <x:v>5</x:v>
      </x:c>
      <x:c r="D57" s="16" t="inlineStr">
        <x:is>
          <x:t xml:space="preserve">V02</x:t>
        </x:is>
      </x:c>
      <x:c r="E57" s="16" t="inlineStr">
        <x:is>
          <x:t xml:space="preserve">Study</x:t>
        </x:is>
      </x:c>
      <x:c r="F57" s="16" t="inlineStr">
        <x:is>
          <x:t xml:space="preserve">Heavy bionic</x:t>
        </x:is>
      </x:c>
      <x:c r="G57" s="16" t="inlineStr">
        <x:is>
          <x:t xml:space="preserve">Muted</x:t>
        </x:is>
      </x:c>
      <x:c r="H57" s="16" t="inlineStr">
        <x:is>
          <x:t xml:space="preserve">Use mobile portrait playback</x:t>
        </x:is>
      </x:c>
      <x:c r="I57" s="16" t="inlineStr">
        <x:is>
          <x:t xml:space="preserve"/>
        </x:is>
      </x:c>
    </x:row>
    <x:row r="58">
      <x:c r="A58" s="17" t="inlineStr">
        <x:is>
          <x:t xml:space="preserve">P005</x:t>
        </x:is>
      </x:c>
      <x:c r="B58" s="17" t="n">
        <x:v>1</x:v>
      </x:c>
      <x:c r="C58" s="17" t="n">
        <x:v>6</x:v>
      </x:c>
      <x:c r="D58" s="17" t="inlineStr">
        <x:is>
          <x:t xml:space="preserve">V12</x:t>
        </x:is>
      </x:c>
      <x:c r="E58" s="17" t="inlineStr">
        <x:is>
          <x:t xml:space="preserve">Time management</x:t>
        </x:is>
      </x:c>
      <x:c r="F58" s="17" t="inlineStr">
        <x:is>
          <x:t xml:space="preserve">BCC</x:t>
        </x:is>
      </x:c>
      <x:c r="G58" s="17" t="inlineStr">
        <x:is>
          <x:t xml:space="preserve">Muted</x:t>
        </x:is>
      </x:c>
      <x:c r="H58" s="17" t="inlineStr">
        <x:is>
          <x:t xml:space="preserve">Use mobile portrait playback</x:t>
        </x:is>
      </x:c>
      <x:c r="I58" s="17" t="inlineStr">
        <x:is>
          <x:t xml:space="preserve"/>
        </x:is>
      </x:c>
    </x:row>
    <x:row r="59">
      <x:c r="A59" s="16" t="inlineStr">
        <x:is>
          <x:t xml:space="preserve">P005</x:t>
        </x:is>
      </x:c>
      <x:c r="B59" s="16" t="n">
        <x:v>1</x:v>
      </x:c>
      <x:c r="C59" s="16" t="n">
        <x:v>7</x:v>
      </x:c>
      <x:c r="D59" s="16" t="inlineStr">
        <x:is>
          <x:t xml:space="preserve">V03</x:t>
        </x:is>
      </x:c>
      <x:c r="E59" s="16" t="inlineStr">
        <x:is>
          <x:t xml:space="preserve">Fitness</x:t>
        </x:is>
      </x:c>
      <x:c r="F59" s="16" t="inlineStr">
        <x:is>
          <x:t xml:space="preserve">Full transcript</x:t>
        </x:is>
      </x:c>
      <x:c r="G59" s="16" t="inlineStr">
        <x:is>
          <x:t xml:space="preserve">Muted</x:t>
        </x:is>
      </x:c>
      <x:c r="H59" s="16" t="inlineStr">
        <x:is>
          <x:t xml:space="preserve">Use mobile portrait playback</x:t>
        </x:is>
      </x:c>
      <x:c r="I59" s="16" t="inlineStr">
        <x:is>
          <x:t xml:space="preserve"/>
        </x:is>
      </x:c>
    </x:row>
    <x:row r="60">
      <x:c r="A60" s="17" t="inlineStr">
        <x:is>
          <x:t xml:space="preserve">P005</x:t>
        </x:is>
      </x:c>
      <x:c r="B60" s="17" t="n">
        <x:v>1</x:v>
      </x:c>
      <x:c r="C60" s="17" t="n">
        <x:v>8</x:v>
      </x:c>
      <x:c r="D60" s="17" t="inlineStr">
        <x:is>
          <x:t xml:space="preserve">V05</x:t>
        </x:is>
      </x:c>
      <x:c r="E60" s="17" t="inlineStr">
        <x:is>
          <x:t xml:space="preserve">Tutorial</x:t>
        </x:is>
      </x:c>
      <x:c r="F60" s="17" t="inlineStr">
        <x:is>
          <x:t xml:space="preserve">Semantic compression</x:t>
        </x:is>
      </x:c>
      <x:c r="G60" s="17" t="inlineStr">
        <x:is>
          <x:t xml:space="preserve">Muted</x:t>
        </x:is>
      </x:c>
      <x:c r="H60" s="17" t="inlineStr">
        <x:is>
          <x:t xml:space="preserve">Use mobile portrait playback</x:t>
        </x:is>
      </x:c>
      <x:c r="I60" s="17" t="inlineStr">
        <x:is>
          <x:t xml:space="preserve"/>
        </x:is>
      </x:c>
    </x:row>
    <x:row r="61">
      <x:c r="A61" s="16" t="inlineStr">
        <x:is>
          <x:t xml:space="preserve">P005</x:t>
        </x:is>
      </x:c>
      <x:c r="B61" s="16" t="n">
        <x:v>1</x:v>
      </x:c>
      <x:c r="C61" s="16" t="n">
        <x:v>9</x:v>
      </x:c>
      <x:c r="D61" s="16" t="inlineStr">
        <x:is>
          <x:t xml:space="preserve">V11</x:t>
        </x:is>
      </x:c>
      <x:c r="E61" s="16" t="inlineStr">
        <x:is>
          <x:t xml:space="preserve">Creator strategy</x:t>
        </x:is>
      </x:c>
      <x:c r="F61" s="16" t="inlineStr">
        <x:is>
          <x:t xml:space="preserve">Semantic compression</x:t>
        </x:is>
      </x:c>
      <x:c r="G61" s="16" t="inlineStr">
        <x:is>
          <x:t xml:space="preserve">Muted</x:t>
        </x:is>
      </x:c>
      <x:c r="H61" s="16" t="inlineStr">
        <x:is>
          <x:t xml:space="preserve">Use mobile portrait playback</x:t>
        </x:is>
      </x:c>
      <x:c r="I61" s="16" t="inlineStr">
        <x:is>
          <x:t xml:space="preserve"/>
        </x:is>
      </x:c>
    </x:row>
    <x:row r="62">
      <x:c r="A62" s="17" t="inlineStr">
        <x:is>
          <x:t xml:space="preserve">P005</x:t>
        </x:is>
      </x:c>
      <x:c r="B62" s="17" t="n">
        <x:v>1</x:v>
      </x:c>
      <x:c r="C62" s="17" t="n">
        <x:v>10</x:v>
      </x:c>
      <x:c r="D62" s="17" t="inlineStr">
        <x:is>
          <x:t xml:space="preserve">V09</x:t>
        </x:is>
      </x:c>
      <x:c r="E62" s="17" t="inlineStr">
        <x:is>
          <x:t xml:space="preserve">Sleep habit</x:t>
        </x:is>
      </x:c>
      <x:c r="F62" s="17" t="inlineStr">
        <x:is>
          <x:t xml:space="preserve">Full transcript</x:t>
        </x:is>
      </x:c>
      <x:c r="G62" s="17" t="inlineStr">
        <x:is>
          <x:t xml:space="preserve">Muted</x:t>
        </x:is>
      </x:c>
      <x:c r="H62" s="17" t="inlineStr">
        <x:is>
          <x:t xml:space="preserve">Use mobile portrait playback</x:t>
        </x:is>
      </x:c>
      <x:c r="I62" s="17" t="inlineStr">
        <x:is>
          <x:t xml:space="preserve"/>
        </x:is>
      </x:c>
    </x:row>
    <x:row r="63">
      <x:c r="A63" s="16" t="inlineStr">
        <x:is>
          <x:t xml:space="preserve">P005</x:t>
        </x:is>
      </x:c>
      <x:c r="B63" s="16" t="n">
        <x:v>1</x:v>
      </x:c>
      <x:c r="C63" s="16" t="n">
        <x:v>11</x:v>
      </x:c>
      <x:c r="D63" s="16" t="inlineStr">
        <x:is>
          <x:t xml:space="preserve">V07</x:t>
        </x:is>
      </x:c>
      <x:c r="E63" s="16" t="inlineStr">
        <x:is>
          <x:t xml:space="preserve">Business</x:t>
        </x:is>
      </x:c>
      <x:c r="F63" s="16" t="inlineStr">
        <x:is>
          <x:t xml:space="preserve">BCC+</x:t>
        </x:is>
      </x:c>
      <x:c r="G63" s="16" t="inlineStr">
        <x:is>
          <x:t xml:space="preserve">Muted</x:t>
        </x:is>
      </x:c>
      <x:c r="H63" s="16" t="inlineStr">
        <x:is>
          <x:t xml:space="preserve">Use mobile portrait playback</x:t>
        </x:is>
      </x:c>
      <x:c r="I63" s="16" t="inlineStr">
        <x:is>
          <x:t xml:space="preserve"/>
        </x:is>
      </x:c>
    </x:row>
    <x:row r="64">
      <x:c r="A64" s="17" t="inlineStr">
        <x:is>
          <x:t xml:space="preserve">P005</x:t>
        </x:is>
      </x:c>
      <x:c r="B64" s="17" t="n">
        <x:v>1</x:v>
      </x:c>
      <x:c r="C64" s="17" t="n">
        <x:v>12</x:v>
      </x:c>
      <x:c r="D64" s="17" t="inlineStr">
        <x:is>
          <x:t xml:space="preserve">V08</x:t>
        </x:is>
      </x:c>
      <x:c r="E64" s="17" t="inlineStr">
        <x:is>
          <x:t xml:space="preserve">Coding</x:t>
        </x:is>
      </x:c>
      <x:c r="F64" s="17" t="inlineStr">
        <x:is>
          <x:t xml:space="preserve">Heavy bionic</x:t>
        </x:is>
      </x:c>
      <x:c r="G64" s="17" t="inlineStr">
        <x:is>
          <x:t xml:space="preserve">Muted</x:t>
        </x:is>
      </x:c>
      <x:c r="H64" s="17" t="inlineStr">
        <x:is>
          <x:t xml:space="preserve">Use mobile portrait playback</x:t>
        </x:is>
      </x:c>
      <x:c r="I64" s="17" t="inlineStr">
        <x:is>
          <x:t xml:space="preserve"/>
        </x:is>
      </x:c>
    </x:row>
    <x:row r="65">
      <x:c r="A65" s="16" t="inlineStr">
        <x:is>
          <x:t xml:space="preserve">P006</x:t>
        </x:is>
      </x:c>
      <x:c r="B65" s="16" t="n">
        <x:v>1</x:v>
      </x:c>
      <x:c r="C65" s="16" t="n">
        <x:v>1</x:v>
      </x:c>
      <x:c r="D65" s="16" t="inlineStr">
        <x:is>
          <x:t xml:space="preserve">V12</x:t>
        </x:is>
      </x:c>
      <x:c r="E65" s="16" t="inlineStr">
        <x:is>
          <x:t xml:space="preserve">Time management</x:t>
        </x:is>
      </x:c>
      <x:c r="F65" s="16" t="inlineStr">
        <x:is>
          <x:t xml:space="preserve">BCC+</x:t>
        </x:is>
      </x:c>
      <x:c r="G65" s="16" t="inlineStr">
        <x:is>
          <x:t xml:space="preserve">Muted</x:t>
        </x:is>
      </x:c>
      <x:c r="H65" s="16" t="inlineStr">
        <x:is>
          <x:t xml:space="preserve">Use mobile portrait playback</x:t>
        </x:is>
      </x:c>
      <x:c r="I65" s="16" t="inlineStr">
        <x:is>
          <x:t xml:space="preserve"/>
        </x:is>
      </x:c>
    </x:row>
    <x:row r="66">
      <x:c r="A66" s="17" t="inlineStr">
        <x:is>
          <x:t xml:space="preserve">P006</x:t>
        </x:is>
      </x:c>
      <x:c r="B66" s="17" t="n">
        <x:v>1</x:v>
      </x:c>
      <x:c r="C66" s="17" t="n">
        <x:v>2</x:v>
      </x:c>
      <x:c r="D66" s="17" t="inlineStr">
        <x:is>
          <x:t xml:space="preserve">V07</x:t>
        </x:is>
      </x:c>
      <x:c r="E66" s="17" t="inlineStr">
        <x:is>
          <x:t xml:space="preserve">Business</x:t>
        </x:is>
      </x:c>
      <x:c r="F66" s="17" t="inlineStr">
        <x:is>
          <x:t xml:space="preserve">Heavy bionic</x:t>
        </x:is>
      </x:c>
      <x:c r="G66" s="17" t="inlineStr">
        <x:is>
          <x:t xml:space="preserve">Muted</x:t>
        </x:is>
      </x:c>
      <x:c r="H66" s="17" t="inlineStr">
        <x:is>
          <x:t xml:space="preserve">Use mobile portrait playback</x:t>
        </x:is>
      </x:c>
      <x:c r="I66" s="17" t="inlineStr">
        <x:is>
          <x:t xml:space="preserve"/>
        </x:is>
      </x:c>
    </x:row>
    <x:row r="67">
      <x:c r="A67" s="16" t="inlineStr">
        <x:is>
          <x:t xml:space="preserve">P006</x:t>
        </x:is>
      </x:c>
      <x:c r="B67" s="16" t="n">
        <x:v>1</x:v>
      </x:c>
      <x:c r="C67" s="16" t="n">
        <x:v>3</x:v>
      </x:c>
      <x:c r="D67" s="16" t="inlineStr">
        <x:is>
          <x:t xml:space="preserve">V10</x:t>
        </x:is>
      </x:c>
      <x:c r="E67" s="16" t="inlineStr">
        <x:is>
          <x:t xml:space="preserve">Product demo</x:t>
        </x:is>
      </x:c>
      <x:c r="F67" s="16" t="inlineStr">
        <x:is>
          <x:t xml:space="preserve">Semantic compression</x:t>
        </x:is>
      </x:c>
      <x:c r="G67" s="16" t="inlineStr">
        <x:is>
          <x:t xml:space="preserve">Muted</x:t>
        </x:is>
      </x:c>
      <x:c r="H67" s="16" t="inlineStr">
        <x:is>
          <x:t xml:space="preserve">Use mobile portrait playback</x:t>
        </x:is>
      </x:c>
      <x:c r="I67" s="16" t="inlineStr">
        <x:is>
          <x:t xml:space="preserve"/>
        </x:is>
      </x:c>
    </x:row>
    <x:row r="68">
      <x:c r="A68" s="17" t="inlineStr">
        <x:is>
          <x:t xml:space="preserve">P006</x:t>
        </x:is>
      </x:c>
      <x:c r="B68" s="17" t="n">
        <x:v>1</x:v>
      </x:c>
      <x:c r="C68" s="17" t="n">
        <x:v>4</x:v>
      </x:c>
      <x:c r="D68" s="17" t="inlineStr">
        <x:is>
          <x:t xml:space="preserve">V09</x:t>
        </x:is>
      </x:c>
      <x:c r="E68" s="17" t="inlineStr">
        <x:is>
          <x:t xml:space="preserve">Sleep habit</x:t>
        </x:is>
      </x:c>
      <x:c r="F68" s="17" t="inlineStr">
        <x:is>
          <x:t xml:space="preserve">Keyword highlight</x:t>
        </x:is>
      </x:c>
      <x:c r="G68" s="17" t="inlineStr">
        <x:is>
          <x:t xml:space="preserve">Muted</x:t>
        </x:is>
      </x:c>
      <x:c r="H68" s="17" t="inlineStr">
        <x:is>
          <x:t xml:space="preserve">Use mobile portrait playback</x:t>
        </x:is>
      </x:c>
      <x:c r="I68" s="17" t="inlineStr">
        <x:is>
          <x:t xml:space="preserve"/>
        </x:is>
      </x:c>
    </x:row>
    <x:row r="69">
      <x:c r="A69" s="16" t="inlineStr">
        <x:is>
          <x:t xml:space="preserve">P006</x:t>
        </x:is>
      </x:c>
      <x:c r="B69" s="16" t="n">
        <x:v>1</x:v>
      </x:c>
      <x:c r="C69" s="16" t="n">
        <x:v>5</x:v>
      </x:c>
      <x:c r="D69" s="16" t="inlineStr">
        <x:is>
          <x:t xml:space="preserve">V03</x:t>
        </x:is>
      </x:c>
      <x:c r="E69" s="16" t="inlineStr">
        <x:is>
          <x:t xml:space="preserve">Fitness</x:t>
        </x:is>
      </x:c>
      <x:c r="F69" s="16" t="inlineStr">
        <x:is>
          <x:t xml:space="preserve">Keyword highlight</x:t>
        </x:is>
      </x:c>
      <x:c r="G69" s="16" t="inlineStr">
        <x:is>
          <x:t xml:space="preserve">Muted</x:t>
        </x:is>
      </x:c>
      <x:c r="H69" s="16" t="inlineStr">
        <x:is>
          <x:t xml:space="preserve">Use mobile portrait playback</x:t>
        </x:is>
      </x:c>
      <x:c r="I69" s="16" t="inlineStr">
        <x:is>
          <x:t xml:space="preserve"/>
        </x:is>
      </x:c>
    </x:row>
    <x:row r="70">
      <x:c r="A70" s="17" t="inlineStr">
        <x:is>
          <x:t xml:space="preserve">P006</x:t>
        </x:is>
      </x:c>
      <x:c r="B70" s="17" t="n">
        <x:v>1</x:v>
      </x:c>
      <x:c r="C70" s="17" t="n">
        <x:v>6</x:v>
      </x:c>
      <x:c r="D70" s="17" t="inlineStr">
        <x:is>
          <x:t xml:space="preserve">V05</x:t>
        </x:is>
      </x:c>
      <x:c r="E70" s="17" t="inlineStr">
        <x:is>
          <x:t xml:space="preserve">Tutorial</x:t>
        </x:is>
      </x:c>
      <x:c r="F70" s="17" t="inlineStr">
        <x:is>
          <x:t xml:space="preserve">BCC</x:t>
        </x:is>
      </x:c>
      <x:c r="G70" s="17" t="inlineStr">
        <x:is>
          <x:t xml:space="preserve">Muted</x:t>
        </x:is>
      </x:c>
      <x:c r="H70" s="17" t="inlineStr">
        <x:is>
          <x:t xml:space="preserve">Use mobile portrait playback</x:t>
        </x:is>
      </x:c>
      <x:c r="I70" s="17" t="inlineStr">
        <x:is>
          <x:t xml:space="preserve"/>
        </x:is>
      </x:c>
    </x:row>
    <x:row r="71">
      <x:c r="A71" s="16" t="inlineStr">
        <x:is>
          <x:t xml:space="preserve">P006</x:t>
        </x:is>
      </x:c>
      <x:c r="B71" s="16" t="n">
        <x:v>1</x:v>
      </x:c>
      <x:c r="C71" s="16" t="n">
        <x:v>7</x:v>
      </x:c>
      <x:c r="D71" s="16" t="inlineStr">
        <x:is>
          <x:t xml:space="preserve">V02</x:t>
        </x:is>
      </x:c>
      <x:c r="E71" s="16" t="inlineStr">
        <x:is>
          <x:t xml:space="preserve">Study</x:t>
        </x:is>
      </x:c>
      <x:c r="F71" s="16" t="inlineStr">
        <x:is>
          <x:t xml:space="preserve">Full transcript</x:t>
        </x:is>
      </x:c>
      <x:c r="G71" s="16" t="inlineStr">
        <x:is>
          <x:t xml:space="preserve">Muted</x:t>
        </x:is>
      </x:c>
      <x:c r="H71" s="16" t="inlineStr">
        <x:is>
          <x:t xml:space="preserve">Use mobile portrait playback</x:t>
        </x:is>
      </x:c>
      <x:c r="I71" s="16" t="inlineStr">
        <x:is>
          <x:t xml:space="preserve"/>
        </x:is>
      </x:c>
    </x:row>
    <x:row r="72">
      <x:c r="A72" s="17" t="inlineStr">
        <x:is>
          <x:t xml:space="preserve">P006</x:t>
        </x:is>
      </x:c>
      <x:c r="B72" s="17" t="n">
        <x:v>1</x:v>
      </x:c>
      <x:c r="C72" s="17" t="n">
        <x:v>8</x:v>
      </x:c>
      <x:c r="D72" s="17" t="inlineStr">
        <x:is>
          <x:t xml:space="preserve">V11</x:t>
        </x:is>
      </x:c>
      <x:c r="E72" s="17" t="inlineStr">
        <x:is>
          <x:t xml:space="preserve">Creator strategy</x:t>
        </x:is>
      </x:c>
      <x:c r="F72" s="17" t="inlineStr">
        <x:is>
          <x:t xml:space="preserve">BCC</x:t>
        </x:is>
      </x:c>
      <x:c r="G72" s="17" t="inlineStr">
        <x:is>
          <x:t xml:space="preserve">Muted</x:t>
        </x:is>
      </x:c>
      <x:c r="H72" s="17" t="inlineStr">
        <x:is>
          <x:t xml:space="preserve">Use mobile portrait playback</x:t>
        </x:is>
      </x:c>
      <x:c r="I72" s="17" t="inlineStr">
        <x:is>
          <x:t xml:space="preserve"/>
        </x:is>
      </x:c>
    </x:row>
    <x:row r="73">
      <x:c r="A73" s="16" t="inlineStr">
        <x:is>
          <x:t xml:space="preserve">P006</x:t>
        </x:is>
      </x:c>
      <x:c r="B73" s="16" t="n">
        <x:v>1</x:v>
      </x:c>
      <x:c r="C73" s="16" t="n">
        <x:v>9</x:v>
      </x:c>
      <x:c r="D73" s="16" t="inlineStr">
        <x:is>
          <x:t xml:space="preserve">V08</x:t>
        </x:is>
      </x:c>
      <x:c r="E73" s="16" t="inlineStr">
        <x:is>
          <x:t xml:space="preserve">Coding</x:t>
        </x:is>
      </x:c>
      <x:c r="F73" s="16" t="inlineStr">
        <x:is>
          <x:t xml:space="preserve">Full transcript</x:t>
        </x:is>
      </x:c>
      <x:c r="G73" s="16" t="inlineStr">
        <x:is>
          <x:t xml:space="preserve">Muted</x:t>
        </x:is>
      </x:c>
      <x:c r="H73" s="16" t="inlineStr">
        <x:is>
          <x:t xml:space="preserve">Use mobile portrait playback</x:t>
        </x:is>
      </x:c>
      <x:c r="I73" s="16" t="inlineStr">
        <x:is>
          <x:t xml:space="preserve"/>
        </x:is>
      </x:c>
    </x:row>
    <x:row r="74">
      <x:c r="A74" s="17" t="inlineStr">
        <x:is>
          <x:t xml:space="preserve">P006</x:t>
        </x:is>
      </x:c>
      <x:c r="B74" s="17" t="n">
        <x:v>1</x:v>
      </x:c>
      <x:c r="C74" s="17" t="n">
        <x:v>10</x:v>
      </x:c>
      <x:c r="D74" s="17" t="inlineStr">
        <x:is>
          <x:t xml:space="preserve">V04</x:t>
        </x:is>
      </x:c>
      <x:c r="E74" s="17" t="inlineStr">
        <x:is>
          <x:t xml:space="preserve">Finance</x:t>
        </x:is>
      </x:c>
      <x:c r="F74" s="17" t="inlineStr">
        <x:is>
          <x:t xml:space="preserve">Semantic compression</x:t>
        </x:is>
      </x:c>
      <x:c r="G74" s="17" t="inlineStr">
        <x:is>
          <x:t xml:space="preserve">Muted</x:t>
        </x:is>
      </x:c>
      <x:c r="H74" s="17" t="inlineStr">
        <x:is>
          <x:t xml:space="preserve">Use mobile portrait playback</x:t>
        </x:is>
      </x:c>
      <x:c r="I74" s="17" t="inlineStr">
        <x:is>
          <x:t xml:space="preserve"/>
        </x:is>
      </x:c>
    </x:row>
    <x:row r="75">
      <x:c r="A75" s="16" t="inlineStr">
        <x:is>
          <x:t xml:space="preserve">P006</x:t>
        </x:is>
      </x:c>
      <x:c r="B75" s="16" t="n">
        <x:v>1</x:v>
      </x:c>
      <x:c r="C75" s="16" t="n">
        <x:v>11</x:v>
      </x:c>
      <x:c r="D75" s="16" t="inlineStr">
        <x:is>
          <x:t xml:space="preserve">V01</x:t>
        </x:is>
      </x:c>
      <x:c r="E75" s="16" t="inlineStr">
        <x:is>
          <x:t xml:space="preserve">Productivity</x:t>
        </x:is>
      </x:c>
      <x:c r="F75" s="16" t="inlineStr">
        <x:is>
          <x:t xml:space="preserve">Heavy bionic</x:t>
        </x:is>
      </x:c>
      <x:c r="G75" s="16" t="inlineStr">
        <x:is>
          <x:t xml:space="preserve">Muted</x:t>
        </x:is>
      </x:c>
      <x:c r="H75" s="16" t="inlineStr">
        <x:is>
          <x:t xml:space="preserve">Use mobile portrait playback</x:t>
        </x:is>
      </x:c>
      <x:c r="I75" s="16" t="inlineStr">
        <x:is>
          <x:t xml:space="preserve"/>
        </x:is>
      </x:c>
    </x:row>
    <x:row r="76">
      <x:c r="A76" s="17" t="inlineStr">
        <x:is>
          <x:t xml:space="preserve">P006</x:t>
        </x:is>
      </x:c>
      <x:c r="B76" s="17" t="n">
        <x:v>1</x:v>
      </x:c>
      <x:c r="C76" s="17" t="n">
        <x:v>12</x:v>
      </x:c>
      <x:c r="D76" s="17" t="inlineStr">
        <x:is>
          <x:t xml:space="preserve">V06</x:t>
        </x:is>
      </x:c>
      <x:c r="E76" s="17" t="inlineStr">
        <x:is>
          <x:t xml:space="preserve">Overload</x:t>
        </x:is>
      </x:c>
      <x:c r="F76" s="17" t="inlineStr">
        <x:is>
          <x:t xml:space="preserve">BCC+</x:t>
        </x:is>
      </x:c>
      <x:c r="G76" s="17" t="inlineStr">
        <x:is>
          <x:t xml:space="preserve">Muted</x:t>
        </x:is>
      </x:c>
      <x:c r="H76" s="17" t="inlineStr">
        <x:is>
          <x:t xml:space="preserve">Use mobile portrait playback</x:t>
        </x:is>
      </x:c>
      <x:c r="I76" s="17" t="inlineStr">
        <x:is>
          <x:t xml:space="preserve"/>
        </x:is>
      </x:c>
    </x:row>
    <x:row r="77">
      <x:c r="A77" s="16" t="inlineStr">
        <x:is>
          <x:t xml:space="preserve">P007</x:t>
        </x:is>
      </x:c>
      <x:c r="B77" s="16" t="n">
        <x:v>2</x:v>
      </x:c>
      <x:c r="C77" s="16" t="n">
        <x:v>1</x:v>
      </x:c>
      <x:c r="D77" s="16" t="inlineStr">
        <x:is>
          <x:t xml:space="preserve">V04</x:t>
        </x:is>
      </x:c>
      <x:c r="E77" s="16" t="inlineStr">
        <x:is>
          <x:t xml:space="preserve">Finance</x:t>
        </x:is>
      </x:c>
      <x:c r="F77" s="16" t="inlineStr">
        <x:is>
          <x:t xml:space="preserve">BCC</x:t>
        </x:is>
      </x:c>
      <x:c r="G77" s="16" t="inlineStr">
        <x:is>
          <x:t xml:space="preserve">Audio-on</x:t>
        </x:is>
      </x:c>
      <x:c r="H77" s="16" t="inlineStr">
        <x:is>
          <x:t xml:space="preserve">Use mobile portrait playback</x:t>
        </x:is>
      </x:c>
      <x:c r="I77" s="16" t="inlineStr">
        <x:is>
          <x:t xml:space="preserve"/>
        </x:is>
      </x:c>
    </x:row>
    <x:row r="78">
      <x:c r="A78" s="17" t="inlineStr">
        <x:is>
          <x:t xml:space="preserve">P007</x:t>
        </x:is>
      </x:c>
      <x:c r="B78" s="17" t="n">
        <x:v>2</x:v>
      </x:c>
      <x:c r="C78" s="17" t="n">
        <x:v>2</x:v>
      </x:c>
      <x:c r="D78" s="17" t="inlineStr">
        <x:is>
          <x:t xml:space="preserve">V06</x:t>
        </x:is>
      </x:c>
      <x:c r="E78" s="17" t="inlineStr">
        <x:is>
          <x:t xml:space="preserve">Overload</x:t>
        </x:is>
      </x:c>
      <x:c r="F78" s="17" t="inlineStr">
        <x:is>
          <x:t xml:space="preserve">Heavy bionic</x:t>
        </x:is>
      </x:c>
      <x:c r="G78" s="17" t="inlineStr">
        <x:is>
          <x:t xml:space="preserve">Audio-on</x:t>
        </x:is>
      </x:c>
      <x:c r="H78" s="17" t="inlineStr">
        <x:is>
          <x:t xml:space="preserve">Use mobile portrait playback</x:t>
        </x:is>
      </x:c>
      <x:c r="I78" s="17" t="inlineStr">
        <x:is>
          <x:t xml:space="preserve"/>
        </x:is>
      </x:c>
    </x:row>
    <x:row r="79">
      <x:c r="A79" s="16" t="inlineStr">
        <x:is>
          <x:t xml:space="preserve">P007</x:t>
        </x:is>
      </x:c>
      <x:c r="B79" s="16" t="n">
        <x:v>2</x:v>
      </x:c>
      <x:c r="C79" s="16" t="n">
        <x:v>3</x:v>
      </x:c>
      <x:c r="D79" s="16" t="inlineStr">
        <x:is>
          <x:t xml:space="preserve">V08</x:t>
        </x:is>
      </x:c>
      <x:c r="E79" s="16" t="inlineStr">
        <x:is>
          <x:t xml:space="preserve">Coding</x:t>
        </x:is>
      </x:c>
      <x:c r="F79" s="16" t="inlineStr">
        <x:is>
          <x:t xml:space="preserve">Keyword highlight</x:t>
        </x:is>
      </x:c>
      <x:c r="G79" s="16" t="inlineStr">
        <x:is>
          <x:t xml:space="preserve">Audio-on</x:t>
        </x:is>
      </x:c>
      <x:c r="H79" s="16" t="inlineStr">
        <x:is>
          <x:t xml:space="preserve">Use mobile portrait playback</x:t>
        </x:is>
      </x:c>
      <x:c r="I79" s="16" t="inlineStr">
        <x:is>
          <x:t xml:space="preserve"/>
        </x:is>
      </x:c>
    </x:row>
    <x:row r="80">
      <x:c r="A80" s="17" t="inlineStr">
        <x:is>
          <x:t xml:space="preserve">P007</x:t>
        </x:is>
      </x:c>
      <x:c r="B80" s="17" t="n">
        <x:v>2</x:v>
      </x:c>
      <x:c r="C80" s="17" t="n">
        <x:v>4</x:v>
      </x:c>
      <x:c r="D80" s="17" t="inlineStr">
        <x:is>
          <x:t xml:space="preserve">V07</x:t>
        </x:is>
      </x:c>
      <x:c r="E80" s="17" t="inlineStr">
        <x:is>
          <x:t xml:space="preserve">Business</x:t>
        </x:is>
      </x:c>
      <x:c r="F80" s="17" t="inlineStr">
        <x:is>
          <x:t xml:space="preserve">Full transcript</x:t>
        </x:is>
      </x:c>
      <x:c r="G80" s="17" t="inlineStr">
        <x:is>
          <x:t xml:space="preserve">Audio-on</x:t>
        </x:is>
      </x:c>
      <x:c r="H80" s="17" t="inlineStr">
        <x:is>
          <x:t xml:space="preserve">Use mobile portrait playback</x:t>
        </x:is>
      </x:c>
      <x:c r="I80" s="17" t="inlineStr">
        <x:is>
          <x:t xml:space="preserve"/>
        </x:is>
      </x:c>
    </x:row>
    <x:row r="81">
      <x:c r="A81" s="16" t="inlineStr">
        <x:is>
          <x:t xml:space="preserve">P007</x:t>
        </x:is>
      </x:c>
      <x:c r="B81" s="16" t="n">
        <x:v>2</x:v>
      </x:c>
      <x:c r="C81" s="16" t="n">
        <x:v>5</x:v>
      </x:c>
      <x:c r="D81" s="16" t="inlineStr">
        <x:is>
          <x:t xml:space="preserve">V12</x:t>
        </x:is>
      </x:c>
      <x:c r="E81" s="16" t="inlineStr">
        <x:is>
          <x:t xml:space="preserve">Time management</x:t>
        </x:is>
      </x:c>
      <x:c r="F81" s="16" t="inlineStr">
        <x:is>
          <x:t xml:space="preserve">Heavy bionic</x:t>
        </x:is>
      </x:c>
      <x:c r="G81" s="16" t="inlineStr">
        <x:is>
          <x:t xml:space="preserve">Audio-on</x:t>
        </x:is>
      </x:c>
      <x:c r="H81" s="16" t="inlineStr">
        <x:is>
          <x:t xml:space="preserve">Use mobile portrait playback</x:t>
        </x:is>
      </x:c>
      <x:c r="I81" s="16" t="inlineStr">
        <x:is>
          <x:t xml:space="preserve"/>
        </x:is>
      </x:c>
    </x:row>
    <x:row r="82">
      <x:c r="A82" s="17" t="inlineStr">
        <x:is>
          <x:t xml:space="preserve">P007</x:t>
        </x:is>
      </x:c>
      <x:c r="B82" s="17" t="n">
        <x:v>2</x:v>
      </x:c>
      <x:c r="C82" s="17" t="n">
        <x:v>6</x:v>
      </x:c>
      <x:c r="D82" s="17" t="inlineStr">
        <x:is>
          <x:t xml:space="preserve">V09</x:t>
        </x:is>
      </x:c>
      <x:c r="E82" s="17" t="inlineStr">
        <x:is>
          <x:t xml:space="preserve">Sleep habit</x:t>
        </x:is>
      </x:c>
      <x:c r="F82" s="17" t="inlineStr">
        <x:is>
          <x:t xml:space="preserve">Semantic compression</x:t>
        </x:is>
      </x:c>
      <x:c r="G82" s="17" t="inlineStr">
        <x:is>
          <x:t xml:space="preserve">Audio-on</x:t>
        </x:is>
      </x:c>
      <x:c r="H82" s="17" t="inlineStr">
        <x:is>
          <x:t xml:space="preserve">Use mobile portrait playback</x:t>
        </x:is>
      </x:c>
      <x:c r="I82" s="17" t="inlineStr">
        <x:is>
          <x:t xml:space="preserve"/>
        </x:is>
      </x:c>
    </x:row>
    <x:row r="83">
      <x:c r="A83" s="16" t="inlineStr">
        <x:is>
          <x:t xml:space="preserve">P007</x:t>
        </x:is>
      </x:c>
      <x:c r="B83" s="16" t="n">
        <x:v>2</x:v>
      </x:c>
      <x:c r="C83" s="16" t="n">
        <x:v>7</x:v>
      </x:c>
      <x:c r="D83" s="16" t="inlineStr">
        <x:is>
          <x:t xml:space="preserve">V02</x:t>
        </x:is>
      </x:c>
      <x:c r="E83" s="16" t="inlineStr">
        <x:is>
          <x:t xml:space="preserve">Study</x:t>
        </x:is>
      </x:c>
      <x:c r="F83" s="16" t="inlineStr">
        <x:is>
          <x:t xml:space="preserve">Keyword highlight</x:t>
        </x:is>
      </x:c>
      <x:c r="G83" s="16" t="inlineStr">
        <x:is>
          <x:t xml:space="preserve">Audio-on</x:t>
        </x:is>
      </x:c>
      <x:c r="H83" s="16" t="inlineStr">
        <x:is>
          <x:t xml:space="preserve">Use mobile portrait playback</x:t>
        </x:is>
      </x:c>
      <x:c r="I83" s="16" t="inlineStr">
        <x:is>
          <x:t xml:space="preserve"/>
        </x:is>
      </x:c>
    </x:row>
    <x:row r="84">
      <x:c r="A84" s="17" t="inlineStr">
        <x:is>
          <x:t xml:space="preserve">P007</x:t>
        </x:is>
      </x:c>
      <x:c r="B84" s="17" t="n">
        <x:v>2</x:v>
      </x:c>
      <x:c r="C84" s="17" t="n">
        <x:v>8</x:v>
      </x:c>
      <x:c r="D84" s="17" t="inlineStr">
        <x:is>
          <x:t xml:space="preserve">V11</x:t>
        </x:is>
      </x:c>
      <x:c r="E84" s="17" t="inlineStr">
        <x:is>
          <x:t xml:space="preserve">Creator strategy</x:t>
        </x:is>
      </x:c>
      <x:c r="F84" s="17" t="inlineStr">
        <x:is>
          <x:t xml:space="preserve">BCC+</x:t>
        </x:is>
      </x:c>
      <x:c r="G84" s="17" t="inlineStr">
        <x:is>
          <x:t xml:space="preserve">Audio-on</x:t>
        </x:is>
      </x:c>
      <x:c r="H84" s="17" t="inlineStr">
        <x:is>
          <x:t xml:space="preserve">Use mobile portrait playback</x:t>
        </x:is>
      </x:c>
      <x:c r="I84" s="17" t="inlineStr">
        <x:is>
          <x:t xml:space="preserve"/>
        </x:is>
      </x:c>
    </x:row>
    <x:row r="85">
      <x:c r="A85" s="16" t="inlineStr">
        <x:is>
          <x:t xml:space="preserve">P007</x:t>
        </x:is>
      </x:c>
      <x:c r="B85" s="16" t="n">
        <x:v>2</x:v>
      </x:c>
      <x:c r="C85" s="16" t="n">
        <x:v>9</x:v>
      </x:c>
      <x:c r="D85" s="16" t="inlineStr">
        <x:is>
          <x:t xml:space="preserve">V05</x:t>
        </x:is>
      </x:c>
      <x:c r="E85" s="16" t="inlineStr">
        <x:is>
          <x:t xml:space="preserve">Tutorial</x:t>
        </x:is>
      </x:c>
      <x:c r="F85" s="16" t="inlineStr">
        <x:is>
          <x:t xml:space="preserve">BCC+</x:t>
        </x:is>
      </x:c>
      <x:c r="G85" s="16" t="inlineStr">
        <x:is>
          <x:t xml:space="preserve">Audio-on</x:t>
        </x:is>
      </x:c>
      <x:c r="H85" s="16" t="inlineStr">
        <x:is>
          <x:t xml:space="preserve">Use mobile portrait playback</x:t>
        </x:is>
      </x:c>
      <x:c r="I85" s="16" t="inlineStr">
        <x:is>
          <x:t xml:space="preserve"/>
        </x:is>
      </x:c>
    </x:row>
    <x:row r="86">
      <x:c r="A86" s="17" t="inlineStr">
        <x:is>
          <x:t xml:space="preserve">P007</x:t>
        </x:is>
      </x:c>
      <x:c r="B86" s="17" t="n">
        <x:v>2</x:v>
      </x:c>
      <x:c r="C86" s="17" t="n">
        <x:v>10</x:v>
      </x:c>
      <x:c r="D86" s="17" t="inlineStr">
        <x:is>
          <x:t xml:space="preserve">V03</x:t>
        </x:is>
      </x:c>
      <x:c r="E86" s="17" t="inlineStr">
        <x:is>
          <x:t xml:space="preserve">Fitness</x:t>
        </x:is>
      </x:c>
      <x:c r="F86" s="17" t="inlineStr">
        <x:is>
          <x:t xml:space="preserve">Semantic compression</x:t>
        </x:is>
      </x:c>
      <x:c r="G86" s="17" t="inlineStr">
        <x:is>
          <x:t xml:space="preserve">Audio-on</x:t>
        </x:is>
      </x:c>
      <x:c r="H86" s="17" t="inlineStr">
        <x:is>
          <x:t xml:space="preserve">Use mobile portrait playback</x:t>
        </x:is>
      </x:c>
      <x:c r="I86" s="17" t="inlineStr">
        <x:is>
          <x:t xml:space="preserve"/>
        </x:is>
      </x:c>
    </x:row>
    <x:row r="87">
      <x:c r="A87" s="16" t="inlineStr">
        <x:is>
          <x:t xml:space="preserve">P007</x:t>
        </x:is>
      </x:c>
      <x:c r="B87" s="16" t="n">
        <x:v>2</x:v>
      </x:c>
      <x:c r="C87" s="16" t="n">
        <x:v>11</x:v>
      </x:c>
      <x:c r="D87" s="16" t="inlineStr">
        <x:is>
          <x:t xml:space="preserve">V10</x:t>
        </x:is>
      </x:c>
      <x:c r="E87" s="16" t="inlineStr">
        <x:is>
          <x:t xml:space="preserve">Product demo</x:t>
        </x:is>
      </x:c>
      <x:c r="F87" s="16" t="inlineStr">
        <x:is>
          <x:t xml:space="preserve">BCC</x:t>
        </x:is>
      </x:c>
      <x:c r="G87" s="16" t="inlineStr">
        <x:is>
          <x:t xml:space="preserve">Audio-on</x:t>
        </x:is>
      </x:c>
      <x:c r="H87" s="16" t="inlineStr">
        <x:is>
          <x:t xml:space="preserve">Use mobile portrait playback</x:t>
        </x:is>
      </x:c>
      <x:c r="I87" s="16" t="inlineStr">
        <x:is>
          <x:t xml:space="preserve"/>
        </x:is>
      </x:c>
    </x:row>
    <x:row r="88">
      <x:c r="A88" s="17" t="inlineStr">
        <x:is>
          <x:t xml:space="preserve">P007</x:t>
        </x:is>
      </x:c>
      <x:c r="B88" s="17" t="n">
        <x:v>2</x:v>
      </x:c>
      <x:c r="C88" s="17" t="n">
        <x:v>12</x:v>
      </x:c>
      <x:c r="D88" s="17" t="inlineStr">
        <x:is>
          <x:t xml:space="preserve">V01</x:t>
        </x:is>
      </x:c>
      <x:c r="E88" s="17" t="inlineStr">
        <x:is>
          <x:t xml:space="preserve">Productivity</x:t>
        </x:is>
      </x:c>
      <x:c r="F88" s="17" t="inlineStr">
        <x:is>
          <x:t xml:space="preserve">Full transcript</x:t>
        </x:is>
      </x:c>
      <x:c r="G88" s="17" t="inlineStr">
        <x:is>
          <x:t xml:space="preserve">Audio-on</x:t>
        </x:is>
      </x:c>
      <x:c r="H88" s="17" t="inlineStr">
        <x:is>
          <x:t xml:space="preserve">Use mobile portrait playback</x:t>
        </x:is>
      </x:c>
      <x:c r="I88" s="17" t="inlineStr">
        <x:is>
          <x:t xml:space="preserve"/>
        </x:is>
      </x:c>
    </x:row>
    <x:row r="89">
      <x:c r="A89" s="16" t="inlineStr">
        <x:is>
          <x:t xml:space="preserve">P008</x:t>
        </x:is>
      </x:c>
      <x:c r="B89" s="16" t="n">
        <x:v>2</x:v>
      </x:c>
      <x:c r="C89" s="16" t="n">
        <x:v>1</x:v>
      </x:c>
      <x:c r="D89" s="16" t="inlineStr">
        <x:is>
          <x:t xml:space="preserve">V04</x:t>
        </x:is>
      </x:c>
      <x:c r="E89" s="16" t="inlineStr">
        <x:is>
          <x:t xml:space="preserve">Finance</x:t>
        </x:is>
      </x:c>
      <x:c r="F89" s="16" t="inlineStr">
        <x:is>
          <x:t xml:space="preserve">BCC+</x:t>
        </x:is>
      </x:c>
      <x:c r="G89" s="16" t="inlineStr">
        <x:is>
          <x:t xml:space="preserve">Audio-on</x:t>
        </x:is>
      </x:c>
      <x:c r="H89" s="16" t="inlineStr">
        <x:is>
          <x:t xml:space="preserve">Use mobile portrait playback</x:t>
        </x:is>
      </x:c>
      <x:c r="I89" s="16" t="inlineStr">
        <x:is>
          <x:t xml:space="preserve"/>
        </x:is>
      </x:c>
    </x:row>
    <x:row r="90">
      <x:c r="A90" s="17" t="inlineStr">
        <x:is>
          <x:t xml:space="preserve">P008</x:t>
        </x:is>
      </x:c>
      <x:c r="B90" s="17" t="n">
        <x:v>2</x:v>
      </x:c>
      <x:c r="C90" s="17" t="n">
        <x:v>2</x:v>
      </x:c>
      <x:c r="D90" s="17" t="inlineStr">
        <x:is>
          <x:t xml:space="preserve">V05</x:t>
        </x:is>
      </x:c>
      <x:c r="E90" s="17" t="inlineStr">
        <x:is>
          <x:t xml:space="preserve">Tutorial</x:t>
        </x:is>
      </x:c>
      <x:c r="F90" s="17" t="inlineStr">
        <x:is>
          <x:t xml:space="preserve">Heavy bionic</x:t>
        </x:is>
      </x:c>
      <x:c r="G90" s="17" t="inlineStr">
        <x:is>
          <x:t xml:space="preserve">Audio-on</x:t>
        </x:is>
      </x:c>
      <x:c r="H90" s="17" t="inlineStr">
        <x:is>
          <x:t xml:space="preserve">Use mobile portrait playback</x:t>
        </x:is>
      </x:c>
      <x:c r="I90" s="17" t="inlineStr">
        <x:is>
          <x:t xml:space="preserve"/>
        </x:is>
      </x:c>
    </x:row>
    <x:row r="91">
      <x:c r="A91" s="16" t="inlineStr">
        <x:is>
          <x:t xml:space="preserve">P008</x:t>
        </x:is>
      </x:c>
      <x:c r="B91" s="16" t="n">
        <x:v>2</x:v>
      </x:c>
      <x:c r="C91" s="16" t="n">
        <x:v>3</x:v>
      </x:c>
      <x:c r="D91" s="16" t="inlineStr">
        <x:is>
          <x:t xml:space="preserve">V03</x:t>
        </x:is>
      </x:c>
      <x:c r="E91" s="16" t="inlineStr">
        <x:is>
          <x:t xml:space="preserve">Fitness</x:t>
        </x:is>
      </x:c>
      <x:c r="F91" s="16" t="inlineStr">
        <x:is>
          <x:t xml:space="preserve">BCC</x:t>
        </x:is>
      </x:c>
      <x:c r="G91" s="16" t="inlineStr">
        <x:is>
          <x:t xml:space="preserve">Audio-on</x:t>
        </x:is>
      </x:c>
      <x:c r="H91" s="16" t="inlineStr">
        <x:is>
          <x:t xml:space="preserve">Use mobile portrait playback</x:t>
        </x:is>
      </x:c>
      <x:c r="I91" s="16" t="inlineStr">
        <x:is>
          <x:t xml:space="preserve"/>
        </x:is>
      </x:c>
    </x:row>
    <x:row r="92">
      <x:c r="A92" s="17" t="inlineStr">
        <x:is>
          <x:t xml:space="preserve">P008</x:t>
        </x:is>
      </x:c>
      <x:c r="B92" s="17" t="n">
        <x:v>2</x:v>
      </x:c>
      <x:c r="C92" s="17" t="n">
        <x:v>4</x:v>
      </x:c>
      <x:c r="D92" s="17" t="inlineStr">
        <x:is>
          <x:t xml:space="preserve">V07</x:t>
        </x:is>
      </x:c>
      <x:c r="E92" s="17" t="inlineStr">
        <x:is>
          <x:t xml:space="preserve">Business</x:t>
        </x:is>
      </x:c>
      <x:c r="F92" s="17" t="inlineStr">
        <x:is>
          <x:t xml:space="preserve">Keyword highlight</x:t>
        </x:is>
      </x:c>
      <x:c r="G92" s="17" t="inlineStr">
        <x:is>
          <x:t xml:space="preserve">Audio-on</x:t>
        </x:is>
      </x:c>
      <x:c r="H92" s="17" t="inlineStr">
        <x:is>
          <x:t xml:space="preserve">Use mobile portrait playback</x:t>
        </x:is>
      </x:c>
      <x:c r="I92" s="17" t="inlineStr">
        <x:is>
          <x:t xml:space="preserve"/>
        </x:is>
      </x:c>
    </x:row>
    <x:row r="93">
      <x:c r="A93" s="16" t="inlineStr">
        <x:is>
          <x:t xml:space="preserve">P008</x:t>
        </x:is>
      </x:c>
      <x:c r="B93" s="16" t="n">
        <x:v>2</x:v>
      </x:c>
      <x:c r="C93" s="16" t="n">
        <x:v>5</x:v>
      </x:c>
      <x:c r="D93" s="16" t="inlineStr">
        <x:is>
          <x:t xml:space="preserve">V11</x:t>
        </x:is>
      </x:c>
      <x:c r="E93" s="16" t="inlineStr">
        <x:is>
          <x:t xml:space="preserve">Creator strategy</x:t>
        </x:is>
      </x:c>
      <x:c r="F93" s="16" t="inlineStr">
        <x:is>
          <x:t xml:space="preserve">Heavy bionic</x:t>
        </x:is>
      </x:c>
      <x:c r="G93" s="16" t="inlineStr">
        <x:is>
          <x:t xml:space="preserve">Audio-on</x:t>
        </x:is>
      </x:c>
      <x:c r="H93" s="16" t="inlineStr">
        <x:is>
          <x:t xml:space="preserve">Use mobile portrait playback</x:t>
        </x:is>
      </x:c>
      <x:c r="I93" s="16" t="inlineStr">
        <x:is>
          <x:t xml:space="preserve"/>
        </x:is>
      </x:c>
    </x:row>
    <x:row r="94">
      <x:c r="A94" s="17" t="inlineStr">
        <x:is>
          <x:t xml:space="preserve">P008</x:t>
        </x:is>
      </x:c>
      <x:c r="B94" s="17" t="n">
        <x:v>2</x:v>
      </x:c>
      <x:c r="C94" s="17" t="n">
        <x:v>6</x:v>
      </x:c>
      <x:c r="D94" s="17" t="inlineStr">
        <x:is>
          <x:t xml:space="preserve">V10</x:t>
        </x:is>
      </x:c>
      <x:c r="E94" s="17" t="inlineStr">
        <x:is>
          <x:t xml:space="preserve">Product demo</x:t>
        </x:is>
      </x:c>
      <x:c r="F94" s="17" t="inlineStr">
        <x:is>
          <x:t xml:space="preserve">BCC+</x:t>
        </x:is>
      </x:c>
      <x:c r="G94" s="17" t="inlineStr">
        <x:is>
          <x:t xml:space="preserve">Audio-on</x:t>
        </x:is>
      </x:c>
      <x:c r="H94" s="17" t="inlineStr">
        <x:is>
          <x:t xml:space="preserve">Use mobile portrait playback</x:t>
        </x:is>
      </x:c>
      <x:c r="I94" s="17" t="inlineStr">
        <x:is>
          <x:t xml:space="preserve"/>
        </x:is>
      </x:c>
    </x:row>
    <x:row r="95">
      <x:c r="A95" s="16" t="inlineStr">
        <x:is>
          <x:t xml:space="preserve">P008</x:t>
        </x:is>
      </x:c>
      <x:c r="B95" s="16" t="n">
        <x:v>2</x:v>
      </x:c>
      <x:c r="C95" s="16" t="n">
        <x:v>7</x:v>
      </x:c>
      <x:c r="D95" s="16" t="inlineStr">
        <x:is>
          <x:t xml:space="preserve">V01</x:t>
        </x:is>
      </x:c>
      <x:c r="E95" s="16" t="inlineStr">
        <x:is>
          <x:t xml:space="preserve">Productivity</x:t>
        </x:is>
      </x:c>
      <x:c r="F95" s="16" t="inlineStr">
        <x:is>
          <x:t xml:space="preserve">Keyword highlight</x:t>
        </x:is>
      </x:c>
      <x:c r="G95" s="16" t="inlineStr">
        <x:is>
          <x:t xml:space="preserve">Audio-on</x:t>
        </x:is>
      </x:c>
      <x:c r="H95" s="16" t="inlineStr">
        <x:is>
          <x:t xml:space="preserve">Use mobile portrait playback</x:t>
        </x:is>
      </x:c>
      <x:c r="I95" s="16" t="inlineStr">
        <x:is>
          <x:t xml:space="preserve"/>
        </x:is>
      </x:c>
    </x:row>
    <x:row r="96">
      <x:c r="A96" s="17" t="inlineStr">
        <x:is>
          <x:t xml:space="preserve">P008</x:t>
        </x:is>
      </x:c>
      <x:c r="B96" s="17" t="n">
        <x:v>2</x:v>
      </x:c>
      <x:c r="C96" s="17" t="n">
        <x:v>8</x:v>
      </x:c>
      <x:c r="D96" s="17" t="inlineStr">
        <x:is>
          <x:t xml:space="preserve">V12</x:t>
        </x:is>
      </x:c>
      <x:c r="E96" s="17" t="inlineStr">
        <x:is>
          <x:t xml:space="preserve">Time management</x:t>
        </x:is>
      </x:c>
      <x:c r="F96" s="17" t="inlineStr">
        <x:is>
          <x:t xml:space="preserve">Full transcript</x:t>
        </x:is>
      </x:c>
      <x:c r="G96" s="17" t="inlineStr">
        <x:is>
          <x:t xml:space="preserve">Audio-on</x:t>
        </x:is>
      </x:c>
      <x:c r="H96" s="17" t="inlineStr">
        <x:is>
          <x:t xml:space="preserve">Use mobile portrait playback</x:t>
        </x:is>
      </x:c>
      <x:c r="I96" s="17" t="inlineStr">
        <x:is>
          <x:t xml:space="preserve"/>
        </x:is>
      </x:c>
    </x:row>
    <x:row r="97">
      <x:c r="A97" s="16" t="inlineStr">
        <x:is>
          <x:t xml:space="preserve">P008</x:t>
        </x:is>
      </x:c>
      <x:c r="B97" s="16" t="n">
        <x:v>2</x:v>
      </x:c>
      <x:c r="C97" s="16" t="n">
        <x:v>9</x:v>
      </x:c>
      <x:c r="D97" s="16" t="inlineStr">
        <x:is>
          <x:t xml:space="preserve">V02</x:t>
        </x:is>
      </x:c>
      <x:c r="E97" s="16" t="inlineStr">
        <x:is>
          <x:t xml:space="preserve">Study</x:t>
        </x:is>
      </x:c>
      <x:c r="F97" s="16" t="inlineStr">
        <x:is>
          <x:t xml:space="preserve">Semantic compression</x:t>
        </x:is>
      </x:c>
      <x:c r="G97" s="16" t="inlineStr">
        <x:is>
          <x:t xml:space="preserve">Audio-on</x:t>
        </x:is>
      </x:c>
      <x:c r="H97" s="16" t="inlineStr">
        <x:is>
          <x:t xml:space="preserve">Use mobile portrait playback</x:t>
        </x:is>
      </x:c>
      <x:c r="I97" s="16" t="inlineStr">
        <x:is>
          <x:t xml:space="preserve"/>
        </x:is>
      </x:c>
    </x:row>
    <x:row r="98">
      <x:c r="A98" s="17" t="inlineStr">
        <x:is>
          <x:t xml:space="preserve">P008</x:t>
        </x:is>
      </x:c>
      <x:c r="B98" s="17" t="n">
        <x:v>2</x:v>
      </x:c>
      <x:c r="C98" s="17" t="n">
        <x:v>10</x:v>
      </x:c>
      <x:c r="D98" s="17" t="inlineStr">
        <x:is>
          <x:t xml:space="preserve">V06</x:t>
        </x:is>
      </x:c>
      <x:c r="E98" s="17" t="inlineStr">
        <x:is>
          <x:t xml:space="preserve">Overload</x:t>
        </x:is>
      </x:c>
      <x:c r="F98" s="17" t="inlineStr">
        <x:is>
          <x:t xml:space="preserve">Full transcript</x:t>
        </x:is>
      </x:c>
      <x:c r="G98" s="17" t="inlineStr">
        <x:is>
          <x:t xml:space="preserve">Audio-on</x:t>
        </x:is>
      </x:c>
      <x:c r="H98" s="17" t="inlineStr">
        <x:is>
          <x:t xml:space="preserve">Use mobile portrait playback</x:t>
        </x:is>
      </x:c>
      <x:c r="I98" s="17" t="inlineStr">
        <x:is>
          <x:t xml:space="preserve"/>
        </x:is>
      </x:c>
    </x:row>
    <x:row r="99">
      <x:c r="A99" s="16" t="inlineStr">
        <x:is>
          <x:t xml:space="preserve">P008</x:t>
        </x:is>
      </x:c>
      <x:c r="B99" s="16" t="n">
        <x:v>2</x:v>
      </x:c>
      <x:c r="C99" s="16" t="n">
        <x:v>11</x:v>
      </x:c>
      <x:c r="D99" s="16" t="inlineStr">
        <x:is>
          <x:t xml:space="preserve">V08</x:t>
        </x:is>
      </x:c>
      <x:c r="E99" s="16" t="inlineStr">
        <x:is>
          <x:t xml:space="preserve">Coding</x:t>
        </x:is>
      </x:c>
      <x:c r="F99" s="16" t="inlineStr">
        <x:is>
          <x:t xml:space="preserve">Semantic compression</x:t>
        </x:is>
      </x:c>
      <x:c r="G99" s="16" t="inlineStr">
        <x:is>
          <x:t xml:space="preserve">Audio-on</x:t>
        </x:is>
      </x:c>
      <x:c r="H99" s="16" t="inlineStr">
        <x:is>
          <x:t xml:space="preserve">Use mobile portrait playback</x:t>
        </x:is>
      </x:c>
      <x:c r="I99" s="16" t="inlineStr">
        <x:is>
          <x:t xml:space="preserve"/>
        </x:is>
      </x:c>
    </x:row>
    <x:row r="100">
      <x:c r="A100" s="17" t="inlineStr">
        <x:is>
          <x:t xml:space="preserve">P008</x:t>
        </x:is>
      </x:c>
      <x:c r="B100" s="17" t="n">
        <x:v>2</x:v>
      </x:c>
      <x:c r="C100" s="17" t="n">
        <x:v>12</x:v>
      </x:c>
      <x:c r="D100" s="17" t="inlineStr">
        <x:is>
          <x:t xml:space="preserve">V09</x:t>
        </x:is>
      </x:c>
      <x:c r="E100" s="17" t="inlineStr">
        <x:is>
          <x:t xml:space="preserve">Sleep habit</x:t>
        </x:is>
      </x:c>
      <x:c r="F100" s="17" t="inlineStr">
        <x:is>
          <x:t xml:space="preserve">BCC</x:t>
        </x:is>
      </x:c>
      <x:c r="G100" s="17" t="inlineStr">
        <x:is>
          <x:t xml:space="preserve">Audio-on</x:t>
        </x:is>
      </x:c>
      <x:c r="H100" s="17" t="inlineStr">
        <x:is>
          <x:t xml:space="preserve">Use mobile portrait playback</x:t>
        </x:is>
      </x:c>
      <x:c r="I100" s="17" t="inlineStr">
        <x:is>
          <x:t xml:space="preserve"/>
        </x:is>
      </x:c>
    </x:row>
    <x:row r="101">
      <x:c r="A101" s="16" t="inlineStr">
        <x:is>
          <x:t xml:space="preserve">P009</x:t>
        </x:is>
      </x:c>
      <x:c r="B101" s="16" t="n">
        <x:v>2</x:v>
      </x:c>
      <x:c r="C101" s="16" t="n">
        <x:v>1</x:v>
      </x:c>
      <x:c r="D101" s="16" t="inlineStr">
        <x:is>
          <x:t xml:space="preserve">V12</x:t>
        </x:is>
      </x:c>
      <x:c r="E101" s="16" t="inlineStr">
        <x:is>
          <x:t xml:space="preserve">Time management</x:t>
        </x:is>
      </x:c>
      <x:c r="F101" s="16" t="inlineStr">
        <x:is>
          <x:t xml:space="preserve">Keyword highlight</x:t>
        </x:is>
      </x:c>
      <x:c r="G101" s="16" t="inlineStr">
        <x:is>
          <x:t xml:space="preserve">Audio-on</x:t>
        </x:is>
      </x:c>
      <x:c r="H101" s="16" t="inlineStr">
        <x:is>
          <x:t xml:space="preserve">Use mobile portrait playback</x:t>
        </x:is>
      </x:c>
      <x:c r="I101" s="16" t="inlineStr">
        <x:is>
          <x:t xml:space="preserve"/>
        </x:is>
      </x:c>
    </x:row>
    <x:row r="102">
      <x:c r="A102" s="17" t="inlineStr">
        <x:is>
          <x:t xml:space="preserve">P009</x:t>
        </x:is>
      </x:c>
      <x:c r="B102" s="17" t="n">
        <x:v>2</x:v>
      </x:c>
      <x:c r="C102" s="17" t="n">
        <x:v>2</x:v>
      </x:c>
      <x:c r="D102" s="17" t="inlineStr">
        <x:is>
          <x:t xml:space="preserve">V04</x:t>
        </x:is>
      </x:c>
      <x:c r="E102" s="17" t="inlineStr">
        <x:is>
          <x:t xml:space="preserve">Finance</x:t>
        </x:is>
      </x:c>
      <x:c r="F102" s="17" t="inlineStr">
        <x:is>
          <x:t xml:space="preserve">Heavy bionic</x:t>
        </x:is>
      </x:c>
      <x:c r="G102" s="17" t="inlineStr">
        <x:is>
          <x:t xml:space="preserve">Audio-on</x:t>
        </x:is>
      </x:c>
      <x:c r="H102" s="17" t="inlineStr">
        <x:is>
          <x:t xml:space="preserve">Use mobile portrait playback</x:t>
        </x:is>
      </x:c>
      <x:c r="I102" s="17" t="inlineStr">
        <x:is>
          <x:t xml:space="preserve"/>
        </x:is>
      </x:c>
    </x:row>
    <x:row r="103">
      <x:c r="A103" s="16" t="inlineStr">
        <x:is>
          <x:t xml:space="preserve">P009</x:t>
        </x:is>
      </x:c>
      <x:c r="B103" s="16" t="n">
        <x:v>2</x:v>
      </x:c>
      <x:c r="C103" s="16" t="n">
        <x:v>3</x:v>
      </x:c>
      <x:c r="D103" s="16" t="inlineStr">
        <x:is>
          <x:t xml:space="preserve">V11</x:t>
        </x:is>
      </x:c>
      <x:c r="E103" s="16" t="inlineStr">
        <x:is>
          <x:t xml:space="preserve">Creator strategy</x:t>
        </x:is>
      </x:c>
      <x:c r="F103" s="16" t="inlineStr">
        <x:is>
          <x:t xml:space="preserve">Full transcript</x:t>
        </x:is>
      </x:c>
      <x:c r="G103" s="16" t="inlineStr">
        <x:is>
          <x:t xml:space="preserve">Audio-on</x:t>
        </x:is>
      </x:c>
      <x:c r="H103" s="16" t="inlineStr">
        <x:is>
          <x:t xml:space="preserve">Use mobile portrait playback</x:t>
        </x:is>
      </x:c>
      <x:c r="I103" s="16" t="inlineStr">
        <x:is>
          <x:t xml:space="preserve"/>
        </x:is>
      </x:c>
    </x:row>
    <x:row r="104">
      <x:c r="A104" s="17" t="inlineStr">
        <x:is>
          <x:t xml:space="preserve">P009</x:t>
        </x:is>
      </x:c>
      <x:c r="B104" s="17" t="n">
        <x:v>2</x:v>
      </x:c>
      <x:c r="C104" s="17" t="n">
        <x:v>4</x:v>
      </x:c>
      <x:c r="D104" s="17" t="inlineStr">
        <x:is>
          <x:t xml:space="preserve">V06</x:t>
        </x:is>
      </x:c>
      <x:c r="E104" s="17" t="inlineStr">
        <x:is>
          <x:t xml:space="preserve">Overload</x:t>
        </x:is>
      </x:c>
      <x:c r="F104" s="17" t="inlineStr">
        <x:is>
          <x:t xml:space="preserve">Keyword highlight</x:t>
        </x:is>
      </x:c>
      <x:c r="G104" s="17" t="inlineStr">
        <x:is>
          <x:t xml:space="preserve">Audio-on</x:t>
        </x:is>
      </x:c>
      <x:c r="H104" s="17" t="inlineStr">
        <x:is>
          <x:t xml:space="preserve">Use mobile portrait playback</x:t>
        </x:is>
      </x:c>
      <x:c r="I104" s="17" t="inlineStr">
        <x:is>
          <x:t xml:space="preserve"/>
        </x:is>
      </x:c>
    </x:row>
    <x:row r="105">
      <x:c r="A105" s="16" t="inlineStr">
        <x:is>
          <x:t xml:space="preserve">P009</x:t>
        </x:is>
      </x:c>
      <x:c r="B105" s="16" t="n">
        <x:v>2</x:v>
      </x:c>
      <x:c r="C105" s="16" t="n">
        <x:v>5</x:v>
      </x:c>
      <x:c r="D105" s="16" t="inlineStr">
        <x:is>
          <x:t xml:space="preserve">V05</x:t>
        </x:is>
      </x:c>
      <x:c r="E105" s="16" t="inlineStr">
        <x:is>
          <x:t xml:space="preserve">Tutorial</x:t>
        </x:is>
      </x:c>
      <x:c r="F105" s="16" t="inlineStr">
        <x:is>
          <x:t xml:space="preserve">Full transcript</x:t>
        </x:is>
      </x:c>
      <x:c r="G105" s="16" t="inlineStr">
        <x:is>
          <x:t xml:space="preserve">Audio-on</x:t>
        </x:is>
      </x:c>
      <x:c r="H105" s="16" t="inlineStr">
        <x:is>
          <x:t xml:space="preserve">Use mobile portrait playback</x:t>
        </x:is>
      </x:c>
      <x:c r="I105" s="16" t="inlineStr">
        <x:is>
          <x:t xml:space="preserve"/>
        </x:is>
      </x:c>
    </x:row>
    <x:row r="106">
      <x:c r="A106" s="17" t="inlineStr">
        <x:is>
          <x:t xml:space="preserve">P009</x:t>
        </x:is>
      </x:c>
      <x:c r="B106" s="17" t="n">
        <x:v>2</x:v>
      </x:c>
      <x:c r="C106" s="17" t="n">
        <x:v>6</x:v>
      </x:c>
      <x:c r="D106" s="17" t="inlineStr">
        <x:is>
          <x:t xml:space="preserve">V09</x:t>
        </x:is>
      </x:c>
      <x:c r="E106" s="17" t="inlineStr">
        <x:is>
          <x:t xml:space="preserve">Sleep habit</x:t>
        </x:is>
      </x:c>
      <x:c r="F106" s="17" t="inlineStr">
        <x:is>
          <x:t xml:space="preserve">BCC+</x:t>
        </x:is>
      </x:c>
      <x:c r="G106" s="17" t="inlineStr">
        <x:is>
          <x:t xml:space="preserve">Audio-on</x:t>
        </x:is>
      </x:c>
      <x:c r="H106" s="17" t="inlineStr">
        <x:is>
          <x:t xml:space="preserve">Use mobile portrait playback</x:t>
        </x:is>
      </x:c>
      <x:c r="I106" s="17" t="inlineStr">
        <x:is>
          <x:t xml:space="preserve"/>
        </x:is>
      </x:c>
    </x:row>
    <x:row r="107">
      <x:c r="A107" s="16" t="inlineStr">
        <x:is>
          <x:t xml:space="preserve">P009</x:t>
        </x:is>
      </x:c>
      <x:c r="B107" s="16" t="n">
        <x:v>2</x:v>
      </x:c>
      <x:c r="C107" s="16" t="n">
        <x:v>7</x:v>
      </x:c>
      <x:c r="D107" s="16" t="inlineStr">
        <x:is>
          <x:t xml:space="preserve">V07</x:t>
        </x:is>
      </x:c>
      <x:c r="E107" s="16" t="inlineStr">
        <x:is>
          <x:t xml:space="preserve">Business</x:t>
        </x:is>
      </x:c>
      <x:c r="F107" s="16" t="inlineStr">
        <x:is>
          <x:t xml:space="preserve">Semantic compression</x:t>
        </x:is>
      </x:c>
      <x:c r="G107" s="16" t="inlineStr">
        <x:is>
          <x:t xml:space="preserve">Audio-on</x:t>
        </x:is>
      </x:c>
      <x:c r="H107" s="16" t="inlineStr">
        <x:is>
          <x:t xml:space="preserve">Use mobile portrait playback</x:t>
        </x:is>
      </x:c>
      <x:c r="I107" s="16" t="inlineStr">
        <x:is>
          <x:t xml:space="preserve"/>
        </x:is>
      </x:c>
    </x:row>
    <x:row r="108">
      <x:c r="A108" s="17" t="inlineStr">
        <x:is>
          <x:t xml:space="preserve">P009</x:t>
        </x:is>
      </x:c>
      <x:c r="B108" s="17" t="n">
        <x:v>2</x:v>
      </x:c>
      <x:c r="C108" s="17" t="n">
        <x:v>8</x:v>
      </x:c>
      <x:c r="D108" s="17" t="inlineStr">
        <x:is>
          <x:t xml:space="preserve">V10</x:t>
        </x:is>
      </x:c>
      <x:c r="E108" s="17" t="inlineStr">
        <x:is>
          <x:t xml:space="preserve">Product demo</x:t>
        </x:is>
      </x:c>
      <x:c r="F108" s="17" t="inlineStr">
        <x:is>
          <x:t xml:space="preserve">Heavy bionic</x:t>
        </x:is>
      </x:c>
      <x:c r="G108" s="17" t="inlineStr">
        <x:is>
          <x:t xml:space="preserve">Audio-on</x:t>
        </x:is>
      </x:c>
      <x:c r="H108" s="17" t="inlineStr">
        <x:is>
          <x:t xml:space="preserve">Use mobile portrait playback</x:t>
        </x:is>
      </x:c>
      <x:c r="I108" s="17" t="inlineStr">
        <x:is>
          <x:t xml:space="preserve"/>
        </x:is>
      </x:c>
    </x:row>
    <x:row r="109">
      <x:c r="A109" s="16" t="inlineStr">
        <x:is>
          <x:t xml:space="preserve">P009</x:t>
        </x:is>
      </x:c>
      <x:c r="B109" s="16" t="n">
        <x:v>2</x:v>
      </x:c>
      <x:c r="C109" s="16" t="n">
        <x:v>9</x:v>
      </x:c>
      <x:c r="D109" s="16" t="inlineStr">
        <x:is>
          <x:t xml:space="preserve">V02</x:t>
        </x:is>
      </x:c>
      <x:c r="E109" s="16" t="inlineStr">
        <x:is>
          <x:t xml:space="preserve">Study</x:t>
        </x:is>
      </x:c>
      <x:c r="F109" s="16" t="inlineStr">
        <x:is>
          <x:t xml:space="preserve">BCC</x:t>
        </x:is>
      </x:c>
      <x:c r="G109" s="16" t="inlineStr">
        <x:is>
          <x:t xml:space="preserve">Audio-on</x:t>
        </x:is>
      </x:c>
      <x:c r="H109" s="16" t="inlineStr">
        <x:is>
          <x:t xml:space="preserve">Use mobile portrait playback</x:t>
        </x:is>
      </x:c>
      <x:c r="I109" s="16" t="inlineStr">
        <x:is>
          <x:t xml:space="preserve"/>
        </x:is>
      </x:c>
    </x:row>
    <x:row r="110">
      <x:c r="A110" s="17" t="inlineStr">
        <x:is>
          <x:t xml:space="preserve">P009</x:t>
        </x:is>
      </x:c>
      <x:c r="B110" s="17" t="n">
        <x:v>2</x:v>
      </x:c>
      <x:c r="C110" s="17" t="n">
        <x:v>10</x:v>
      </x:c>
      <x:c r="D110" s="17" t="inlineStr">
        <x:is>
          <x:t xml:space="preserve">V08</x:t>
        </x:is>
      </x:c>
      <x:c r="E110" s="17" t="inlineStr">
        <x:is>
          <x:t xml:space="preserve">Coding</x:t>
        </x:is>
      </x:c>
      <x:c r="F110" s="17" t="inlineStr">
        <x:is>
          <x:t xml:space="preserve">BCC</x:t>
        </x:is>
      </x:c>
      <x:c r="G110" s="17" t="inlineStr">
        <x:is>
          <x:t xml:space="preserve">Audio-on</x:t>
        </x:is>
      </x:c>
      <x:c r="H110" s="17" t="inlineStr">
        <x:is>
          <x:t xml:space="preserve">Use mobile portrait playback</x:t>
        </x:is>
      </x:c>
      <x:c r="I110" s="17" t="inlineStr">
        <x:is>
          <x:t xml:space="preserve"/>
        </x:is>
      </x:c>
    </x:row>
    <x:row r="111">
      <x:c r="A111" s="16" t="inlineStr">
        <x:is>
          <x:t xml:space="preserve">P009</x:t>
        </x:is>
      </x:c>
      <x:c r="B111" s="16" t="n">
        <x:v>2</x:v>
      </x:c>
      <x:c r="C111" s="16" t="n">
        <x:v>11</x:v>
      </x:c>
      <x:c r="D111" s="16" t="inlineStr">
        <x:is>
          <x:t xml:space="preserve">V01</x:t>
        </x:is>
      </x:c>
      <x:c r="E111" s="16" t="inlineStr">
        <x:is>
          <x:t xml:space="preserve">Productivity</x:t>
        </x:is>
      </x:c>
      <x:c r="F111" s="16" t="inlineStr">
        <x:is>
          <x:t xml:space="preserve">Semantic compression</x:t>
        </x:is>
      </x:c>
      <x:c r="G111" s="16" t="inlineStr">
        <x:is>
          <x:t xml:space="preserve">Audio-on</x:t>
        </x:is>
      </x:c>
      <x:c r="H111" s="16" t="inlineStr">
        <x:is>
          <x:t xml:space="preserve">Use mobile portrait playback</x:t>
        </x:is>
      </x:c>
      <x:c r="I111" s="16" t="inlineStr">
        <x:is>
          <x:t xml:space="preserve"/>
        </x:is>
      </x:c>
    </x:row>
    <x:row r="112">
      <x:c r="A112" s="17" t="inlineStr">
        <x:is>
          <x:t xml:space="preserve">P009</x:t>
        </x:is>
      </x:c>
      <x:c r="B112" s="17" t="n">
        <x:v>2</x:v>
      </x:c>
      <x:c r="C112" s="17" t="n">
        <x:v>12</x:v>
      </x:c>
      <x:c r="D112" s="17" t="inlineStr">
        <x:is>
          <x:t xml:space="preserve">V03</x:t>
        </x:is>
      </x:c>
      <x:c r="E112" s="17" t="inlineStr">
        <x:is>
          <x:t xml:space="preserve">Fitness</x:t>
        </x:is>
      </x:c>
      <x:c r="F112" s="17" t="inlineStr">
        <x:is>
          <x:t xml:space="preserve">BCC+</x:t>
        </x:is>
      </x:c>
      <x:c r="G112" s="17" t="inlineStr">
        <x:is>
          <x:t xml:space="preserve">Audio-on</x:t>
        </x:is>
      </x:c>
      <x:c r="H112" s="17" t="inlineStr">
        <x:is>
          <x:t xml:space="preserve">Use mobile portrait playback</x:t>
        </x:is>
      </x:c>
      <x:c r="I112" s="17" t="inlineStr">
        <x:is>
          <x:t xml:space="preserve"/>
        </x:is>
      </x:c>
    </x:row>
    <x:row r="113">
      <x:c r="A113" s="16" t="inlineStr">
        <x:is>
          <x:t xml:space="preserve">P010</x:t>
        </x:is>
      </x:c>
      <x:c r="B113" s="16" t="n">
        <x:v>2</x:v>
      </x:c>
      <x:c r="C113" s="16" t="n">
        <x:v>1</x:v>
      </x:c>
      <x:c r="D113" s="16" t="inlineStr">
        <x:is>
          <x:t xml:space="preserve">V03</x:t>
        </x:is>
      </x:c>
      <x:c r="E113" s="16" t="inlineStr">
        <x:is>
          <x:t xml:space="preserve">Fitness</x:t>
        </x:is>
      </x:c>
      <x:c r="F113" s="16" t="inlineStr">
        <x:is>
          <x:t xml:space="preserve">Heavy bionic</x:t>
        </x:is>
      </x:c>
      <x:c r="G113" s="16" t="inlineStr">
        <x:is>
          <x:t xml:space="preserve">Audio-on</x:t>
        </x:is>
      </x:c>
      <x:c r="H113" s="16" t="inlineStr">
        <x:is>
          <x:t xml:space="preserve">Use mobile portrait playback</x:t>
        </x:is>
      </x:c>
      <x:c r="I113" s="16" t="inlineStr">
        <x:is>
          <x:t xml:space="preserve"/>
        </x:is>
      </x:c>
    </x:row>
    <x:row r="114">
      <x:c r="A114" s="17" t="inlineStr">
        <x:is>
          <x:t xml:space="preserve">P010</x:t>
        </x:is>
      </x:c>
      <x:c r="B114" s="17" t="n">
        <x:v>2</x:v>
      </x:c>
      <x:c r="C114" s="17" t="n">
        <x:v>2</x:v>
      </x:c>
      <x:c r="D114" s="17" t="inlineStr">
        <x:is>
          <x:t xml:space="preserve">V05</x:t>
        </x:is>
      </x:c>
      <x:c r="E114" s="17" t="inlineStr">
        <x:is>
          <x:t xml:space="preserve">Tutorial</x:t>
        </x:is>
      </x:c>
      <x:c r="F114" s="17" t="inlineStr">
        <x:is>
          <x:t xml:space="preserve">Keyword highlight</x:t>
        </x:is>
      </x:c>
      <x:c r="G114" s="17" t="inlineStr">
        <x:is>
          <x:t xml:space="preserve">Audio-on</x:t>
        </x:is>
      </x:c>
      <x:c r="H114" s="17" t="inlineStr">
        <x:is>
          <x:t xml:space="preserve">Use mobile portrait playback</x:t>
        </x:is>
      </x:c>
      <x:c r="I114" s="17" t="inlineStr">
        <x:is>
          <x:t xml:space="preserve"/>
        </x:is>
      </x:c>
    </x:row>
    <x:row r="115">
      <x:c r="A115" s="16" t="inlineStr">
        <x:is>
          <x:t xml:space="preserve">P010</x:t>
        </x:is>
      </x:c>
      <x:c r="B115" s="16" t="n">
        <x:v>2</x:v>
      </x:c>
      <x:c r="C115" s="16" t="n">
        <x:v>3</x:v>
      </x:c>
      <x:c r="D115" s="16" t="inlineStr">
        <x:is>
          <x:t xml:space="preserve">V01</x:t>
        </x:is>
      </x:c>
      <x:c r="E115" s="16" t="inlineStr">
        <x:is>
          <x:t xml:space="preserve">Productivity</x:t>
        </x:is>
      </x:c>
      <x:c r="F115" s="16" t="inlineStr">
        <x:is>
          <x:t xml:space="preserve">BCC</x:t>
        </x:is>
      </x:c>
      <x:c r="G115" s="16" t="inlineStr">
        <x:is>
          <x:t xml:space="preserve">Audio-on</x:t>
        </x:is>
      </x:c>
      <x:c r="H115" s="16" t="inlineStr">
        <x:is>
          <x:t xml:space="preserve">Use mobile portrait playback</x:t>
        </x:is>
      </x:c>
      <x:c r="I115" s="16" t="inlineStr">
        <x:is>
          <x:t xml:space="preserve"/>
        </x:is>
      </x:c>
    </x:row>
    <x:row r="116">
      <x:c r="A116" s="17" t="inlineStr">
        <x:is>
          <x:t xml:space="preserve">P010</x:t>
        </x:is>
      </x:c>
      <x:c r="B116" s="17" t="n">
        <x:v>2</x:v>
      </x:c>
      <x:c r="C116" s="17" t="n">
        <x:v>4</x:v>
      </x:c>
      <x:c r="D116" s="17" t="inlineStr">
        <x:is>
          <x:t xml:space="preserve">V08</x:t>
        </x:is>
      </x:c>
      <x:c r="E116" s="17" t="inlineStr">
        <x:is>
          <x:t xml:space="preserve">Coding</x:t>
        </x:is>
      </x:c>
      <x:c r="F116" s="17" t="inlineStr">
        <x:is>
          <x:t xml:space="preserve">BCC+</x:t>
        </x:is>
      </x:c>
      <x:c r="G116" s="17" t="inlineStr">
        <x:is>
          <x:t xml:space="preserve">Audio-on</x:t>
        </x:is>
      </x:c>
      <x:c r="H116" s="17" t="inlineStr">
        <x:is>
          <x:t xml:space="preserve">Use mobile portrait playback</x:t>
        </x:is>
      </x:c>
      <x:c r="I116" s="17" t="inlineStr">
        <x:is>
          <x:t xml:space="preserve"/>
        </x:is>
      </x:c>
    </x:row>
    <x:row r="117">
      <x:c r="A117" s="16" t="inlineStr">
        <x:is>
          <x:t xml:space="preserve">P010</x:t>
        </x:is>
      </x:c>
      <x:c r="B117" s="16" t="n">
        <x:v>2</x:v>
      </x:c>
      <x:c r="C117" s="16" t="n">
        <x:v>5</x:v>
      </x:c>
      <x:c r="D117" s="16" t="inlineStr">
        <x:is>
          <x:t xml:space="preserve">V06</x:t>
        </x:is>
      </x:c>
      <x:c r="E117" s="16" t="inlineStr">
        <x:is>
          <x:t xml:space="preserve">Overload</x:t>
        </x:is>
      </x:c>
      <x:c r="F117" s="16" t="inlineStr">
        <x:is>
          <x:t xml:space="preserve">Semantic compression</x:t>
        </x:is>
      </x:c>
      <x:c r="G117" s="16" t="inlineStr">
        <x:is>
          <x:t xml:space="preserve">Audio-on</x:t>
        </x:is>
      </x:c>
      <x:c r="H117" s="16" t="inlineStr">
        <x:is>
          <x:t xml:space="preserve">Use mobile portrait playback</x:t>
        </x:is>
      </x:c>
      <x:c r="I117" s="16" t="inlineStr">
        <x:is>
          <x:t xml:space="preserve"/>
        </x:is>
      </x:c>
    </x:row>
    <x:row r="118">
      <x:c r="A118" s="17" t="inlineStr">
        <x:is>
          <x:t xml:space="preserve">P010</x:t>
        </x:is>
      </x:c>
      <x:c r="B118" s="17" t="n">
        <x:v>2</x:v>
      </x:c>
      <x:c r="C118" s="17" t="n">
        <x:v>6</x:v>
      </x:c>
      <x:c r="D118" s="17" t="inlineStr">
        <x:is>
          <x:t xml:space="preserve">V07</x:t>
        </x:is>
      </x:c>
      <x:c r="E118" s="17" t="inlineStr">
        <x:is>
          <x:t xml:space="preserve">Business</x:t>
        </x:is>
      </x:c>
      <x:c r="F118" s="17" t="inlineStr">
        <x:is>
          <x:t xml:space="preserve">BCC</x:t>
        </x:is>
      </x:c>
      <x:c r="G118" s="17" t="inlineStr">
        <x:is>
          <x:t xml:space="preserve">Audio-on</x:t>
        </x:is>
      </x:c>
      <x:c r="H118" s="17" t="inlineStr">
        <x:is>
          <x:t xml:space="preserve">Use mobile portrait playback</x:t>
        </x:is>
      </x:c>
      <x:c r="I118" s="17" t="inlineStr">
        <x:is>
          <x:t xml:space="preserve"/>
        </x:is>
      </x:c>
    </x:row>
    <x:row r="119">
      <x:c r="A119" s="16" t="inlineStr">
        <x:is>
          <x:t xml:space="preserve">P010</x:t>
        </x:is>
      </x:c>
      <x:c r="B119" s="16" t="n">
        <x:v>2</x:v>
      </x:c>
      <x:c r="C119" s="16" t="n">
        <x:v>7</x:v>
      </x:c>
      <x:c r="D119" s="16" t="inlineStr">
        <x:is>
          <x:t xml:space="preserve">V12</x:t>
        </x:is>
      </x:c>
      <x:c r="E119" s="16" t="inlineStr">
        <x:is>
          <x:t xml:space="preserve">Time management</x:t>
        </x:is>
      </x:c>
      <x:c r="F119" s="16" t="inlineStr">
        <x:is>
          <x:t xml:space="preserve">Semantic compression</x:t>
        </x:is>
      </x:c>
      <x:c r="G119" s="16" t="inlineStr">
        <x:is>
          <x:t xml:space="preserve">Audio-on</x:t>
        </x:is>
      </x:c>
      <x:c r="H119" s="16" t="inlineStr">
        <x:is>
          <x:t xml:space="preserve">Use mobile portrait playback</x:t>
        </x:is>
      </x:c>
      <x:c r="I119" s="16" t="inlineStr">
        <x:is>
          <x:t xml:space="preserve"/>
        </x:is>
      </x:c>
    </x:row>
    <x:row r="120">
      <x:c r="A120" s="17" t="inlineStr">
        <x:is>
          <x:t xml:space="preserve">P010</x:t>
        </x:is>
      </x:c>
      <x:c r="B120" s="17" t="n">
        <x:v>2</x:v>
      </x:c>
      <x:c r="C120" s="17" t="n">
        <x:v>8</x:v>
      </x:c>
      <x:c r="D120" s="17" t="inlineStr">
        <x:is>
          <x:t xml:space="preserve">V02</x:t>
        </x:is>
      </x:c>
      <x:c r="E120" s="17" t="inlineStr">
        <x:is>
          <x:t xml:space="preserve">Study</x:t>
        </x:is>
      </x:c>
      <x:c r="F120" s="17" t="inlineStr">
        <x:is>
          <x:t xml:space="preserve">BCC+</x:t>
        </x:is>
      </x:c>
      <x:c r="G120" s="17" t="inlineStr">
        <x:is>
          <x:t xml:space="preserve">Audio-on</x:t>
        </x:is>
      </x:c>
      <x:c r="H120" s="17" t="inlineStr">
        <x:is>
          <x:t xml:space="preserve">Use mobile portrait playback</x:t>
        </x:is>
      </x:c>
      <x:c r="I120" s="17" t="inlineStr">
        <x:is>
          <x:t xml:space="preserve"/>
        </x:is>
      </x:c>
    </x:row>
    <x:row r="121">
      <x:c r="A121" s="16" t="inlineStr">
        <x:is>
          <x:t xml:space="preserve">P010</x:t>
        </x:is>
      </x:c>
      <x:c r="B121" s="16" t="n">
        <x:v>2</x:v>
      </x:c>
      <x:c r="C121" s="16" t="n">
        <x:v>9</x:v>
      </x:c>
      <x:c r="D121" s="16" t="inlineStr">
        <x:is>
          <x:t xml:space="preserve">V09</x:t>
        </x:is>
      </x:c>
      <x:c r="E121" s="16" t="inlineStr">
        <x:is>
          <x:t xml:space="preserve">Sleep habit</x:t>
        </x:is>
      </x:c>
      <x:c r="F121" s="16" t="inlineStr">
        <x:is>
          <x:t xml:space="preserve">Heavy bionic</x:t>
        </x:is>
      </x:c>
      <x:c r="G121" s="16" t="inlineStr">
        <x:is>
          <x:t xml:space="preserve">Audio-on</x:t>
        </x:is>
      </x:c>
      <x:c r="H121" s="16" t="inlineStr">
        <x:is>
          <x:t xml:space="preserve">Use mobile portrait playback</x:t>
        </x:is>
      </x:c>
      <x:c r="I121" s="16" t="inlineStr">
        <x:is>
          <x:t xml:space="preserve"/>
        </x:is>
      </x:c>
    </x:row>
    <x:row r="122">
      <x:c r="A122" s="17" t="inlineStr">
        <x:is>
          <x:t xml:space="preserve">P010</x:t>
        </x:is>
      </x:c>
      <x:c r="B122" s="17" t="n">
        <x:v>2</x:v>
      </x:c>
      <x:c r="C122" s="17" t="n">
        <x:v>10</x:v>
      </x:c>
      <x:c r="D122" s="17" t="inlineStr">
        <x:is>
          <x:t xml:space="preserve">V04</x:t>
        </x:is>
      </x:c>
      <x:c r="E122" s="17" t="inlineStr">
        <x:is>
          <x:t xml:space="preserve">Finance</x:t>
        </x:is>
      </x:c>
      <x:c r="F122" s="17" t="inlineStr">
        <x:is>
          <x:t xml:space="preserve">Full transcript</x:t>
        </x:is>
      </x:c>
      <x:c r="G122" s="17" t="inlineStr">
        <x:is>
          <x:t xml:space="preserve">Audio-on</x:t>
        </x:is>
      </x:c>
      <x:c r="H122" s="17" t="inlineStr">
        <x:is>
          <x:t xml:space="preserve">Use mobile portrait playback</x:t>
        </x:is>
      </x:c>
      <x:c r="I122" s="17" t="inlineStr">
        <x:is>
          <x:t xml:space="preserve"/>
        </x:is>
      </x:c>
    </x:row>
    <x:row r="123">
      <x:c r="A123" s="16" t="inlineStr">
        <x:is>
          <x:t xml:space="preserve">P010</x:t>
        </x:is>
      </x:c>
      <x:c r="B123" s="16" t="n">
        <x:v>2</x:v>
      </x:c>
      <x:c r="C123" s="16" t="n">
        <x:v>11</x:v>
      </x:c>
      <x:c r="D123" s="16" t="inlineStr">
        <x:is>
          <x:t xml:space="preserve">V10</x:t>
        </x:is>
      </x:c>
      <x:c r="E123" s="16" t="inlineStr">
        <x:is>
          <x:t xml:space="preserve">Product demo</x:t>
        </x:is>
      </x:c>
      <x:c r="F123" s="16" t="inlineStr">
        <x:is>
          <x:t xml:space="preserve">Full transcript</x:t>
        </x:is>
      </x:c>
      <x:c r="G123" s="16" t="inlineStr">
        <x:is>
          <x:t xml:space="preserve">Audio-on</x:t>
        </x:is>
      </x:c>
      <x:c r="H123" s="16" t="inlineStr">
        <x:is>
          <x:t xml:space="preserve">Use mobile portrait playback</x:t>
        </x:is>
      </x:c>
      <x:c r="I123" s="16" t="inlineStr">
        <x:is>
          <x:t xml:space="preserve"/>
        </x:is>
      </x:c>
    </x:row>
    <x:row r="124">
      <x:c r="A124" s="17" t="inlineStr">
        <x:is>
          <x:t xml:space="preserve">P010</x:t>
        </x:is>
      </x:c>
      <x:c r="B124" s="17" t="n">
        <x:v>2</x:v>
      </x:c>
      <x:c r="C124" s="17" t="n">
        <x:v>12</x:v>
      </x:c>
      <x:c r="D124" s="17" t="inlineStr">
        <x:is>
          <x:t xml:space="preserve">V11</x:t>
        </x:is>
      </x:c>
      <x:c r="E124" s="17" t="inlineStr">
        <x:is>
          <x:t xml:space="preserve">Creator strategy</x:t>
        </x:is>
      </x:c>
      <x:c r="F124" s="17" t="inlineStr">
        <x:is>
          <x:t xml:space="preserve">Keyword highlight</x:t>
        </x:is>
      </x:c>
      <x:c r="G124" s="17" t="inlineStr">
        <x:is>
          <x:t xml:space="preserve">Audio-on</x:t>
        </x:is>
      </x:c>
      <x:c r="H124" s="17" t="inlineStr">
        <x:is>
          <x:t xml:space="preserve">Use mobile portrait playback</x:t>
        </x:is>
      </x:c>
      <x:c r="I124" s="17" t="inlineStr">
        <x:is>
          <x:t xml:space="preserve"/>
        </x:is>
      </x:c>
    </x:row>
    <x:row r="125">
      <x:c r="A125" s="16" t="inlineStr">
        <x:is>
          <x:t xml:space="preserve">P011</x:t>
        </x:is>
      </x:c>
      <x:c r="B125" s="16" t="n">
        <x:v>2</x:v>
      </x:c>
      <x:c r="C125" s="16" t="n">
        <x:v>1</x:v>
      </x:c>
      <x:c r="D125" s="16" t="inlineStr">
        <x:is>
          <x:t xml:space="preserve">V10</x:t>
        </x:is>
      </x:c>
      <x:c r="E125" s="16" t="inlineStr">
        <x:is>
          <x:t xml:space="preserve">Product demo</x:t>
        </x:is>
      </x:c>
      <x:c r="F125" s="16" t="inlineStr">
        <x:is>
          <x:t xml:space="preserve">Keyword highlight</x:t>
        </x:is>
      </x:c>
      <x:c r="G125" s="16" t="inlineStr">
        <x:is>
          <x:t xml:space="preserve">Audio-on</x:t>
        </x:is>
      </x:c>
      <x:c r="H125" s="16" t="inlineStr">
        <x:is>
          <x:t xml:space="preserve">Use mobile portrait playback</x:t>
        </x:is>
      </x:c>
      <x:c r="I125" s="16" t="inlineStr">
        <x:is>
          <x:t xml:space="preserve"/>
        </x:is>
      </x:c>
    </x:row>
    <x:row r="126">
      <x:c r="A126" s="17" t="inlineStr">
        <x:is>
          <x:t xml:space="preserve">P011</x:t>
        </x:is>
      </x:c>
      <x:c r="B126" s="17" t="n">
        <x:v>2</x:v>
      </x:c>
      <x:c r="C126" s="17" t="n">
        <x:v>2</x:v>
      </x:c>
      <x:c r="D126" s="17" t="inlineStr">
        <x:is>
          <x:t xml:space="preserve">V02</x:t>
        </x:is>
      </x:c>
      <x:c r="E126" s="17" t="inlineStr">
        <x:is>
          <x:t xml:space="preserve">Study</x:t>
        </x:is>
      </x:c>
      <x:c r="F126" s="17" t="inlineStr">
        <x:is>
          <x:t xml:space="preserve">Heavy bionic</x:t>
        </x:is>
      </x:c>
      <x:c r="G126" s="17" t="inlineStr">
        <x:is>
          <x:t xml:space="preserve">Audio-on</x:t>
        </x:is>
      </x:c>
      <x:c r="H126" s="17" t="inlineStr">
        <x:is>
          <x:t xml:space="preserve">Use mobile portrait playback</x:t>
        </x:is>
      </x:c>
      <x:c r="I126" s="17" t="inlineStr">
        <x:is>
          <x:t xml:space="preserve"/>
        </x:is>
      </x:c>
    </x:row>
    <x:row r="127">
      <x:c r="A127" s="16" t="inlineStr">
        <x:is>
          <x:t xml:space="preserve">P011</x:t>
        </x:is>
      </x:c>
      <x:c r="B127" s="16" t="n">
        <x:v>2</x:v>
      </x:c>
      <x:c r="C127" s="16" t="n">
        <x:v>3</x:v>
      </x:c>
      <x:c r="D127" s="16" t="inlineStr">
        <x:is>
          <x:t xml:space="preserve">V08</x:t>
        </x:is>
      </x:c>
      <x:c r="E127" s="16" t="inlineStr">
        <x:is>
          <x:t xml:space="preserve">Coding</x:t>
        </x:is>
      </x:c>
      <x:c r="F127" s="16" t="inlineStr">
        <x:is>
          <x:t xml:space="preserve">Heavy bionic</x:t>
        </x:is>
      </x:c>
      <x:c r="G127" s="16" t="inlineStr">
        <x:is>
          <x:t xml:space="preserve">Audio-on</x:t>
        </x:is>
      </x:c>
      <x:c r="H127" s="16" t="inlineStr">
        <x:is>
          <x:t xml:space="preserve">Use mobile portrait playback</x:t>
        </x:is>
      </x:c>
      <x:c r="I127" s="16" t="inlineStr">
        <x:is>
          <x:t xml:space="preserve"/>
        </x:is>
      </x:c>
    </x:row>
    <x:row r="128">
      <x:c r="A128" s="17" t="inlineStr">
        <x:is>
          <x:t xml:space="preserve">P011</x:t>
        </x:is>
      </x:c>
      <x:c r="B128" s="17" t="n">
        <x:v>2</x:v>
      </x:c>
      <x:c r="C128" s="17" t="n">
        <x:v>4</x:v>
      </x:c>
      <x:c r="D128" s="17" t="inlineStr">
        <x:is>
          <x:t xml:space="preserve">V11</x:t>
        </x:is>
      </x:c>
      <x:c r="E128" s="17" t="inlineStr">
        <x:is>
          <x:t xml:space="preserve">Creator strategy</x:t>
        </x:is>
      </x:c>
      <x:c r="F128" s="17" t="inlineStr">
        <x:is>
          <x:t xml:space="preserve">Semantic compression</x:t>
        </x:is>
      </x:c>
      <x:c r="G128" s="17" t="inlineStr">
        <x:is>
          <x:t xml:space="preserve">Audio-on</x:t>
        </x:is>
      </x:c>
      <x:c r="H128" s="17" t="inlineStr">
        <x:is>
          <x:t xml:space="preserve">Use mobile portrait playback</x:t>
        </x:is>
      </x:c>
      <x:c r="I128" s="17" t="inlineStr">
        <x:is>
          <x:t xml:space="preserve"/>
        </x:is>
      </x:c>
    </x:row>
    <x:row r="129">
      <x:c r="A129" s="16" t="inlineStr">
        <x:is>
          <x:t xml:space="preserve">P011</x:t>
        </x:is>
      </x:c>
      <x:c r="B129" s="16" t="n">
        <x:v>2</x:v>
      </x:c>
      <x:c r="C129" s="16" t="n">
        <x:v>5</x:v>
      </x:c>
      <x:c r="D129" s="16" t="inlineStr">
        <x:is>
          <x:t xml:space="preserve">V09</x:t>
        </x:is>
      </x:c>
      <x:c r="E129" s="16" t="inlineStr">
        <x:is>
          <x:t xml:space="preserve">Sleep habit</x:t>
        </x:is>
      </x:c>
      <x:c r="F129" s="16" t="inlineStr">
        <x:is>
          <x:t xml:space="preserve">Full transcript</x:t>
        </x:is>
      </x:c>
      <x:c r="G129" s="16" t="inlineStr">
        <x:is>
          <x:t xml:space="preserve">Audio-on</x:t>
        </x:is>
      </x:c>
      <x:c r="H129" s="16" t="inlineStr">
        <x:is>
          <x:t xml:space="preserve">Use mobile portrait playback</x:t>
        </x:is>
      </x:c>
      <x:c r="I129" s="16" t="inlineStr">
        <x:is>
          <x:t xml:space="preserve"/>
        </x:is>
      </x:c>
    </x:row>
    <x:row r="130">
      <x:c r="A130" s="17" t="inlineStr">
        <x:is>
          <x:t xml:space="preserve">P011</x:t>
        </x:is>
      </x:c>
      <x:c r="B130" s="17" t="n">
        <x:v>2</x:v>
      </x:c>
      <x:c r="C130" s="17" t="n">
        <x:v>6</x:v>
      </x:c>
      <x:c r="D130" s="17" t="inlineStr">
        <x:is>
          <x:t xml:space="preserve">V04</x:t>
        </x:is>
      </x:c>
      <x:c r="E130" s="17" t="inlineStr">
        <x:is>
          <x:t xml:space="preserve">Finance</x:t>
        </x:is>
      </x:c>
      <x:c r="F130" s="17" t="inlineStr">
        <x:is>
          <x:t xml:space="preserve">Keyword highlight</x:t>
        </x:is>
      </x:c>
      <x:c r="G130" s="17" t="inlineStr">
        <x:is>
          <x:t xml:space="preserve">Audio-on</x:t>
        </x:is>
      </x:c>
      <x:c r="H130" s="17" t="inlineStr">
        <x:is>
          <x:t xml:space="preserve">Use mobile portrait playback</x:t>
        </x:is>
      </x:c>
      <x:c r="I130" s="17" t="inlineStr">
        <x:is>
          <x:t xml:space="preserve"/>
        </x:is>
      </x:c>
    </x:row>
    <x:row r="131">
      <x:c r="A131" s="16" t="inlineStr">
        <x:is>
          <x:t xml:space="preserve">P011</x:t>
        </x:is>
      </x:c>
      <x:c r="B131" s="16" t="n">
        <x:v>2</x:v>
      </x:c>
      <x:c r="C131" s="16" t="n">
        <x:v>7</x:v>
      </x:c>
      <x:c r="D131" s="16" t="inlineStr">
        <x:is>
          <x:t xml:space="preserve">V12</x:t>
        </x:is>
      </x:c>
      <x:c r="E131" s="16" t="inlineStr">
        <x:is>
          <x:t xml:space="preserve">Time management</x:t>
        </x:is>
      </x:c>
      <x:c r="F131" s="16" t="inlineStr">
        <x:is>
          <x:t xml:space="preserve">BCC</x:t>
        </x:is>
      </x:c>
      <x:c r="G131" s="16" t="inlineStr">
        <x:is>
          <x:t xml:space="preserve">Audio-on</x:t>
        </x:is>
      </x:c>
      <x:c r="H131" s="16" t="inlineStr">
        <x:is>
          <x:t xml:space="preserve">Use mobile portrait playback</x:t>
        </x:is>
      </x:c>
      <x:c r="I131" s="16" t="inlineStr">
        <x:is>
          <x:t xml:space="preserve"/>
        </x:is>
      </x:c>
    </x:row>
    <x:row r="132">
      <x:c r="A132" s="17" t="inlineStr">
        <x:is>
          <x:t xml:space="preserve">P011</x:t>
        </x:is>
      </x:c>
      <x:c r="B132" s="17" t="n">
        <x:v>2</x:v>
      </x:c>
      <x:c r="C132" s="17" t="n">
        <x:v>8</x:v>
      </x:c>
      <x:c r="D132" s="17" t="inlineStr">
        <x:is>
          <x:t xml:space="preserve">V03</x:t>
        </x:is>
      </x:c>
      <x:c r="E132" s="17" t="inlineStr">
        <x:is>
          <x:t xml:space="preserve">Fitness</x:t>
        </x:is>
      </x:c>
      <x:c r="F132" s="17" t="inlineStr">
        <x:is>
          <x:t xml:space="preserve">Full transcript</x:t>
        </x:is>
      </x:c>
      <x:c r="G132" s="17" t="inlineStr">
        <x:is>
          <x:t xml:space="preserve">Audio-on</x:t>
        </x:is>
      </x:c>
      <x:c r="H132" s="17" t="inlineStr">
        <x:is>
          <x:t xml:space="preserve">Use mobile portrait playback</x:t>
        </x:is>
      </x:c>
      <x:c r="I132" s="17" t="inlineStr">
        <x:is>
          <x:t xml:space="preserve"/>
        </x:is>
      </x:c>
    </x:row>
    <x:row r="133">
      <x:c r="A133" s="16" t="inlineStr">
        <x:is>
          <x:t xml:space="preserve">P011</x:t>
        </x:is>
      </x:c>
      <x:c r="B133" s="16" t="n">
        <x:v>2</x:v>
      </x:c>
      <x:c r="C133" s="16" t="n">
        <x:v>9</x:v>
      </x:c>
      <x:c r="D133" s="16" t="inlineStr">
        <x:is>
          <x:t xml:space="preserve">V07</x:t>
        </x:is>
      </x:c>
      <x:c r="E133" s="16" t="inlineStr">
        <x:is>
          <x:t xml:space="preserve">Business</x:t>
        </x:is>
      </x:c>
      <x:c r="F133" s="16" t="inlineStr">
        <x:is>
          <x:t xml:space="preserve">BCC+</x:t>
        </x:is>
      </x:c>
      <x:c r="G133" s="16" t="inlineStr">
        <x:is>
          <x:t xml:space="preserve">Audio-on</x:t>
        </x:is>
      </x:c>
      <x:c r="H133" s="16" t="inlineStr">
        <x:is>
          <x:t xml:space="preserve">Use mobile portrait playback</x:t>
        </x:is>
      </x:c>
      <x:c r="I133" s="16" t="inlineStr">
        <x:is>
          <x:t xml:space="preserve"/>
        </x:is>
      </x:c>
    </x:row>
    <x:row r="134">
      <x:c r="A134" s="17" t="inlineStr">
        <x:is>
          <x:t xml:space="preserve">P011</x:t>
        </x:is>
      </x:c>
      <x:c r="B134" s="17" t="n">
        <x:v>2</x:v>
      </x:c>
      <x:c r="C134" s="17" t="n">
        <x:v>10</x:v>
      </x:c>
      <x:c r="D134" s="17" t="inlineStr">
        <x:is>
          <x:t xml:space="preserve">V01</x:t>
        </x:is>
      </x:c>
      <x:c r="E134" s="17" t="inlineStr">
        <x:is>
          <x:t xml:space="preserve">Productivity</x:t>
        </x:is>
      </x:c>
      <x:c r="F134" s="17" t="inlineStr">
        <x:is>
          <x:t xml:space="preserve">BCC+</x:t>
        </x:is>
      </x:c>
      <x:c r="G134" s="17" t="inlineStr">
        <x:is>
          <x:t xml:space="preserve">Audio-on</x:t>
        </x:is>
      </x:c>
      <x:c r="H134" s="17" t="inlineStr">
        <x:is>
          <x:t xml:space="preserve">Use mobile portrait playback</x:t>
        </x:is>
      </x:c>
      <x:c r="I134" s="17" t="inlineStr">
        <x:is>
          <x:t xml:space="preserve"/>
        </x:is>
      </x:c>
    </x:row>
    <x:row r="135">
      <x:c r="A135" s="16" t="inlineStr">
        <x:is>
          <x:t xml:space="preserve">P011</x:t>
        </x:is>
      </x:c>
      <x:c r="B135" s="16" t="n">
        <x:v>2</x:v>
      </x:c>
      <x:c r="C135" s="16" t="n">
        <x:v>11</x:v>
      </x:c>
      <x:c r="D135" s="16" t="inlineStr">
        <x:is>
          <x:t xml:space="preserve">V05</x:t>
        </x:is>
      </x:c>
      <x:c r="E135" s="16" t="inlineStr">
        <x:is>
          <x:t xml:space="preserve">Tutorial</x:t>
        </x:is>
      </x:c>
      <x:c r="F135" s="16" t="inlineStr">
        <x:is>
          <x:t xml:space="preserve">Semantic compression</x:t>
        </x:is>
      </x:c>
      <x:c r="G135" s="16" t="inlineStr">
        <x:is>
          <x:t xml:space="preserve">Audio-on</x:t>
        </x:is>
      </x:c>
      <x:c r="H135" s="16" t="inlineStr">
        <x:is>
          <x:t xml:space="preserve">Use mobile portrait playback</x:t>
        </x:is>
      </x:c>
      <x:c r="I135" s="16" t="inlineStr">
        <x:is>
          <x:t xml:space="preserve"/>
        </x:is>
      </x:c>
    </x:row>
    <x:row r="136">
      <x:c r="A136" s="17" t="inlineStr">
        <x:is>
          <x:t xml:space="preserve">P011</x:t>
        </x:is>
      </x:c>
      <x:c r="B136" s="17" t="n">
        <x:v>2</x:v>
      </x:c>
      <x:c r="C136" s="17" t="n">
        <x:v>12</x:v>
      </x:c>
      <x:c r="D136" s="17" t="inlineStr">
        <x:is>
          <x:t xml:space="preserve">V06</x:t>
        </x:is>
      </x:c>
      <x:c r="E136" s="17" t="inlineStr">
        <x:is>
          <x:t xml:space="preserve">Overload</x:t>
        </x:is>
      </x:c>
      <x:c r="F136" s="17" t="inlineStr">
        <x:is>
          <x:t xml:space="preserve">BCC</x:t>
        </x:is>
      </x:c>
      <x:c r="G136" s="17" t="inlineStr">
        <x:is>
          <x:t xml:space="preserve">Audio-on</x:t>
        </x:is>
      </x:c>
      <x:c r="H136" s="17" t="inlineStr">
        <x:is>
          <x:t xml:space="preserve">Use mobile portrait playback</x:t>
        </x:is>
      </x:c>
      <x:c r="I136" s="17" t="inlineStr">
        <x:is>
          <x:t xml:space="preserve"/>
        </x:is>
      </x:c>
    </x:row>
    <x:row r="137">
      <x:c r="A137" s="16" t="inlineStr">
        <x:is>
          <x:t xml:space="preserve">P012</x:t>
        </x:is>
      </x:c>
      <x:c r="B137" s="16" t="n">
        <x:v>2</x:v>
      </x:c>
      <x:c r="C137" s="16" t="n">
        <x:v>1</x:v>
      </x:c>
      <x:c r="D137" s="16" t="inlineStr">
        <x:is>
          <x:t xml:space="preserve">V12</x:t>
        </x:is>
      </x:c>
      <x:c r="E137" s="16" t="inlineStr">
        <x:is>
          <x:t xml:space="preserve">Time management</x:t>
        </x:is>
      </x:c>
      <x:c r="F137" s="16" t="inlineStr">
        <x:is>
          <x:t xml:space="preserve">BCC+</x:t>
        </x:is>
      </x:c>
      <x:c r="G137" s="16" t="inlineStr">
        <x:is>
          <x:t xml:space="preserve">Audio-on</x:t>
        </x:is>
      </x:c>
      <x:c r="H137" s="16" t="inlineStr">
        <x:is>
          <x:t xml:space="preserve">Use mobile portrait playback</x:t>
        </x:is>
      </x:c>
      <x:c r="I137" s="16" t="inlineStr">
        <x:is>
          <x:t xml:space="preserve"/>
        </x:is>
      </x:c>
    </x:row>
    <x:row r="138">
      <x:c r="A138" s="17" t="inlineStr">
        <x:is>
          <x:t xml:space="preserve">P012</x:t>
        </x:is>
      </x:c>
      <x:c r="B138" s="17" t="n">
        <x:v>2</x:v>
      </x:c>
      <x:c r="C138" s="17" t="n">
        <x:v>2</x:v>
      </x:c>
      <x:c r="D138" s="17" t="inlineStr">
        <x:is>
          <x:t xml:space="preserve">V02</x:t>
        </x:is>
      </x:c>
      <x:c r="E138" s="17" t="inlineStr">
        <x:is>
          <x:t xml:space="preserve">Study</x:t>
        </x:is>
      </x:c>
      <x:c r="F138" s="17" t="inlineStr">
        <x:is>
          <x:t xml:space="preserve">Full transcript</x:t>
        </x:is>
      </x:c>
      <x:c r="G138" s="17" t="inlineStr">
        <x:is>
          <x:t xml:space="preserve">Audio-on</x:t>
        </x:is>
      </x:c>
      <x:c r="H138" s="17" t="inlineStr">
        <x:is>
          <x:t xml:space="preserve">Use mobile portrait playback</x:t>
        </x:is>
      </x:c>
      <x:c r="I138" s="17" t="inlineStr">
        <x:is>
          <x:t xml:space="preserve"/>
        </x:is>
      </x:c>
    </x:row>
    <x:row r="139">
      <x:c r="A139" s="16" t="inlineStr">
        <x:is>
          <x:t xml:space="preserve">P012</x:t>
        </x:is>
      </x:c>
      <x:c r="B139" s="16" t="n">
        <x:v>2</x:v>
      </x:c>
      <x:c r="C139" s="16" t="n">
        <x:v>3</x:v>
      </x:c>
      <x:c r="D139" s="16" t="inlineStr">
        <x:is>
          <x:t xml:space="preserve">V08</x:t>
        </x:is>
      </x:c>
      <x:c r="E139" s="16" t="inlineStr">
        <x:is>
          <x:t xml:space="preserve">Coding</x:t>
        </x:is>
      </x:c>
      <x:c r="F139" s="16" t="inlineStr">
        <x:is>
          <x:t xml:space="preserve">Full transcript</x:t>
        </x:is>
      </x:c>
      <x:c r="G139" s="16" t="inlineStr">
        <x:is>
          <x:t xml:space="preserve">Audio-on</x:t>
        </x:is>
      </x:c>
      <x:c r="H139" s="16" t="inlineStr">
        <x:is>
          <x:t xml:space="preserve">Use mobile portrait playback</x:t>
        </x:is>
      </x:c>
      <x:c r="I139" s="16" t="inlineStr">
        <x:is>
          <x:t xml:space="preserve"/>
        </x:is>
      </x:c>
    </x:row>
    <x:row r="140">
      <x:c r="A140" s="17" t="inlineStr">
        <x:is>
          <x:t xml:space="preserve">P012</x:t>
        </x:is>
      </x:c>
      <x:c r="B140" s="17" t="n">
        <x:v>2</x:v>
      </x:c>
      <x:c r="C140" s="17" t="n">
        <x:v>4</x:v>
      </x:c>
      <x:c r="D140" s="17" t="inlineStr">
        <x:is>
          <x:t xml:space="preserve">V09</x:t>
        </x:is>
      </x:c>
      <x:c r="E140" s="17" t="inlineStr">
        <x:is>
          <x:t xml:space="preserve">Sleep habit</x:t>
        </x:is>
      </x:c>
      <x:c r="F140" s="17" t="inlineStr">
        <x:is>
          <x:t xml:space="preserve">Keyword highlight</x:t>
        </x:is>
      </x:c>
      <x:c r="G140" s="17" t="inlineStr">
        <x:is>
          <x:t xml:space="preserve">Audio-on</x:t>
        </x:is>
      </x:c>
      <x:c r="H140" s="17" t="inlineStr">
        <x:is>
          <x:t xml:space="preserve">Use mobile portrait playback</x:t>
        </x:is>
      </x:c>
      <x:c r="I140" s="17" t="inlineStr">
        <x:is>
          <x:t xml:space="preserve"/>
        </x:is>
      </x:c>
    </x:row>
    <x:row r="141">
      <x:c r="A141" s="16" t="inlineStr">
        <x:is>
          <x:t xml:space="preserve">P012</x:t>
        </x:is>
      </x:c>
      <x:c r="B141" s="16" t="n">
        <x:v>2</x:v>
      </x:c>
      <x:c r="C141" s="16" t="n">
        <x:v>5</x:v>
      </x:c>
      <x:c r="D141" s="16" t="inlineStr">
        <x:is>
          <x:t xml:space="preserve">V10</x:t>
        </x:is>
      </x:c>
      <x:c r="E141" s="16" t="inlineStr">
        <x:is>
          <x:t xml:space="preserve">Product demo</x:t>
        </x:is>
      </x:c>
      <x:c r="F141" s="16" t="inlineStr">
        <x:is>
          <x:t xml:space="preserve">Semantic compression</x:t>
        </x:is>
      </x:c>
      <x:c r="G141" s="16" t="inlineStr">
        <x:is>
          <x:t xml:space="preserve">Audio-on</x:t>
        </x:is>
      </x:c>
      <x:c r="H141" s="16" t="inlineStr">
        <x:is>
          <x:t xml:space="preserve">Use mobile portrait playback</x:t>
        </x:is>
      </x:c>
      <x:c r="I141" s="16" t="inlineStr">
        <x:is>
          <x:t xml:space="preserve"/>
        </x:is>
      </x:c>
    </x:row>
    <x:row r="142">
      <x:c r="A142" s="17" t="inlineStr">
        <x:is>
          <x:t xml:space="preserve">P012</x:t>
        </x:is>
      </x:c>
      <x:c r="B142" s="17" t="n">
        <x:v>2</x:v>
      </x:c>
      <x:c r="C142" s="17" t="n">
        <x:v>6</x:v>
      </x:c>
      <x:c r="D142" s="17" t="inlineStr">
        <x:is>
          <x:t xml:space="preserve">V01</x:t>
        </x:is>
      </x:c>
      <x:c r="E142" s="17" t="inlineStr">
        <x:is>
          <x:t xml:space="preserve">Productivity</x:t>
        </x:is>
      </x:c>
      <x:c r="F142" s="17" t="inlineStr">
        <x:is>
          <x:t xml:space="preserve">Heavy bionic</x:t>
        </x:is>
      </x:c>
      <x:c r="G142" s="17" t="inlineStr">
        <x:is>
          <x:t xml:space="preserve">Audio-on</x:t>
        </x:is>
      </x:c>
      <x:c r="H142" s="17" t="inlineStr">
        <x:is>
          <x:t xml:space="preserve">Use mobile portrait playback</x:t>
        </x:is>
      </x:c>
      <x:c r="I142" s="17" t="inlineStr">
        <x:is>
          <x:t xml:space="preserve"/>
        </x:is>
      </x:c>
    </x:row>
    <x:row r="143">
      <x:c r="A143" s="16" t="inlineStr">
        <x:is>
          <x:t xml:space="preserve">P012</x:t>
        </x:is>
      </x:c>
      <x:c r="B143" s="16" t="n">
        <x:v>2</x:v>
      </x:c>
      <x:c r="C143" s="16" t="n">
        <x:v>7</x:v>
      </x:c>
      <x:c r="D143" s="16" t="inlineStr">
        <x:is>
          <x:t xml:space="preserve">V05</x:t>
        </x:is>
      </x:c>
      <x:c r="E143" s="16" t="inlineStr">
        <x:is>
          <x:t xml:space="preserve">Tutorial</x:t>
        </x:is>
      </x:c>
      <x:c r="F143" s="16" t="inlineStr">
        <x:is>
          <x:t xml:space="preserve">BCC</x:t>
        </x:is>
      </x:c>
      <x:c r="G143" s="16" t="inlineStr">
        <x:is>
          <x:t xml:space="preserve">Audio-on</x:t>
        </x:is>
      </x:c>
      <x:c r="H143" s="16" t="inlineStr">
        <x:is>
          <x:t xml:space="preserve">Use mobile portrait playback</x:t>
        </x:is>
      </x:c>
      <x:c r="I143" s="16" t="inlineStr">
        <x:is>
          <x:t xml:space="preserve"/>
        </x:is>
      </x:c>
    </x:row>
    <x:row r="144">
      <x:c r="A144" s="17" t="inlineStr">
        <x:is>
          <x:t xml:space="preserve">P012</x:t>
        </x:is>
      </x:c>
      <x:c r="B144" s="17" t="n">
        <x:v>2</x:v>
      </x:c>
      <x:c r="C144" s="17" t="n">
        <x:v>8</x:v>
      </x:c>
      <x:c r="D144" s="17" t="inlineStr">
        <x:is>
          <x:t xml:space="preserve">V04</x:t>
        </x:is>
      </x:c>
      <x:c r="E144" s="17" t="inlineStr">
        <x:is>
          <x:t xml:space="preserve">Finance</x:t>
        </x:is>
      </x:c>
      <x:c r="F144" s="17" t="inlineStr">
        <x:is>
          <x:t xml:space="preserve">Semantic compression</x:t>
        </x:is>
      </x:c>
      <x:c r="G144" s="17" t="inlineStr">
        <x:is>
          <x:t xml:space="preserve">Audio-on</x:t>
        </x:is>
      </x:c>
      <x:c r="H144" s="17" t="inlineStr">
        <x:is>
          <x:t xml:space="preserve">Use mobile portrait playback</x:t>
        </x:is>
      </x:c>
      <x:c r="I144" s="17" t="inlineStr">
        <x:is>
          <x:t xml:space="preserve"/>
        </x:is>
      </x:c>
    </x:row>
    <x:row r="145">
      <x:c r="A145" s="16" t="inlineStr">
        <x:is>
          <x:t xml:space="preserve">P012</x:t>
        </x:is>
      </x:c>
      <x:c r="B145" s="16" t="n">
        <x:v>2</x:v>
      </x:c>
      <x:c r="C145" s="16" t="n">
        <x:v>9</x:v>
      </x:c>
      <x:c r="D145" s="16" t="inlineStr">
        <x:is>
          <x:t xml:space="preserve">V07</x:t>
        </x:is>
      </x:c>
      <x:c r="E145" s="16" t="inlineStr">
        <x:is>
          <x:t xml:space="preserve">Business</x:t>
        </x:is>
      </x:c>
      <x:c r="F145" s="16" t="inlineStr">
        <x:is>
          <x:t xml:space="preserve">Heavy bionic</x:t>
        </x:is>
      </x:c>
      <x:c r="G145" s="16" t="inlineStr">
        <x:is>
          <x:t xml:space="preserve">Audio-on</x:t>
        </x:is>
      </x:c>
      <x:c r="H145" s="16" t="inlineStr">
        <x:is>
          <x:t xml:space="preserve">Use mobile portrait playback</x:t>
        </x:is>
      </x:c>
      <x:c r="I145" s="16" t="inlineStr">
        <x:is>
          <x:t xml:space="preserve"/>
        </x:is>
      </x:c>
    </x:row>
    <x:row r="146">
      <x:c r="A146" s="17" t="inlineStr">
        <x:is>
          <x:t xml:space="preserve">P012</x:t>
        </x:is>
      </x:c>
      <x:c r="B146" s="17" t="n">
        <x:v>2</x:v>
      </x:c>
      <x:c r="C146" s="17" t="n">
        <x:v>10</x:v>
      </x:c>
      <x:c r="D146" s="17" t="inlineStr">
        <x:is>
          <x:t xml:space="preserve">V11</x:t>
        </x:is>
      </x:c>
      <x:c r="E146" s="17" t="inlineStr">
        <x:is>
          <x:t xml:space="preserve">Creator strategy</x:t>
        </x:is>
      </x:c>
      <x:c r="F146" s="17" t="inlineStr">
        <x:is>
          <x:t xml:space="preserve">BCC</x:t>
        </x:is>
      </x:c>
      <x:c r="G146" s="17" t="inlineStr">
        <x:is>
          <x:t xml:space="preserve">Audio-on</x:t>
        </x:is>
      </x:c>
      <x:c r="H146" s="17" t="inlineStr">
        <x:is>
          <x:t xml:space="preserve">Use mobile portrait playback</x:t>
        </x:is>
      </x:c>
      <x:c r="I146" s="17" t="inlineStr">
        <x:is>
          <x:t xml:space="preserve"/>
        </x:is>
      </x:c>
    </x:row>
    <x:row r="147">
      <x:c r="A147" s="16" t="inlineStr">
        <x:is>
          <x:t xml:space="preserve">P012</x:t>
        </x:is>
      </x:c>
      <x:c r="B147" s="16" t="n">
        <x:v>2</x:v>
      </x:c>
      <x:c r="C147" s="16" t="n">
        <x:v>11</x:v>
      </x:c>
      <x:c r="D147" s="16" t="inlineStr">
        <x:is>
          <x:t xml:space="preserve">V03</x:t>
        </x:is>
      </x:c>
      <x:c r="E147" s="16" t="inlineStr">
        <x:is>
          <x:t xml:space="preserve">Fitness</x:t>
        </x:is>
      </x:c>
      <x:c r="F147" s="16" t="inlineStr">
        <x:is>
          <x:t xml:space="preserve">Keyword highlight</x:t>
        </x:is>
      </x:c>
      <x:c r="G147" s="16" t="inlineStr">
        <x:is>
          <x:t xml:space="preserve">Audio-on</x:t>
        </x:is>
      </x:c>
      <x:c r="H147" s="16" t="inlineStr">
        <x:is>
          <x:t xml:space="preserve">Use mobile portrait playback</x:t>
        </x:is>
      </x:c>
      <x:c r="I147" s="16" t="inlineStr">
        <x:is>
          <x:t xml:space="preserve"/>
        </x:is>
      </x:c>
    </x:row>
    <x:row r="148">
      <x:c r="A148" s="17" t="inlineStr">
        <x:is>
          <x:t xml:space="preserve">P012</x:t>
        </x:is>
      </x:c>
      <x:c r="B148" s="17" t="n">
        <x:v>2</x:v>
      </x:c>
      <x:c r="C148" s="17" t="n">
        <x:v>12</x:v>
      </x:c>
      <x:c r="D148" s="17" t="inlineStr">
        <x:is>
          <x:t xml:space="preserve">V06</x:t>
        </x:is>
      </x:c>
      <x:c r="E148" s="17" t="inlineStr">
        <x:is>
          <x:t xml:space="preserve">Overload</x:t>
        </x:is>
      </x:c>
      <x:c r="F148" s="17" t="inlineStr">
        <x:is>
          <x:t xml:space="preserve">BCC+</x:t>
        </x:is>
      </x:c>
      <x:c r="G148" s="17" t="inlineStr">
        <x:is>
          <x:t xml:space="preserve">Audio-on</x:t>
        </x:is>
      </x:c>
      <x:c r="H148" s="17" t="inlineStr">
        <x:is>
          <x:t xml:space="preserve">Use mobile portrait playback</x:t>
        </x:is>
      </x:c>
      <x:c r="I148" s="17" t="inlineStr">
        <x:is>
          <x:t xml:space="preserve"/>
        </x:is>
      </x:c>
    </x:row>
    <x:row r="149">
      <x:c r="A149" s="16" t="inlineStr">
        <x:is>
          <x:t xml:space="preserve">P013</x:t>
        </x:is>
      </x:c>
      <x:c r="B149" s="16" t="n">
        <x:v>3</x:v>
      </x:c>
      <x:c r="C149" s="16" t="n">
        <x:v>1</x:v>
      </x:c>
      <x:c r="D149" s="16" t="inlineStr">
        <x:is>
          <x:t xml:space="preserve">V10</x:t>
        </x:is>
      </x:c>
      <x:c r="E149" s="16" t="inlineStr">
        <x:is>
          <x:t xml:space="preserve">Product demo</x:t>
        </x:is>
      </x:c>
      <x:c r="F149" s="16" t="inlineStr">
        <x:is>
          <x:t xml:space="preserve">BCC</x:t>
        </x:is>
      </x:c>
      <x:c r="G149" s="16" t="inlineStr">
        <x:is>
          <x:t xml:space="preserve">Muted</x:t>
        </x:is>
      </x:c>
      <x:c r="H149" s="16" t="inlineStr">
        <x:is>
          <x:t xml:space="preserve">Use mobile portrait playback</x:t>
        </x:is>
      </x:c>
      <x:c r="I149" s="16" t="inlineStr">
        <x:is>
          <x:t xml:space="preserve"/>
        </x:is>
      </x:c>
    </x:row>
    <x:row r="150">
      <x:c r="A150" s="17" t="inlineStr">
        <x:is>
          <x:t xml:space="preserve">P013</x:t>
        </x:is>
      </x:c>
      <x:c r="B150" s="17" t="n">
        <x:v>3</x:v>
      </x:c>
      <x:c r="C150" s="17" t="n">
        <x:v>2</x:v>
      </x:c>
      <x:c r="D150" s="17" t="inlineStr">
        <x:is>
          <x:t xml:space="preserve">V06</x:t>
        </x:is>
      </x:c>
      <x:c r="E150" s="17" t="inlineStr">
        <x:is>
          <x:t xml:space="preserve">Overload</x:t>
        </x:is>
      </x:c>
      <x:c r="F150" s="17" t="inlineStr">
        <x:is>
          <x:t xml:space="preserve">Heavy bionic</x:t>
        </x:is>
      </x:c>
      <x:c r="G150" s="17" t="inlineStr">
        <x:is>
          <x:t xml:space="preserve">Muted</x:t>
        </x:is>
      </x:c>
      <x:c r="H150" s="17" t="inlineStr">
        <x:is>
          <x:t xml:space="preserve">Use mobile portrait playback</x:t>
        </x:is>
      </x:c>
      <x:c r="I150" s="17" t="inlineStr">
        <x:is>
          <x:t xml:space="preserve"/>
        </x:is>
      </x:c>
    </x:row>
    <x:row r="151">
      <x:c r="A151" s="16" t="inlineStr">
        <x:is>
          <x:t xml:space="preserve">P013</x:t>
        </x:is>
      </x:c>
      <x:c r="B151" s="16" t="n">
        <x:v>3</x:v>
      </x:c>
      <x:c r="C151" s="16" t="n">
        <x:v>3</x:v>
      </x:c>
      <x:c r="D151" s="16" t="inlineStr">
        <x:is>
          <x:t xml:space="preserve">V11</x:t>
        </x:is>
      </x:c>
      <x:c r="E151" s="16" t="inlineStr">
        <x:is>
          <x:t xml:space="preserve">Creator strategy</x:t>
        </x:is>
      </x:c>
      <x:c r="F151" s="16" t="inlineStr">
        <x:is>
          <x:t xml:space="preserve">BCC+</x:t>
        </x:is>
      </x:c>
      <x:c r="G151" s="16" t="inlineStr">
        <x:is>
          <x:t xml:space="preserve">Muted</x:t>
        </x:is>
      </x:c>
      <x:c r="H151" s="16" t="inlineStr">
        <x:is>
          <x:t xml:space="preserve">Use mobile portrait playback</x:t>
        </x:is>
      </x:c>
      <x:c r="I151" s="16" t="inlineStr">
        <x:is>
          <x:t xml:space="preserve"/>
        </x:is>
      </x:c>
    </x:row>
    <x:row r="152">
      <x:c r="A152" s="17" t="inlineStr">
        <x:is>
          <x:t xml:space="preserve">P013</x:t>
        </x:is>
      </x:c>
      <x:c r="B152" s="17" t="n">
        <x:v>3</x:v>
      </x:c>
      <x:c r="C152" s="17" t="n">
        <x:v>4</x:v>
      </x:c>
      <x:c r="D152" s="17" t="inlineStr">
        <x:is>
          <x:t xml:space="preserve">V02</x:t>
        </x:is>
      </x:c>
      <x:c r="E152" s="17" t="inlineStr">
        <x:is>
          <x:t xml:space="preserve">Study</x:t>
        </x:is>
      </x:c>
      <x:c r="F152" s="17" t="inlineStr">
        <x:is>
          <x:t xml:space="preserve">Keyword highlight</x:t>
        </x:is>
      </x:c>
      <x:c r="G152" s="17" t="inlineStr">
        <x:is>
          <x:t xml:space="preserve">Muted</x:t>
        </x:is>
      </x:c>
      <x:c r="H152" s="17" t="inlineStr">
        <x:is>
          <x:t xml:space="preserve">Use mobile portrait playback</x:t>
        </x:is>
      </x:c>
      <x:c r="I152" s="17" t="inlineStr">
        <x:is>
          <x:t xml:space="preserve"/>
        </x:is>
      </x:c>
    </x:row>
    <x:row r="153">
      <x:c r="A153" s="16" t="inlineStr">
        <x:is>
          <x:t xml:space="preserve">P013</x:t>
        </x:is>
      </x:c>
      <x:c r="B153" s="16" t="n">
        <x:v>3</x:v>
      </x:c>
      <x:c r="C153" s="16" t="n">
        <x:v>5</x:v>
      </x:c>
      <x:c r="D153" s="16" t="inlineStr">
        <x:is>
          <x:t xml:space="preserve">V04</x:t>
        </x:is>
      </x:c>
      <x:c r="E153" s="16" t="inlineStr">
        <x:is>
          <x:t xml:space="preserve">Finance</x:t>
        </x:is>
      </x:c>
      <x:c r="F153" s="16" t="inlineStr">
        <x:is>
          <x:t xml:space="preserve">BCC</x:t>
        </x:is>
      </x:c>
      <x:c r="G153" s="16" t="inlineStr">
        <x:is>
          <x:t xml:space="preserve">Muted</x:t>
        </x:is>
      </x:c>
      <x:c r="H153" s="16" t="inlineStr">
        <x:is>
          <x:t xml:space="preserve">Use mobile portrait playback</x:t>
        </x:is>
      </x:c>
      <x:c r="I153" s="16" t="inlineStr">
        <x:is>
          <x:t xml:space="preserve"/>
        </x:is>
      </x:c>
    </x:row>
    <x:row r="154">
      <x:c r="A154" s="17" t="inlineStr">
        <x:is>
          <x:t xml:space="preserve">P013</x:t>
        </x:is>
      </x:c>
      <x:c r="B154" s="17" t="n">
        <x:v>3</x:v>
      </x:c>
      <x:c r="C154" s="17" t="n">
        <x:v>6</x:v>
      </x:c>
      <x:c r="D154" s="17" t="inlineStr">
        <x:is>
          <x:t xml:space="preserve">V09</x:t>
        </x:is>
      </x:c>
      <x:c r="E154" s="17" t="inlineStr">
        <x:is>
          <x:t xml:space="preserve">Sleep habit</x:t>
        </x:is>
      </x:c>
      <x:c r="F154" s="17" t="inlineStr">
        <x:is>
          <x:t xml:space="preserve">Semantic compression</x:t>
        </x:is>
      </x:c>
      <x:c r="G154" s="17" t="inlineStr">
        <x:is>
          <x:t xml:space="preserve">Muted</x:t>
        </x:is>
      </x:c>
      <x:c r="H154" s="17" t="inlineStr">
        <x:is>
          <x:t xml:space="preserve">Use mobile portrait playback</x:t>
        </x:is>
      </x:c>
      <x:c r="I154" s="17" t="inlineStr">
        <x:is>
          <x:t xml:space="preserve"/>
        </x:is>
      </x:c>
    </x:row>
    <x:row r="155">
      <x:c r="A155" s="16" t="inlineStr">
        <x:is>
          <x:t xml:space="preserve">P013</x:t>
        </x:is>
      </x:c>
      <x:c r="B155" s="16" t="n">
        <x:v>3</x:v>
      </x:c>
      <x:c r="C155" s="16" t="n">
        <x:v>7</x:v>
      </x:c>
      <x:c r="D155" s="16" t="inlineStr">
        <x:is>
          <x:t xml:space="preserve">V12</x:t>
        </x:is>
      </x:c>
      <x:c r="E155" s="16" t="inlineStr">
        <x:is>
          <x:t xml:space="preserve">Time management</x:t>
        </x:is>
      </x:c>
      <x:c r="F155" s="16" t="inlineStr">
        <x:is>
          <x:t xml:space="preserve">Heavy bionic</x:t>
        </x:is>
      </x:c>
      <x:c r="G155" s="16" t="inlineStr">
        <x:is>
          <x:t xml:space="preserve">Muted</x:t>
        </x:is>
      </x:c>
      <x:c r="H155" s="16" t="inlineStr">
        <x:is>
          <x:t xml:space="preserve">Use mobile portrait playback</x:t>
        </x:is>
      </x:c>
      <x:c r="I155" s="16" t="inlineStr">
        <x:is>
          <x:t xml:space="preserve"/>
        </x:is>
      </x:c>
    </x:row>
    <x:row r="156">
      <x:c r="A156" s="17" t="inlineStr">
        <x:is>
          <x:t xml:space="preserve">P013</x:t>
        </x:is>
      </x:c>
      <x:c r="B156" s="17" t="n">
        <x:v>3</x:v>
      </x:c>
      <x:c r="C156" s="17" t="n">
        <x:v>8</x:v>
      </x:c>
      <x:c r="D156" s="17" t="inlineStr">
        <x:is>
          <x:t xml:space="preserve">V07</x:t>
        </x:is>
      </x:c>
      <x:c r="E156" s="17" t="inlineStr">
        <x:is>
          <x:t xml:space="preserve">Business</x:t>
        </x:is>
      </x:c>
      <x:c r="F156" s="17" t="inlineStr">
        <x:is>
          <x:t xml:space="preserve">Full transcript</x:t>
        </x:is>
      </x:c>
      <x:c r="G156" s="17" t="inlineStr">
        <x:is>
          <x:t xml:space="preserve">Muted</x:t>
        </x:is>
      </x:c>
      <x:c r="H156" s="17" t="inlineStr">
        <x:is>
          <x:t xml:space="preserve">Use mobile portrait playback</x:t>
        </x:is>
      </x:c>
      <x:c r="I156" s="17" t="inlineStr">
        <x:is>
          <x:t xml:space="preserve"/>
        </x:is>
      </x:c>
    </x:row>
    <x:row r="157">
      <x:c r="A157" s="16" t="inlineStr">
        <x:is>
          <x:t xml:space="preserve">P013</x:t>
        </x:is>
      </x:c>
      <x:c r="B157" s="16" t="n">
        <x:v>3</x:v>
      </x:c>
      <x:c r="C157" s="16" t="n">
        <x:v>9</x:v>
      </x:c>
      <x:c r="D157" s="16" t="inlineStr">
        <x:is>
          <x:t xml:space="preserve">V01</x:t>
        </x:is>
      </x:c>
      <x:c r="E157" s="16" t="inlineStr">
        <x:is>
          <x:t xml:space="preserve">Productivity</x:t>
        </x:is>
      </x:c>
      <x:c r="F157" s="16" t="inlineStr">
        <x:is>
          <x:t xml:space="preserve">Full transcript</x:t>
        </x:is>
      </x:c>
      <x:c r="G157" s="16" t="inlineStr">
        <x:is>
          <x:t xml:space="preserve">Muted</x:t>
        </x:is>
      </x:c>
      <x:c r="H157" s="16" t="inlineStr">
        <x:is>
          <x:t xml:space="preserve">Use mobile portrait playback</x:t>
        </x:is>
      </x:c>
      <x:c r="I157" s="16" t="inlineStr">
        <x:is>
          <x:t xml:space="preserve"/>
        </x:is>
      </x:c>
    </x:row>
    <x:row r="158">
      <x:c r="A158" s="17" t="inlineStr">
        <x:is>
          <x:t xml:space="preserve">P013</x:t>
        </x:is>
      </x:c>
      <x:c r="B158" s="17" t="n">
        <x:v>3</x:v>
      </x:c>
      <x:c r="C158" s="17" t="n">
        <x:v>10</x:v>
      </x:c>
      <x:c r="D158" s="17" t="inlineStr">
        <x:is>
          <x:t xml:space="preserve">V03</x:t>
        </x:is>
      </x:c>
      <x:c r="E158" s="17" t="inlineStr">
        <x:is>
          <x:t xml:space="preserve">Fitness</x:t>
        </x:is>
      </x:c>
      <x:c r="F158" s="17" t="inlineStr">
        <x:is>
          <x:t xml:space="preserve">Semantic compression</x:t>
        </x:is>
      </x:c>
      <x:c r="G158" s="17" t="inlineStr">
        <x:is>
          <x:t xml:space="preserve">Muted</x:t>
        </x:is>
      </x:c>
      <x:c r="H158" s="17" t="inlineStr">
        <x:is>
          <x:t xml:space="preserve">Use mobile portrait playback</x:t>
        </x:is>
      </x:c>
      <x:c r="I158" s="17" t="inlineStr">
        <x:is>
          <x:t xml:space="preserve"/>
        </x:is>
      </x:c>
    </x:row>
    <x:row r="159">
      <x:c r="A159" s="16" t="inlineStr">
        <x:is>
          <x:t xml:space="preserve">P013</x:t>
        </x:is>
      </x:c>
      <x:c r="B159" s="16" t="n">
        <x:v>3</x:v>
      </x:c>
      <x:c r="C159" s="16" t="n">
        <x:v>11</x:v>
      </x:c>
      <x:c r="D159" s="16" t="inlineStr">
        <x:is>
          <x:t xml:space="preserve">V05</x:t>
        </x:is>
      </x:c>
      <x:c r="E159" s="16" t="inlineStr">
        <x:is>
          <x:t xml:space="preserve">Tutorial</x:t>
        </x:is>
      </x:c>
      <x:c r="F159" s="16" t="inlineStr">
        <x:is>
          <x:t xml:space="preserve">BCC+</x:t>
        </x:is>
      </x:c>
      <x:c r="G159" s="16" t="inlineStr">
        <x:is>
          <x:t xml:space="preserve">Muted</x:t>
        </x:is>
      </x:c>
      <x:c r="H159" s="16" t="inlineStr">
        <x:is>
          <x:t xml:space="preserve">Use mobile portrait playback</x:t>
        </x:is>
      </x:c>
      <x:c r="I159" s="16" t="inlineStr">
        <x:is>
          <x:t xml:space="preserve"/>
        </x:is>
      </x:c>
    </x:row>
    <x:row r="160">
      <x:c r="A160" s="17" t="inlineStr">
        <x:is>
          <x:t xml:space="preserve">P013</x:t>
        </x:is>
      </x:c>
      <x:c r="B160" s="17" t="n">
        <x:v>3</x:v>
      </x:c>
      <x:c r="C160" s="17" t="n">
        <x:v>12</x:v>
      </x:c>
      <x:c r="D160" s="17" t="inlineStr">
        <x:is>
          <x:t xml:space="preserve">V08</x:t>
        </x:is>
      </x:c>
      <x:c r="E160" s="17" t="inlineStr">
        <x:is>
          <x:t xml:space="preserve">Coding</x:t>
        </x:is>
      </x:c>
      <x:c r="F160" s="17" t="inlineStr">
        <x:is>
          <x:t xml:space="preserve">Keyword highlight</x:t>
        </x:is>
      </x:c>
      <x:c r="G160" s="17" t="inlineStr">
        <x:is>
          <x:t xml:space="preserve">Muted</x:t>
        </x:is>
      </x:c>
      <x:c r="H160" s="17" t="inlineStr">
        <x:is>
          <x:t xml:space="preserve">Use mobile portrait playback</x:t>
        </x:is>
      </x:c>
      <x:c r="I160" s="17" t="inlineStr">
        <x:is>
          <x:t xml:space="preserve"/>
        </x:is>
      </x:c>
    </x:row>
    <x:row r="161">
      <x:c r="A161" s="16" t="inlineStr">
        <x:is>
          <x:t xml:space="preserve">P014</x:t>
        </x:is>
      </x:c>
      <x:c r="B161" s="16" t="n">
        <x:v>3</x:v>
      </x:c>
      <x:c r="C161" s="16" t="n">
        <x:v>1</x:v>
      </x:c>
      <x:c r="D161" s="16" t="inlineStr">
        <x:is>
          <x:t xml:space="preserve">V08</x:t>
        </x:is>
      </x:c>
      <x:c r="E161" s="16" t="inlineStr">
        <x:is>
          <x:t xml:space="preserve">Coding</x:t>
        </x:is>
      </x:c>
      <x:c r="F161" s="16" t="inlineStr">
        <x:is>
          <x:t xml:space="preserve">Semantic compression</x:t>
        </x:is>
      </x:c>
      <x:c r="G161" s="16" t="inlineStr">
        <x:is>
          <x:t xml:space="preserve">Muted</x:t>
        </x:is>
      </x:c>
      <x:c r="H161" s="16" t="inlineStr">
        <x:is>
          <x:t xml:space="preserve">Use mobile portrait playback</x:t>
        </x:is>
      </x:c>
      <x:c r="I161" s="16" t="inlineStr">
        <x:is>
          <x:t xml:space="preserve"/>
        </x:is>
      </x:c>
    </x:row>
    <x:row r="162">
      <x:c r="A162" s="17" t="inlineStr">
        <x:is>
          <x:t xml:space="preserve">P014</x:t>
        </x:is>
      </x:c>
      <x:c r="B162" s="17" t="n">
        <x:v>3</x:v>
      </x:c>
      <x:c r="C162" s="17" t="n">
        <x:v>2</x:v>
      </x:c>
      <x:c r="D162" s="17" t="inlineStr">
        <x:is>
          <x:t xml:space="preserve">V03</x:t>
        </x:is>
      </x:c>
      <x:c r="E162" s="17" t="inlineStr">
        <x:is>
          <x:t xml:space="preserve">Fitness</x:t>
        </x:is>
      </x:c>
      <x:c r="F162" s="17" t="inlineStr">
        <x:is>
          <x:t xml:space="preserve">BCC</x:t>
        </x:is>
      </x:c>
      <x:c r="G162" s="17" t="inlineStr">
        <x:is>
          <x:t xml:space="preserve">Muted</x:t>
        </x:is>
      </x:c>
      <x:c r="H162" s="17" t="inlineStr">
        <x:is>
          <x:t xml:space="preserve">Use mobile portrait playback</x:t>
        </x:is>
      </x:c>
      <x:c r="I162" s="17" t="inlineStr">
        <x:is>
          <x:t xml:space="preserve"/>
        </x:is>
      </x:c>
    </x:row>
    <x:row r="163">
      <x:c r="A163" s="16" t="inlineStr">
        <x:is>
          <x:t xml:space="preserve">P014</x:t>
        </x:is>
      </x:c>
      <x:c r="B163" s="16" t="n">
        <x:v>3</x:v>
      </x:c>
      <x:c r="C163" s="16" t="n">
        <x:v>3</x:v>
      </x:c>
      <x:c r="D163" s="16" t="inlineStr">
        <x:is>
          <x:t xml:space="preserve">V06</x:t>
        </x:is>
      </x:c>
      <x:c r="E163" s="16" t="inlineStr">
        <x:is>
          <x:t xml:space="preserve">Overload</x:t>
        </x:is>
      </x:c>
      <x:c r="F163" s="16" t="inlineStr">
        <x:is>
          <x:t xml:space="preserve">Full transcript</x:t>
        </x:is>
      </x:c>
      <x:c r="G163" s="16" t="inlineStr">
        <x:is>
          <x:t xml:space="preserve">Muted</x:t>
        </x:is>
      </x:c>
      <x:c r="H163" s="16" t="inlineStr">
        <x:is>
          <x:t xml:space="preserve">Use mobile portrait playback</x:t>
        </x:is>
      </x:c>
      <x:c r="I163" s="16" t="inlineStr">
        <x:is>
          <x:t xml:space="preserve"/>
        </x:is>
      </x:c>
    </x:row>
    <x:row r="164">
      <x:c r="A164" s="17" t="inlineStr">
        <x:is>
          <x:t xml:space="preserve">P014</x:t>
        </x:is>
      </x:c>
      <x:c r="B164" s="17" t="n">
        <x:v>3</x:v>
      </x:c>
      <x:c r="C164" s="17" t="n">
        <x:v>4</x:v>
      </x:c>
      <x:c r="D164" s="17" t="inlineStr">
        <x:is>
          <x:t xml:space="preserve">V02</x:t>
        </x:is>
      </x:c>
      <x:c r="E164" s="17" t="inlineStr">
        <x:is>
          <x:t xml:space="preserve">Study</x:t>
        </x:is>
      </x:c>
      <x:c r="F164" s="17" t="inlineStr">
        <x:is>
          <x:t xml:space="preserve">Semantic compression</x:t>
        </x:is>
      </x:c>
      <x:c r="G164" s="17" t="inlineStr">
        <x:is>
          <x:t xml:space="preserve">Muted</x:t>
        </x:is>
      </x:c>
      <x:c r="H164" s="17" t="inlineStr">
        <x:is>
          <x:t xml:space="preserve">Use mobile portrait playback</x:t>
        </x:is>
      </x:c>
      <x:c r="I164" s="17" t="inlineStr">
        <x:is>
          <x:t xml:space="preserve"/>
        </x:is>
      </x:c>
    </x:row>
    <x:row r="165">
      <x:c r="A165" s="16" t="inlineStr">
        <x:is>
          <x:t xml:space="preserve">P014</x:t>
        </x:is>
      </x:c>
      <x:c r="B165" s="16" t="n">
        <x:v>3</x:v>
      </x:c>
      <x:c r="C165" s="16" t="n">
        <x:v>5</x:v>
      </x:c>
      <x:c r="D165" s="16" t="inlineStr">
        <x:is>
          <x:t xml:space="preserve">V12</x:t>
        </x:is>
      </x:c>
      <x:c r="E165" s="16" t="inlineStr">
        <x:is>
          <x:t xml:space="preserve">Time management</x:t>
        </x:is>
      </x:c>
      <x:c r="F165" s="16" t="inlineStr">
        <x:is>
          <x:t xml:space="preserve">Full transcript</x:t>
        </x:is>
      </x:c>
      <x:c r="G165" s="16" t="inlineStr">
        <x:is>
          <x:t xml:space="preserve">Muted</x:t>
        </x:is>
      </x:c>
      <x:c r="H165" s="16" t="inlineStr">
        <x:is>
          <x:t xml:space="preserve">Use mobile portrait playback</x:t>
        </x:is>
      </x:c>
      <x:c r="I165" s="16" t="inlineStr">
        <x:is>
          <x:t xml:space="preserve"/>
        </x:is>
      </x:c>
    </x:row>
    <x:row r="166">
      <x:c r="A166" s="17" t="inlineStr">
        <x:is>
          <x:t xml:space="preserve">P014</x:t>
        </x:is>
      </x:c>
      <x:c r="B166" s="17" t="n">
        <x:v>3</x:v>
      </x:c>
      <x:c r="C166" s="17" t="n">
        <x:v>6</x:v>
      </x:c>
      <x:c r="D166" s="17" t="inlineStr">
        <x:is>
          <x:t xml:space="preserve">V07</x:t>
        </x:is>
      </x:c>
      <x:c r="E166" s="17" t="inlineStr">
        <x:is>
          <x:t xml:space="preserve">Business</x:t>
        </x:is>
      </x:c>
      <x:c r="F166" s="17" t="inlineStr">
        <x:is>
          <x:t xml:space="preserve">Keyword highlight</x:t>
        </x:is>
      </x:c>
      <x:c r="G166" s="17" t="inlineStr">
        <x:is>
          <x:t xml:space="preserve">Muted</x:t>
        </x:is>
      </x:c>
      <x:c r="H166" s="17" t="inlineStr">
        <x:is>
          <x:t xml:space="preserve">Use mobile portrait playback</x:t>
        </x:is>
      </x:c>
      <x:c r="I166" s="17" t="inlineStr">
        <x:is>
          <x:t xml:space="preserve"/>
        </x:is>
      </x:c>
    </x:row>
    <x:row r="167">
      <x:c r="A167" s="16" t="inlineStr">
        <x:is>
          <x:t xml:space="preserve">P014</x:t>
        </x:is>
      </x:c>
      <x:c r="B167" s="16" t="n">
        <x:v>3</x:v>
      </x:c>
      <x:c r="C167" s="16" t="n">
        <x:v>7</x:v>
      </x:c>
      <x:c r="D167" s="16" t="inlineStr">
        <x:is>
          <x:t xml:space="preserve">V10</x:t>
        </x:is>
      </x:c>
      <x:c r="E167" s="16" t="inlineStr">
        <x:is>
          <x:t xml:space="preserve">Product demo</x:t>
        </x:is>
      </x:c>
      <x:c r="F167" s="16" t="inlineStr">
        <x:is>
          <x:t xml:space="preserve">BCC+</x:t>
        </x:is>
      </x:c>
      <x:c r="G167" s="16" t="inlineStr">
        <x:is>
          <x:t xml:space="preserve">Muted</x:t>
        </x:is>
      </x:c>
      <x:c r="H167" s="16" t="inlineStr">
        <x:is>
          <x:t xml:space="preserve">Use mobile portrait playback</x:t>
        </x:is>
      </x:c>
      <x:c r="I167" s="16" t="inlineStr">
        <x:is>
          <x:t xml:space="preserve"/>
        </x:is>
      </x:c>
    </x:row>
    <x:row r="168">
      <x:c r="A168" s="17" t="inlineStr">
        <x:is>
          <x:t xml:space="preserve">P014</x:t>
        </x:is>
      </x:c>
      <x:c r="B168" s="17" t="n">
        <x:v>3</x:v>
      </x:c>
      <x:c r="C168" s="17" t="n">
        <x:v>8</x:v>
      </x:c>
      <x:c r="D168" s="17" t="inlineStr">
        <x:is>
          <x:t xml:space="preserve">V11</x:t>
        </x:is>
      </x:c>
      <x:c r="E168" s="17" t="inlineStr">
        <x:is>
          <x:t xml:space="preserve">Creator strategy</x:t>
        </x:is>
      </x:c>
      <x:c r="F168" s="17" t="inlineStr">
        <x:is>
          <x:t xml:space="preserve">Heavy bionic</x:t>
        </x:is>
      </x:c>
      <x:c r="G168" s="17" t="inlineStr">
        <x:is>
          <x:t xml:space="preserve">Muted</x:t>
        </x:is>
      </x:c>
      <x:c r="H168" s="17" t="inlineStr">
        <x:is>
          <x:t xml:space="preserve">Use mobile portrait playback</x:t>
        </x:is>
      </x:c>
      <x:c r="I168" s="17" t="inlineStr">
        <x:is>
          <x:t xml:space="preserve"/>
        </x:is>
      </x:c>
    </x:row>
    <x:row r="169">
      <x:c r="A169" s="16" t="inlineStr">
        <x:is>
          <x:t xml:space="preserve">P014</x:t>
        </x:is>
      </x:c>
      <x:c r="B169" s="16" t="n">
        <x:v>3</x:v>
      </x:c>
      <x:c r="C169" s="16" t="n">
        <x:v>9</x:v>
      </x:c>
      <x:c r="D169" s="16" t="inlineStr">
        <x:is>
          <x:t xml:space="preserve">V05</x:t>
        </x:is>
      </x:c>
      <x:c r="E169" s="16" t="inlineStr">
        <x:is>
          <x:t xml:space="preserve">Tutorial</x:t>
        </x:is>
      </x:c>
      <x:c r="F169" s="16" t="inlineStr">
        <x:is>
          <x:t xml:space="preserve">Heavy bionic</x:t>
        </x:is>
      </x:c>
      <x:c r="G169" s="16" t="inlineStr">
        <x:is>
          <x:t xml:space="preserve">Muted</x:t>
        </x:is>
      </x:c>
      <x:c r="H169" s="16" t="inlineStr">
        <x:is>
          <x:t xml:space="preserve">Use mobile portrait playback</x:t>
        </x:is>
      </x:c>
      <x:c r="I169" s="16" t="inlineStr">
        <x:is>
          <x:t xml:space="preserve"/>
        </x:is>
      </x:c>
    </x:row>
    <x:row r="170">
      <x:c r="A170" s="17" t="inlineStr">
        <x:is>
          <x:t xml:space="preserve">P014</x:t>
        </x:is>
      </x:c>
      <x:c r="B170" s="17" t="n">
        <x:v>3</x:v>
      </x:c>
      <x:c r="C170" s="17" t="n">
        <x:v>10</x:v>
      </x:c>
      <x:c r="D170" s="17" t="inlineStr">
        <x:is>
          <x:t xml:space="preserve">V04</x:t>
        </x:is>
      </x:c>
      <x:c r="E170" s="17" t="inlineStr">
        <x:is>
          <x:t xml:space="preserve">Finance</x:t>
        </x:is>
      </x:c>
      <x:c r="F170" s="17" t="inlineStr">
        <x:is>
          <x:t xml:space="preserve">BCC+</x:t>
        </x:is>
      </x:c>
      <x:c r="G170" s="17" t="inlineStr">
        <x:is>
          <x:t xml:space="preserve">Muted</x:t>
        </x:is>
      </x:c>
      <x:c r="H170" s="17" t="inlineStr">
        <x:is>
          <x:t xml:space="preserve">Use mobile portrait playback</x:t>
        </x:is>
      </x:c>
      <x:c r="I170" s="17" t="inlineStr">
        <x:is>
          <x:t xml:space="preserve"/>
        </x:is>
      </x:c>
    </x:row>
    <x:row r="171">
      <x:c r="A171" s="16" t="inlineStr">
        <x:is>
          <x:t xml:space="preserve">P014</x:t>
        </x:is>
      </x:c>
      <x:c r="B171" s="16" t="n">
        <x:v>3</x:v>
      </x:c>
      <x:c r="C171" s="16" t="n">
        <x:v>11</x:v>
      </x:c>
      <x:c r="D171" s="16" t="inlineStr">
        <x:is>
          <x:t xml:space="preserve">V01</x:t>
        </x:is>
      </x:c>
      <x:c r="E171" s="16" t="inlineStr">
        <x:is>
          <x:t xml:space="preserve">Productivity</x:t>
        </x:is>
      </x:c>
      <x:c r="F171" s="16" t="inlineStr">
        <x:is>
          <x:t xml:space="preserve">Keyword highlight</x:t>
        </x:is>
      </x:c>
      <x:c r="G171" s="16" t="inlineStr">
        <x:is>
          <x:t xml:space="preserve">Muted</x:t>
        </x:is>
      </x:c>
      <x:c r="H171" s="16" t="inlineStr">
        <x:is>
          <x:t xml:space="preserve">Use mobile portrait playback</x:t>
        </x:is>
      </x:c>
      <x:c r="I171" s="16" t="inlineStr">
        <x:is>
          <x:t xml:space="preserve"/>
        </x:is>
      </x:c>
    </x:row>
    <x:row r="172">
      <x:c r="A172" s="17" t="inlineStr">
        <x:is>
          <x:t xml:space="preserve">P014</x:t>
        </x:is>
      </x:c>
      <x:c r="B172" s="17" t="n">
        <x:v>3</x:v>
      </x:c>
      <x:c r="C172" s="17" t="n">
        <x:v>12</x:v>
      </x:c>
      <x:c r="D172" s="17" t="inlineStr">
        <x:is>
          <x:t xml:space="preserve">V09</x:t>
        </x:is>
      </x:c>
      <x:c r="E172" s="17" t="inlineStr">
        <x:is>
          <x:t xml:space="preserve">Sleep habit</x:t>
        </x:is>
      </x:c>
      <x:c r="F172" s="17" t="inlineStr">
        <x:is>
          <x:t xml:space="preserve">BCC</x:t>
        </x:is>
      </x:c>
      <x:c r="G172" s="17" t="inlineStr">
        <x:is>
          <x:t xml:space="preserve">Muted</x:t>
        </x:is>
      </x:c>
      <x:c r="H172" s="17" t="inlineStr">
        <x:is>
          <x:t xml:space="preserve">Use mobile portrait playback</x:t>
        </x:is>
      </x:c>
      <x:c r="I172" s="17" t="inlineStr">
        <x:is>
          <x:t xml:space="preserve"/>
        </x:is>
      </x:c>
    </x:row>
    <x:row r="173">
      <x:c r="A173" s="16" t="inlineStr">
        <x:is>
          <x:t xml:space="preserve">P015</x:t>
        </x:is>
      </x:c>
      <x:c r="B173" s="16" t="n">
        <x:v>3</x:v>
      </x:c>
      <x:c r="C173" s="16" t="n">
        <x:v>1</x:v>
      </x:c>
      <x:c r="D173" s="16" t="inlineStr">
        <x:is>
          <x:t xml:space="preserve">V06</x:t>
        </x:is>
      </x:c>
      <x:c r="E173" s="16" t="inlineStr">
        <x:is>
          <x:t xml:space="preserve">Overload</x:t>
        </x:is>
      </x:c>
      <x:c r="F173" s="16" t="inlineStr">
        <x:is>
          <x:t xml:space="preserve">Keyword highlight</x:t>
        </x:is>
      </x:c>
      <x:c r="G173" s="16" t="inlineStr">
        <x:is>
          <x:t xml:space="preserve">Muted</x:t>
        </x:is>
      </x:c>
      <x:c r="H173" s="16" t="inlineStr">
        <x:is>
          <x:t xml:space="preserve">Use mobile portrait playback</x:t>
        </x:is>
      </x:c>
      <x:c r="I173" s="16" t="inlineStr">
        <x:is>
          <x:t xml:space="preserve"/>
        </x:is>
      </x:c>
    </x:row>
    <x:row r="174">
      <x:c r="A174" s="17" t="inlineStr">
        <x:is>
          <x:t xml:space="preserve">P015</x:t>
        </x:is>
      </x:c>
      <x:c r="B174" s="17" t="n">
        <x:v>3</x:v>
      </x:c>
      <x:c r="C174" s="17" t="n">
        <x:v>2</x:v>
      </x:c>
      <x:c r="D174" s="17" t="inlineStr">
        <x:is>
          <x:t xml:space="preserve">V01</x:t>
        </x:is>
      </x:c>
      <x:c r="E174" s="17" t="inlineStr">
        <x:is>
          <x:t xml:space="preserve">Productivity</x:t>
        </x:is>
      </x:c>
      <x:c r="F174" s="17" t="inlineStr">
        <x:is>
          <x:t xml:space="preserve">Semantic compression</x:t>
        </x:is>
      </x:c>
      <x:c r="G174" s="17" t="inlineStr">
        <x:is>
          <x:t xml:space="preserve">Muted</x:t>
        </x:is>
      </x:c>
      <x:c r="H174" s="17" t="inlineStr">
        <x:is>
          <x:t xml:space="preserve">Use mobile portrait playback</x:t>
        </x:is>
      </x:c>
      <x:c r="I174" s="17" t="inlineStr">
        <x:is>
          <x:t xml:space="preserve"/>
        </x:is>
      </x:c>
    </x:row>
    <x:row r="175">
      <x:c r="A175" s="16" t="inlineStr">
        <x:is>
          <x:t xml:space="preserve">P015</x:t>
        </x:is>
      </x:c>
      <x:c r="B175" s="16" t="n">
        <x:v>3</x:v>
      </x:c>
      <x:c r="C175" s="16" t="n">
        <x:v>3</x:v>
      </x:c>
      <x:c r="D175" s="16" t="inlineStr">
        <x:is>
          <x:t xml:space="preserve">V12</x:t>
        </x:is>
      </x:c>
      <x:c r="E175" s="16" t="inlineStr">
        <x:is>
          <x:t xml:space="preserve">Time management</x:t>
        </x:is>
      </x:c>
      <x:c r="F175" s="16" t="inlineStr">
        <x:is>
          <x:t xml:space="preserve">Keyword highlight</x:t>
        </x:is>
      </x:c>
      <x:c r="G175" s="16" t="inlineStr">
        <x:is>
          <x:t xml:space="preserve">Muted</x:t>
        </x:is>
      </x:c>
      <x:c r="H175" s="16" t="inlineStr">
        <x:is>
          <x:t xml:space="preserve">Use mobile portrait playback</x:t>
        </x:is>
      </x:c>
      <x:c r="I175" s="16" t="inlineStr">
        <x:is>
          <x:t xml:space="preserve"/>
        </x:is>
      </x:c>
    </x:row>
    <x:row r="176">
      <x:c r="A176" s="17" t="inlineStr">
        <x:is>
          <x:t xml:space="preserve">P015</x:t>
        </x:is>
      </x:c>
      <x:c r="B176" s="17" t="n">
        <x:v>3</x:v>
      </x:c>
      <x:c r="C176" s="17" t="n">
        <x:v>4</x:v>
      </x:c>
      <x:c r="D176" s="17" t="inlineStr">
        <x:is>
          <x:t xml:space="preserve">V10</x:t>
        </x:is>
      </x:c>
      <x:c r="E176" s="17" t="inlineStr">
        <x:is>
          <x:t xml:space="preserve">Product demo</x:t>
        </x:is>
      </x:c>
      <x:c r="F176" s="17" t="inlineStr">
        <x:is>
          <x:t xml:space="preserve">Heavy bionic</x:t>
        </x:is>
      </x:c>
      <x:c r="G176" s="17" t="inlineStr">
        <x:is>
          <x:t xml:space="preserve">Muted</x:t>
        </x:is>
      </x:c>
      <x:c r="H176" s="17" t="inlineStr">
        <x:is>
          <x:t xml:space="preserve">Use mobile portrait playback</x:t>
        </x:is>
      </x:c>
      <x:c r="I176" s="17" t="inlineStr">
        <x:is>
          <x:t xml:space="preserve"/>
        </x:is>
      </x:c>
    </x:row>
    <x:row r="177">
      <x:c r="A177" s="16" t="inlineStr">
        <x:is>
          <x:t xml:space="preserve">P015</x:t>
        </x:is>
      </x:c>
      <x:c r="B177" s="16" t="n">
        <x:v>3</x:v>
      </x:c>
      <x:c r="C177" s="16" t="n">
        <x:v>5</x:v>
      </x:c>
      <x:c r="D177" s="16" t="inlineStr">
        <x:is>
          <x:t xml:space="preserve">V11</x:t>
        </x:is>
      </x:c>
      <x:c r="E177" s="16" t="inlineStr">
        <x:is>
          <x:t xml:space="preserve">Creator strategy</x:t>
        </x:is>
      </x:c>
      <x:c r="F177" s="16" t="inlineStr">
        <x:is>
          <x:t xml:space="preserve">Full transcript</x:t>
        </x:is>
      </x:c>
      <x:c r="G177" s="16" t="inlineStr">
        <x:is>
          <x:t xml:space="preserve">Muted</x:t>
        </x:is>
      </x:c>
      <x:c r="H177" s="16" t="inlineStr">
        <x:is>
          <x:t xml:space="preserve">Use mobile portrait playback</x:t>
        </x:is>
      </x:c>
      <x:c r="I177" s="16" t="inlineStr">
        <x:is>
          <x:t xml:space="preserve"/>
        </x:is>
      </x:c>
    </x:row>
    <x:row r="178">
      <x:c r="A178" s="17" t="inlineStr">
        <x:is>
          <x:t xml:space="preserve">P015</x:t>
        </x:is>
      </x:c>
      <x:c r="B178" s="17" t="n">
        <x:v>3</x:v>
      </x:c>
      <x:c r="C178" s="17" t="n">
        <x:v>6</x:v>
      </x:c>
      <x:c r="D178" s="17" t="inlineStr">
        <x:is>
          <x:t xml:space="preserve">V04</x:t>
        </x:is>
      </x:c>
      <x:c r="E178" s="17" t="inlineStr">
        <x:is>
          <x:t xml:space="preserve">Finance</x:t>
        </x:is>
      </x:c>
      <x:c r="F178" s="17" t="inlineStr">
        <x:is>
          <x:t xml:space="preserve">Heavy bionic</x:t>
        </x:is>
      </x:c>
      <x:c r="G178" s="17" t="inlineStr">
        <x:is>
          <x:t xml:space="preserve">Muted</x:t>
        </x:is>
      </x:c>
      <x:c r="H178" s="17" t="inlineStr">
        <x:is>
          <x:t xml:space="preserve">Use mobile portrait playback</x:t>
        </x:is>
      </x:c>
      <x:c r="I178" s="17" t="inlineStr">
        <x:is>
          <x:t xml:space="preserve"/>
        </x:is>
      </x:c>
    </x:row>
    <x:row r="179">
      <x:c r="A179" s="16" t="inlineStr">
        <x:is>
          <x:t xml:space="preserve">P015</x:t>
        </x:is>
      </x:c>
      <x:c r="B179" s="16" t="n">
        <x:v>3</x:v>
      </x:c>
      <x:c r="C179" s="16" t="n">
        <x:v>7</x:v>
      </x:c>
      <x:c r="D179" s="16" t="inlineStr">
        <x:is>
          <x:t xml:space="preserve">V03</x:t>
        </x:is>
      </x:c>
      <x:c r="E179" s="16" t="inlineStr">
        <x:is>
          <x:t xml:space="preserve">Fitness</x:t>
        </x:is>
      </x:c>
      <x:c r="F179" s="16" t="inlineStr">
        <x:is>
          <x:t xml:space="preserve">BCC+</x:t>
        </x:is>
      </x:c>
      <x:c r="G179" s="16" t="inlineStr">
        <x:is>
          <x:t xml:space="preserve">Muted</x:t>
        </x:is>
      </x:c>
      <x:c r="H179" s="16" t="inlineStr">
        <x:is>
          <x:t xml:space="preserve">Use mobile portrait playback</x:t>
        </x:is>
      </x:c>
      <x:c r="I179" s="16" t="inlineStr">
        <x:is>
          <x:t xml:space="preserve"/>
        </x:is>
      </x:c>
    </x:row>
    <x:row r="180">
      <x:c r="A180" s="17" t="inlineStr">
        <x:is>
          <x:t xml:space="preserve">P015</x:t>
        </x:is>
      </x:c>
      <x:c r="B180" s="17" t="n">
        <x:v>3</x:v>
      </x:c>
      <x:c r="C180" s="17" t="n">
        <x:v>8</x:v>
      </x:c>
      <x:c r="D180" s="17" t="inlineStr">
        <x:is>
          <x:t xml:space="preserve">V07</x:t>
        </x:is>
      </x:c>
      <x:c r="E180" s="17" t="inlineStr">
        <x:is>
          <x:t xml:space="preserve">Business</x:t>
        </x:is>
      </x:c>
      <x:c r="F180" s="17" t="inlineStr">
        <x:is>
          <x:t xml:space="preserve">Semantic compression</x:t>
        </x:is>
      </x:c>
      <x:c r="G180" s="17" t="inlineStr">
        <x:is>
          <x:t xml:space="preserve">Muted</x:t>
        </x:is>
      </x:c>
      <x:c r="H180" s="17" t="inlineStr">
        <x:is>
          <x:t xml:space="preserve">Use mobile portrait playback</x:t>
        </x:is>
      </x:c>
      <x:c r="I180" s="17" t="inlineStr">
        <x:is>
          <x:t xml:space="preserve"/>
        </x:is>
      </x:c>
    </x:row>
    <x:row r="181">
      <x:c r="A181" s="16" t="inlineStr">
        <x:is>
          <x:t xml:space="preserve">P015</x:t>
        </x:is>
      </x:c>
      <x:c r="B181" s="16" t="n">
        <x:v>3</x:v>
      </x:c>
      <x:c r="C181" s="16" t="n">
        <x:v>9</x:v>
      </x:c>
      <x:c r="D181" s="16" t="inlineStr">
        <x:is>
          <x:t xml:space="preserve">V09</x:t>
        </x:is>
      </x:c>
      <x:c r="E181" s="16" t="inlineStr">
        <x:is>
          <x:t xml:space="preserve">Sleep habit</x:t>
        </x:is>
      </x:c>
      <x:c r="F181" s="16" t="inlineStr">
        <x:is>
          <x:t xml:space="preserve">BCC+</x:t>
        </x:is>
      </x:c>
      <x:c r="G181" s="16" t="inlineStr">
        <x:is>
          <x:t xml:space="preserve">Muted</x:t>
        </x:is>
      </x:c>
      <x:c r="H181" s="16" t="inlineStr">
        <x:is>
          <x:t xml:space="preserve">Use mobile portrait playback</x:t>
        </x:is>
      </x:c>
      <x:c r="I181" s="16" t="inlineStr">
        <x:is>
          <x:t xml:space="preserve"/>
        </x:is>
      </x:c>
    </x:row>
    <x:row r="182">
      <x:c r="A182" s="17" t="inlineStr">
        <x:is>
          <x:t xml:space="preserve">P015</x:t>
        </x:is>
      </x:c>
      <x:c r="B182" s="17" t="n">
        <x:v>3</x:v>
      </x:c>
      <x:c r="C182" s="17" t="n">
        <x:v>10</x:v>
      </x:c>
      <x:c r="D182" s="17" t="inlineStr">
        <x:is>
          <x:t xml:space="preserve">V08</x:t>
        </x:is>
      </x:c>
      <x:c r="E182" s="17" t="inlineStr">
        <x:is>
          <x:t xml:space="preserve">Coding</x:t>
        </x:is>
      </x:c>
      <x:c r="F182" s="17" t="inlineStr">
        <x:is>
          <x:t xml:space="preserve">BCC</x:t>
        </x:is>
      </x:c>
      <x:c r="G182" s="17" t="inlineStr">
        <x:is>
          <x:t xml:space="preserve">Muted</x:t>
        </x:is>
      </x:c>
      <x:c r="H182" s="17" t="inlineStr">
        <x:is>
          <x:t xml:space="preserve">Use mobile portrait playback</x:t>
        </x:is>
      </x:c>
      <x:c r="I182" s="17" t="inlineStr">
        <x:is>
          <x:t xml:space="preserve"/>
        </x:is>
      </x:c>
    </x:row>
    <x:row r="183">
      <x:c r="A183" s="16" t="inlineStr">
        <x:is>
          <x:t xml:space="preserve">P015</x:t>
        </x:is>
      </x:c>
      <x:c r="B183" s="16" t="n">
        <x:v>3</x:v>
      </x:c>
      <x:c r="C183" s="16" t="n">
        <x:v>11</x:v>
      </x:c>
      <x:c r="D183" s="16" t="inlineStr">
        <x:is>
          <x:t xml:space="preserve">V05</x:t>
        </x:is>
      </x:c>
      <x:c r="E183" s="16" t="inlineStr">
        <x:is>
          <x:t xml:space="preserve">Tutorial</x:t>
        </x:is>
      </x:c>
      <x:c r="F183" s="16" t="inlineStr">
        <x:is>
          <x:t xml:space="preserve">Full transcript</x:t>
        </x:is>
      </x:c>
      <x:c r="G183" s="16" t="inlineStr">
        <x:is>
          <x:t xml:space="preserve">Muted</x:t>
        </x:is>
      </x:c>
      <x:c r="H183" s="16" t="inlineStr">
        <x:is>
          <x:t xml:space="preserve">Use mobile portrait playback</x:t>
        </x:is>
      </x:c>
      <x:c r="I183" s="16" t="inlineStr">
        <x:is>
          <x:t xml:space="preserve"/>
        </x:is>
      </x:c>
    </x:row>
    <x:row r="184">
      <x:c r="A184" s="17" t="inlineStr">
        <x:is>
          <x:t xml:space="preserve">P015</x:t>
        </x:is>
      </x:c>
      <x:c r="B184" s="17" t="n">
        <x:v>3</x:v>
      </x:c>
      <x:c r="C184" s="17" t="n">
        <x:v>12</x:v>
      </x:c>
      <x:c r="D184" s="17" t="inlineStr">
        <x:is>
          <x:t xml:space="preserve">V02</x:t>
        </x:is>
      </x:c>
      <x:c r="E184" s="17" t="inlineStr">
        <x:is>
          <x:t xml:space="preserve">Study</x:t>
        </x:is>
      </x:c>
      <x:c r="F184" s="17" t="inlineStr">
        <x:is>
          <x:t xml:space="preserve">BCC</x:t>
        </x:is>
      </x:c>
      <x:c r="G184" s="17" t="inlineStr">
        <x:is>
          <x:t xml:space="preserve">Muted</x:t>
        </x:is>
      </x:c>
      <x:c r="H184" s="17" t="inlineStr">
        <x:is>
          <x:t xml:space="preserve">Use mobile portrait playback</x:t>
        </x:is>
      </x:c>
      <x:c r="I184" s="17" t="inlineStr">
        <x:is>
          <x:t xml:space="preserve"/>
        </x:is>
      </x:c>
    </x:row>
    <x:row r="185">
      <x:c r="A185" s="16" t="inlineStr">
        <x:is>
          <x:t xml:space="preserve">P016</x:t>
        </x:is>
      </x:c>
      <x:c r="B185" s="16" t="n">
        <x:v>3</x:v>
      </x:c>
      <x:c r="C185" s="16" t="n">
        <x:v>1</x:v>
      </x:c>
      <x:c r="D185" s="16" t="inlineStr">
        <x:is>
          <x:t xml:space="preserve">V04</x:t>
        </x:is>
      </x:c>
      <x:c r="E185" s="16" t="inlineStr">
        <x:is>
          <x:t xml:space="preserve">Finance</x:t>
        </x:is>
      </x:c>
      <x:c r="F185" s="16" t="inlineStr">
        <x:is>
          <x:t xml:space="preserve">Full transcript</x:t>
        </x:is>
      </x:c>
      <x:c r="G185" s="16" t="inlineStr">
        <x:is>
          <x:t xml:space="preserve">Muted</x:t>
        </x:is>
      </x:c>
      <x:c r="H185" s="16" t="inlineStr">
        <x:is>
          <x:t xml:space="preserve">Use mobile portrait playback</x:t>
        </x:is>
      </x:c>
      <x:c r="I185" s="16" t="inlineStr">
        <x:is>
          <x:t xml:space="preserve"/>
        </x:is>
      </x:c>
    </x:row>
    <x:row r="186">
      <x:c r="A186" s="17" t="inlineStr">
        <x:is>
          <x:t xml:space="preserve">P016</x:t>
        </x:is>
      </x:c>
      <x:c r="B186" s="17" t="n">
        <x:v>3</x:v>
      </x:c>
      <x:c r="C186" s="17" t="n">
        <x:v>2</x:v>
      </x:c>
      <x:c r="D186" s="17" t="inlineStr">
        <x:is>
          <x:t xml:space="preserve">V05</x:t>
        </x:is>
      </x:c>
      <x:c r="E186" s="17" t="inlineStr">
        <x:is>
          <x:t xml:space="preserve">Tutorial</x:t>
        </x:is>
      </x:c>
      <x:c r="F186" s="17" t="inlineStr">
        <x:is>
          <x:t xml:space="preserve">Keyword highlight</x:t>
        </x:is>
      </x:c>
      <x:c r="G186" s="17" t="inlineStr">
        <x:is>
          <x:t xml:space="preserve">Muted</x:t>
        </x:is>
      </x:c>
      <x:c r="H186" s="17" t="inlineStr">
        <x:is>
          <x:t xml:space="preserve">Use mobile portrait playback</x:t>
        </x:is>
      </x:c>
      <x:c r="I186" s="17" t="inlineStr">
        <x:is>
          <x:t xml:space="preserve"/>
        </x:is>
      </x:c>
    </x:row>
    <x:row r="187">
      <x:c r="A187" s="16" t="inlineStr">
        <x:is>
          <x:t xml:space="preserve">P016</x:t>
        </x:is>
      </x:c>
      <x:c r="B187" s="16" t="n">
        <x:v>3</x:v>
      </x:c>
      <x:c r="C187" s="16" t="n">
        <x:v>3</x:v>
      </x:c>
      <x:c r="D187" s="16" t="inlineStr">
        <x:is>
          <x:t xml:space="preserve">V02</x:t>
        </x:is>
      </x:c>
      <x:c r="E187" s="16" t="inlineStr">
        <x:is>
          <x:t xml:space="preserve">Study</x:t>
        </x:is>
      </x:c>
      <x:c r="F187" s="16" t="inlineStr">
        <x:is>
          <x:t xml:space="preserve">BCC+</x:t>
        </x:is>
      </x:c>
      <x:c r="G187" s="16" t="inlineStr">
        <x:is>
          <x:t xml:space="preserve">Muted</x:t>
        </x:is>
      </x:c>
      <x:c r="H187" s="16" t="inlineStr">
        <x:is>
          <x:t xml:space="preserve">Use mobile portrait playback</x:t>
        </x:is>
      </x:c>
      <x:c r="I187" s="16" t="inlineStr">
        <x:is>
          <x:t xml:space="preserve"/>
        </x:is>
      </x:c>
    </x:row>
    <x:row r="188">
      <x:c r="A188" s="17" t="inlineStr">
        <x:is>
          <x:t xml:space="preserve">P016</x:t>
        </x:is>
      </x:c>
      <x:c r="B188" s="17" t="n">
        <x:v>3</x:v>
      </x:c>
      <x:c r="C188" s="17" t="n">
        <x:v>4</x:v>
      </x:c>
      <x:c r="D188" s="17" t="inlineStr">
        <x:is>
          <x:t xml:space="preserve">V08</x:t>
        </x:is>
      </x:c>
      <x:c r="E188" s="17" t="inlineStr">
        <x:is>
          <x:t xml:space="preserve">Coding</x:t>
        </x:is>
      </x:c>
      <x:c r="F188" s="17" t="inlineStr">
        <x:is>
          <x:t xml:space="preserve">BCC+</x:t>
        </x:is>
      </x:c>
      <x:c r="G188" s="17" t="inlineStr">
        <x:is>
          <x:t xml:space="preserve">Muted</x:t>
        </x:is>
      </x:c>
      <x:c r="H188" s="17" t="inlineStr">
        <x:is>
          <x:t xml:space="preserve">Use mobile portrait playback</x:t>
        </x:is>
      </x:c>
      <x:c r="I188" s="17" t="inlineStr">
        <x:is>
          <x:t xml:space="preserve"/>
        </x:is>
      </x:c>
    </x:row>
    <x:row r="189">
      <x:c r="A189" s="16" t="inlineStr">
        <x:is>
          <x:t xml:space="preserve">P016</x:t>
        </x:is>
      </x:c>
      <x:c r="B189" s="16" t="n">
        <x:v>3</x:v>
      </x:c>
      <x:c r="C189" s="16" t="n">
        <x:v>5</x:v>
      </x:c>
      <x:c r="D189" s="16" t="inlineStr">
        <x:is>
          <x:t xml:space="preserve">V01</x:t>
        </x:is>
      </x:c>
      <x:c r="E189" s="16" t="inlineStr">
        <x:is>
          <x:t xml:space="preserve">Productivity</x:t>
        </x:is>
      </x:c>
      <x:c r="F189" s="16" t="inlineStr">
        <x:is>
          <x:t xml:space="preserve">BCC</x:t>
        </x:is>
      </x:c>
      <x:c r="G189" s="16" t="inlineStr">
        <x:is>
          <x:t xml:space="preserve">Muted</x:t>
        </x:is>
      </x:c>
      <x:c r="H189" s="16" t="inlineStr">
        <x:is>
          <x:t xml:space="preserve">Use mobile portrait playback</x:t>
        </x:is>
      </x:c>
      <x:c r="I189" s="16" t="inlineStr">
        <x:is>
          <x:t xml:space="preserve"/>
        </x:is>
      </x:c>
    </x:row>
    <x:row r="190">
      <x:c r="A190" s="17" t="inlineStr">
        <x:is>
          <x:t xml:space="preserve">P016</x:t>
        </x:is>
      </x:c>
      <x:c r="B190" s="17" t="n">
        <x:v>3</x:v>
      </x:c>
      <x:c r="C190" s="17" t="n">
        <x:v>6</x:v>
      </x:c>
      <x:c r="D190" s="17" t="inlineStr">
        <x:is>
          <x:t xml:space="preserve">V11</x:t>
        </x:is>
      </x:c>
      <x:c r="E190" s="17" t="inlineStr">
        <x:is>
          <x:t xml:space="preserve">Creator strategy</x:t>
        </x:is>
      </x:c>
      <x:c r="F190" s="17" t="inlineStr">
        <x:is>
          <x:t xml:space="preserve">Keyword highlight</x:t>
        </x:is>
      </x:c>
      <x:c r="G190" s="17" t="inlineStr">
        <x:is>
          <x:t xml:space="preserve">Muted</x:t>
        </x:is>
      </x:c>
      <x:c r="H190" s="17" t="inlineStr">
        <x:is>
          <x:t xml:space="preserve">Use mobile portrait playback</x:t>
        </x:is>
      </x:c>
      <x:c r="I190" s="17" t="inlineStr">
        <x:is>
          <x:t xml:space="preserve"/>
        </x:is>
      </x:c>
    </x:row>
    <x:row r="191">
      <x:c r="A191" s="16" t="inlineStr">
        <x:is>
          <x:t xml:space="preserve">P016</x:t>
        </x:is>
      </x:c>
      <x:c r="B191" s="16" t="n">
        <x:v>3</x:v>
      </x:c>
      <x:c r="C191" s="16" t="n">
        <x:v>7</x:v>
      </x:c>
      <x:c r="D191" s="16" t="inlineStr">
        <x:is>
          <x:t xml:space="preserve">V10</x:t>
        </x:is>
      </x:c>
      <x:c r="E191" s="16" t="inlineStr">
        <x:is>
          <x:t xml:space="preserve">Product demo</x:t>
        </x:is>
      </x:c>
      <x:c r="F191" s="16" t="inlineStr">
        <x:is>
          <x:t xml:space="preserve">Full transcript</x:t>
        </x:is>
      </x:c>
      <x:c r="G191" s="16" t="inlineStr">
        <x:is>
          <x:t xml:space="preserve">Muted</x:t>
        </x:is>
      </x:c>
      <x:c r="H191" s="16" t="inlineStr">
        <x:is>
          <x:t xml:space="preserve">Use mobile portrait playback</x:t>
        </x:is>
      </x:c>
      <x:c r="I191" s="16" t="inlineStr">
        <x:is>
          <x:t xml:space="preserve"/>
        </x:is>
      </x:c>
    </x:row>
    <x:row r="192">
      <x:c r="A192" s="17" t="inlineStr">
        <x:is>
          <x:t xml:space="preserve">P016</x:t>
        </x:is>
      </x:c>
      <x:c r="B192" s="17" t="n">
        <x:v>3</x:v>
      </x:c>
      <x:c r="C192" s="17" t="n">
        <x:v>8</x:v>
      </x:c>
      <x:c r="D192" s="17" t="inlineStr">
        <x:is>
          <x:t xml:space="preserve">V03</x:t>
        </x:is>
      </x:c>
      <x:c r="E192" s="17" t="inlineStr">
        <x:is>
          <x:t xml:space="preserve">Fitness</x:t>
        </x:is>
      </x:c>
      <x:c r="F192" s="17" t="inlineStr">
        <x:is>
          <x:t xml:space="preserve">Heavy bionic</x:t>
        </x:is>
      </x:c>
      <x:c r="G192" s="17" t="inlineStr">
        <x:is>
          <x:t xml:space="preserve">Muted</x:t>
        </x:is>
      </x:c>
      <x:c r="H192" s="17" t="inlineStr">
        <x:is>
          <x:t xml:space="preserve">Use mobile portrait playback</x:t>
        </x:is>
      </x:c>
      <x:c r="I192" s="17" t="inlineStr">
        <x:is>
          <x:t xml:space="preserve"/>
        </x:is>
      </x:c>
    </x:row>
    <x:row r="193">
      <x:c r="A193" s="16" t="inlineStr">
        <x:is>
          <x:t xml:space="preserve">P016</x:t>
        </x:is>
      </x:c>
      <x:c r="B193" s="16" t="n">
        <x:v>3</x:v>
      </x:c>
      <x:c r="C193" s="16" t="n">
        <x:v>9</x:v>
      </x:c>
      <x:c r="D193" s="16" t="inlineStr">
        <x:is>
          <x:t xml:space="preserve">V12</x:t>
        </x:is>
      </x:c>
      <x:c r="E193" s="16" t="inlineStr">
        <x:is>
          <x:t xml:space="preserve">Time management</x:t>
        </x:is>
      </x:c>
      <x:c r="F193" s="16" t="inlineStr">
        <x:is>
          <x:t xml:space="preserve">Semantic compression</x:t>
        </x:is>
      </x:c>
      <x:c r="G193" s="16" t="inlineStr">
        <x:is>
          <x:t xml:space="preserve">Muted</x:t>
        </x:is>
      </x:c>
      <x:c r="H193" s="16" t="inlineStr">
        <x:is>
          <x:t xml:space="preserve">Use mobile portrait playback</x:t>
        </x:is>
      </x:c>
      <x:c r="I193" s="16" t="inlineStr">
        <x:is>
          <x:t xml:space="preserve"/>
        </x:is>
      </x:c>
    </x:row>
    <x:row r="194">
      <x:c r="A194" s="17" t="inlineStr">
        <x:is>
          <x:t xml:space="preserve">P016</x:t>
        </x:is>
      </x:c>
      <x:c r="B194" s="17" t="n">
        <x:v>3</x:v>
      </x:c>
      <x:c r="C194" s="17" t="n">
        <x:v>10</x:v>
      </x:c>
      <x:c r="D194" s="17" t="inlineStr">
        <x:is>
          <x:t xml:space="preserve">V09</x:t>
        </x:is>
      </x:c>
      <x:c r="E194" s="17" t="inlineStr">
        <x:is>
          <x:t xml:space="preserve">Sleep habit</x:t>
        </x:is>
      </x:c>
      <x:c r="F194" s="17" t="inlineStr">
        <x:is>
          <x:t xml:space="preserve">Heavy bionic</x:t>
        </x:is>
      </x:c>
      <x:c r="G194" s="17" t="inlineStr">
        <x:is>
          <x:t xml:space="preserve">Muted</x:t>
        </x:is>
      </x:c>
      <x:c r="H194" s="17" t="inlineStr">
        <x:is>
          <x:t xml:space="preserve">Use mobile portrait playback</x:t>
        </x:is>
      </x:c>
      <x:c r="I194" s="17" t="inlineStr">
        <x:is>
          <x:t xml:space="preserve"/>
        </x:is>
      </x:c>
    </x:row>
    <x:row r="195">
      <x:c r="A195" s="16" t="inlineStr">
        <x:is>
          <x:t xml:space="preserve">P016</x:t>
        </x:is>
      </x:c>
      <x:c r="B195" s="16" t="n">
        <x:v>3</x:v>
      </x:c>
      <x:c r="C195" s="16" t="n">
        <x:v>11</x:v>
      </x:c>
      <x:c r="D195" s="16" t="inlineStr">
        <x:is>
          <x:t xml:space="preserve">V07</x:t>
        </x:is>
      </x:c>
      <x:c r="E195" s="16" t="inlineStr">
        <x:is>
          <x:t xml:space="preserve">Business</x:t>
        </x:is>
      </x:c>
      <x:c r="F195" s="16" t="inlineStr">
        <x:is>
          <x:t xml:space="preserve">BCC</x:t>
        </x:is>
      </x:c>
      <x:c r="G195" s="16" t="inlineStr">
        <x:is>
          <x:t xml:space="preserve">Muted</x:t>
        </x:is>
      </x:c>
      <x:c r="H195" s="16" t="inlineStr">
        <x:is>
          <x:t xml:space="preserve">Use mobile portrait playback</x:t>
        </x:is>
      </x:c>
      <x:c r="I195" s="16" t="inlineStr">
        <x:is>
          <x:t xml:space="preserve"/>
        </x:is>
      </x:c>
    </x:row>
    <x:row r="196">
      <x:c r="A196" s="17" t="inlineStr">
        <x:is>
          <x:t xml:space="preserve">P016</x:t>
        </x:is>
      </x:c>
      <x:c r="B196" s="17" t="n">
        <x:v>3</x:v>
      </x:c>
      <x:c r="C196" s="17" t="n">
        <x:v>12</x:v>
      </x:c>
      <x:c r="D196" s="17" t="inlineStr">
        <x:is>
          <x:t xml:space="preserve">V06</x:t>
        </x:is>
      </x:c>
      <x:c r="E196" s="17" t="inlineStr">
        <x:is>
          <x:t xml:space="preserve">Overload</x:t>
        </x:is>
      </x:c>
      <x:c r="F196" s="17" t="inlineStr">
        <x:is>
          <x:t xml:space="preserve">Semantic compression</x:t>
        </x:is>
      </x:c>
      <x:c r="G196" s="17" t="inlineStr">
        <x:is>
          <x:t xml:space="preserve">Muted</x:t>
        </x:is>
      </x:c>
      <x:c r="H196" s="17" t="inlineStr">
        <x:is>
          <x:t xml:space="preserve">Use mobile portrait playback</x:t>
        </x:is>
      </x:c>
      <x:c r="I196" s="17" t="inlineStr">
        <x:is>
          <x:t xml:space="preserve"/>
        </x:is>
      </x:c>
    </x:row>
    <x:row r="197">
      <x:c r="A197" s="16" t="inlineStr">
        <x:is>
          <x:t xml:space="preserve">P017</x:t>
        </x:is>
      </x:c>
      <x:c r="B197" s="16" t="n">
        <x:v>3</x:v>
      </x:c>
      <x:c r="C197" s="16" t="n">
        <x:v>1</x:v>
      </x:c>
      <x:c r="D197" s="16" t="inlineStr">
        <x:is>
          <x:t xml:space="preserve">V09</x:t>
        </x:is>
      </x:c>
      <x:c r="E197" s="16" t="inlineStr">
        <x:is>
          <x:t xml:space="preserve">Sleep habit</x:t>
        </x:is>
      </x:c>
      <x:c r="F197" s="16" t="inlineStr">
        <x:is>
          <x:t xml:space="preserve">Full transcript</x:t>
        </x:is>
      </x:c>
      <x:c r="G197" s="16" t="inlineStr">
        <x:is>
          <x:t xml:space="preserve">Muted</x:t>
        </x:is>
      </x:c>
      <x:c r="H197" s="16" t="inlineStr">
        <x:is>
          <x:t xml:space="preserve">Use mobile portrait playback</x:t>
        </x:is>
      </x:c>
      <x:c r="I197" s="16" t="inlineStr">
        <x:is>
          <x:t xml:space="preserve"/>
        </x:is>
      </x:c>
    </x:row>
    <x:row r="198">
      <x:c r="A198" s="17" t="inlineStr">
        <x:is>
          <x:t xml:space="preserve">P017</x:t>
        </x:is>
      </x:c>
      <x:c r="B198" s="17" t="n">
        <x:v>3</x:v>
      </x:c>
      <x:c r="C198" s="17" t="n">
        <x:v>2</x:v>
      </x:c>
      <x:c r="D198" s="17" t="inlineStr">
        <x:is>
          <x:t xml:space="preserve">V05</x:t>
        </x:is>
      </x:c>
      <x:c r="E198" s="17" t="inlineStr">
        <x:is>
          <x:t xml:space="preserve">Tutorial</x:t>
        </x:is>
      </x:c>
      <x:c r="F198" s="17" t="inlineStr">
        <x:is>
          <x:t xml:space="preserve">Semantic compression</x:t>
        </x:is>
      </x:c>
      <x:c r="G198" s="17" t="inlineStr">
        <x:is>
          <x:t xml:space="preserve">Muted</x:t>
        </x:is>
      </x:c>
      <x:c r="H198" s="17" t="inlineStr">
        <x:is>
          <x:t xml:space="preserve">Use mobile portrait playback</x:t>
        </x:is>
      </x:c>
      <x:c r="I198" s="17" t="inlineStr">
        <x:is>
          <x:t xml:space="preserve"/>
        </x:is>
      </x:c>
    </x:row>
    <x:row r="199">
      <x:c r="A199" s="16" t="inlineStr">
        <x:is>
          <x:t xml:space="preserve">P017</x:t>
        </x:is>
      </x:c>
      <x:c r="B199" s="16" t="n">
        <x:v>3</x:v>
      </x:c>
      <x:c r="C199" s="16" t="n">
        <x:v>3</x:v>
      </x:c>
      <x:c r="D199" s="16" t="inlineStr">
        <x:is>
          <x:t xml:space="preserve">V12</x:t>
        </x:is>
      </x:c>
      <x:c r="E199" s="16" t="inlineStr">
        <x:is>
          <x:t xml:space="preserve">Time management</x:t>
        </x:is>
      </x:c>
      <x:c r="F199" s="16" t="inlineStr">
        <x:is>
          <x:t xml:space="preserve">BCC</x:t>
        </x:is>
      </x:c>
      <x:c r="G199" s="16" t="inlineStr">
        <x:is>
          <x:t xml:space="preserve">Muted</x:t>
        </x:is>
      </x:c>
      <x:c r="H199" s="16" t="inlineStr">
        <x:is>
          <x:t xml:space="preserve">Use mobile portrait playback</x:t>
        </x:is>
      </x:c>
      <x:c r="I199" s="16" t="inlineStr">
        <x:is>
          <x:t xml:space="preserve"/>
        </x:is>
      </x:c>
    </x:row>
    <x:row r="200">
      <x:c r="A200" s="17" t="inlineStr">
        <x:is>
          <x:t xml:space="preserve">P017</x:t>
        </x:is>
      </x:c>
      <x:c r="B200" s="17" t="n">
        <x:v>3</x:v>
      </x:c>
      <x:c r="C200" s="17" t="n">
        <x:v>4</x:v>
      </x:c>
      <x:c r="D200" s="17" t="inlineStr">
        <x:is>
          <x:t xml:space="preserve">V06</x:t>
        </x:is>
      </x:c>
      <x:c r="E200" s="17" t="inlineStr">
        <x:is>
          <x:t xml:space="preserve">Overload</x:t>
        </x:is>
      </x:c>
      <x:c r="F200" s="17" t="inlineStr">
        <x:is>
          <x:t xml:space="preserve">BCC</x:t>
        </x:is>
      </x:c>
      <x:c r="G200" s="17" t="inlineStr">
        <x:is>
          <x:t xml:space="preserve">Muted</x:t>
        </x:is>
      </x:c>
      <x:c r="H200" s="17" t="inlineStr">
        <x:is>
          <x:t xml:space="preserve">Use mobile portrait playback</x:t>
        </x:is>
      </x:c>
      <x:c r="I200" s="17" t="inlineStr">
        <x:is>
          <x:t xml:space="preserve"/>
        </x:is>
      </x:c>
    </x:row>
    <x:row r="201">
      <x:c r="A201" s="16" t="inlineStr">
        <x:is>
          <x:t xml:space="preserve">P017</x:t>
        </x:is>
      </x:c>
      <x:c r="B201" s="16" t="n">
        <x:v>3</x:v>
      </x:c>
      <x:c r="C201" s="16" t="n">
        <x:v>5</x:v>
      </x:c>
      <x:c r="D201" s="16" t="inlineStr">
        <x:is>
          <x:t xml:space="preserve">V01</x:t>
        </x:is>
      </x:c>
      <x:c r="E201" s="16" t="inlineStr">
        <x:is>
          <x:t xml:space="preserve">Productivity</x:t>
        </x:is>
      </x:c>
      <x:c r="F201" s="16" t="inlineStr">
        <x:is>
          <x:t xml:space="preserve">BCC+</x:t>
        </x:is>
      </x:c>
      <x:c r="G201" s="16" t="inlineStr">
        <x:is>
          <x:t xml:space="preserve">Muted</x:t>
        </x:is>
      </x:c>
      <x:c r="H201" s="16" t="inlineStr">
        <x:is>
          <x:t xml:space="preserve">Use mobile portrait playback</x:t>
        </x:is>
      </x:c>
      <x:c r="I201" s="16" t="inlineStr">
        <x:is>
          <x:t xml:space="preserve"/>
        </x:is>
      </x:c>
    </x:row>
    <x:row r="202">
      <x:c r="A202" s="17" t="inlineStr">
        <x:is>
          <x:t xml:space="preserve">P017</x:t>
        </x:is>
      </x:c>
      <x:c r="B202" s="17" t="n">
        <x:v>3</x:v>
      </x:c>
      <x:c r="C202" s="17" t="n">
        <x:v>6</x:v>
      </x:c>
      <x:c r="D202" s="17" t="inlineStr">
        <x:is>
          <x:t xml:space="preserve">V10</x:t>
        </x:is>
      </x:c>
      <x:c r="E202" s="17" t="inlineStr">
        <x:is>
          <x:t xml:space="preserve">Product demo</x:t>
        </x:is>
      </x:c>
      <x:c r="F202" s="17" t="inlineStr">
        <x:is>
          <x:t xml:space="preserve">Keyword highlight</x:t>
        </x:is>
      </x:c>
      <x:c r="G202" s="17" t="inlineStr">
        <x:is>
          <x:t xml:space="preserve">Muted</x:t>
        </x:is>
      </x:c>
      <x:c r="H202" s="17" t="inlineStr">
        <x:is>
          <x:t xml:space="preserve">Use mobile portrait playback</x:t>
        </x:is>
      </x:c>
      <x:c r="I202" s="17" t="inlineStr">
        <x:is>
          <x:t xml:space="preserve"/>
        </x:is>
      </x:c>
    </x:row>
    <x:row r="203">
      <x:c r="A203" s="16" t="inlineStr">
        <x:is>
          <x:t xml:space="preserve">P017</x:t>
        </x:is>
      </x:c>
      <x:c r="B203" s="16" t="n">
        <x:v>3</x:v>
      </x:c>
      <x:c r="C203" s="16" t="n">
        <x:v>7</x:v>
      </x:c>
      <x:c r="D203" s="16" t="inlineStr">
        <x:is>
          <x:t xml:space="preserve">V03</x:t>
        </x:is>
      </x:c>
      <x:c r="E203" s="16" t="inlineStr">
        <x:is>
          <x:t xml:space="preserve">Fitness</x:t>
        </x:is>
      </x:c>
      <x:c r="F203" s="16" t="inlineStr">
        <x:is>
          <x:t xml:space="preserve">Full transcript</x:t>
        </x:is>
      </x:c>
      <x:c r="G203" s="16" t="inlineStr">
        <x:is>
          <x:t xml:space="preserve">Muted</x:t>
        </x:is>
      </x:c>
      <x:c r="H203" s="16" t="inlineStr">
        <x:is>
          <x:t xml:space="preserve">Use mobile portrait playback</x:t>
        </x:is>
      </x:c>
      <x:c r="I203" s="16" t="inlineStr">
        <x:is>
          <x:t xml:space="preserve"/>
        </x:is>
      </x:c>
    </x:row>
    <x:row r="204">
      <x:c r="A204" s="17" t="inlineStr">
        <x:is>
          <x:t xml:space="preserve">P017</x:t>
        </x:is>
      </x:c>
      <x:c r="B204" s="17" t="n">
        <x:v>3</x:v>
      </x:c>
      <x:c r="C204" s="17" t="n">
        <x:v>8</x:v>
      </x:c>
      <x:c r="D204" s="17" t="inlineStr">
        <x:is>
          <x:t xml:space="preserve">V02</x:t>
        </x:is>
      </x:c>
      <x:c r="E204" s="17" t="inlineStr">
        <x:is>
          <x:t xml:space="preserve">Study</x:t>
        </x:is>
      </x:c>
      <x:c r="F204" s="17" t="inlineStr">
        <x:is>
          <x:t xml:space="preserve">Heavy bionic</x:t>
        </x:is>
      </x:c>
      <x:c r="G204" s="17" t="inlineStr">
        <x:is>
          <x:t xml:space="preserve">Muted</x:t>
        </x:is>
      </x:c>
      <x:c r="H204" s="17" t="inlineStr">
        <x:is>
          <x:t xml:space="preserve">Use mobile portrait playback</x:t>
        </x:is>
      </x:c>
      <x:c r="I204" s="17" t="inlineStr">
        <x:is>
          <x:t xml:space="preserve"/>
        </x:is>
      </x:c>
    </x:row>
    <x:row r="205">
      <x:c r="A205" s="16" t="inlineStr">
        <x:is>
          <x:t xml:space="preserve">P017</x:t>
        </x:is>
      </x:c>
      <x:c r="B205" s="16" t="n">
        <x:v>3</x:v>
      </x:c>
      <x:c r="C205" s="16" t="n">
        <x:v>9</x:v>
      </x:c>
      <x:c r="D205" s="16" t="inlineStr">
        <x:is>
          <x:t xml:space="preserve">V04</x:t>
        </x:is>
      </x:c>
      <x:c r="E205" s="16" t="inlineStr">
        <x:is>
          <x:t xml:space="preserve">Finance</x:t>
        </x:is>
      </x:c>
      <x:c r="F205" s="16" t="inlineStr">
        <x:is>
          <x:t xml:space="preserve">Keyword highlight</x:t>
        </x:is>
      </x:c>
      <x:c r="G205" s="16" t="inlineStr">
        <x:is>
          <x:t xml:space="preserve">Muted</x:t>
        </x:is>
      </x:c>
      <x:c r="H205" s="16" t="inlineStr">
        <x:is>
          <x:t xml:space="preserve">Use mobile portrait playback</x:t>
        </x:is>
      </x:c>
      <x:c r="I205" s="16" t="inlineStr">
        <x:is>
          <x:t xml:space="preserve"/>
        </x:is>
      </x:c>
    </x:row>
    <x:row r="206">
      <x:c r="A206" s="17" t="inlineStr">
        <x:is>
          <x:t xml:space="preserve">P017</x:t>
        </x:is>
      </x:c>
      <x:c r="B206" s="17" t="n">
        <x:v>3</x:v>
      </x:c>
      <x:c r="C206" s="17" t="n">
        <x:v>10</x:v>
      </x:c>
      <x:c r="D206" s="17" t="inlineStr">
        <x:is>
          <x:t xml:space="preserve">V07</x:t>
        </x:is>
      </x:c>
      <x:c r="E206" s="17" t="inlineStr">
        <x:is>
          <x:t xml:space="preserve">Business</x:t>
        </x:is>
      </x:c>
      <x:c r="F206" s="17" t="inlineStr">
        <x:is>
          <x:t xml:space="preserve">BCC+</x:t>
        </x:is>
      </x:c>
      <x:c r="G206" s="17" t="inlineStr">
        <x:is>
          <x:t xml:space="preserve">Muted</x:t>
        </x:is>
      </x:c>
      <x:c r="H206" s="17" t="inlineStr">
        <x:is>
          <x:t xml:space="preserve">Use mobile portrait playback</x:t>
        </x:is>
      </x:c>
      <x:c r="I206" s="17" t="inlineStr">
        <x:is>
          <x:t xml:space="preserve"/>
        </x:is>
      </x:c>
    </x:row>
    <x:row r="207">
      <x:c r="A207" s="16" t="inlineStr">
        <x:is>
          <x:t xml:space="preserve">P017</x:t>
        </x:is>
      </x:c>
      <x:c r="B207" s="16" t="n">
        <x:v>3</x:v>
      </x:c>
      <x:c r="C207" s="16" t="n">
        <x:v>11</x:v>
      </x:c>
      <x:c r="D207" s="16" t="inlineStr">
        <x:is>
          <x:t xml:space="preserve">V11</x:t>
        </x:is>
      </x:c>
      <x:c r="E207" s="16" t="inlineStr">
        <x:is>
          <x:t xml:space="preserve">Creator strategy</x:t>
        </x:is>
      </x:c>
      <x:c r="F207" s="16" t="inlineStr">
        <x:is>
          <x:t xml:space="preserve">Semantic compression</x:t>
        </x:is>
      </x:c>
      <x:c r="G207" s="16" t="inlineStr">
        <x:is>
          <x:t xml:space="preserve">Muted</x:t>
        </x:is>
      </x:c>
      <x:c r="H207" s="16" t="inlineStr">
        <x:is>
          <x:t xml:space="preserve">Use mobile portrait playback</x:t>
        </x:is>
      </x:c>
      <x:c r="I207" s="16" t="inlineStr">
        <x:is>
          <x:t xml:space="preserve"/>
        </x:is>
      </x:c>
    </x:row>
    <x:row r="208">
      <x:c r="A208" s="17" t="inlineStr">
        <x:is>
          <x:t xml:space="preserve">P017</x:t>
        </x:is>
      </x:c>
      <x:c r="B208" s="17" t="n">
        <x:v>3</x:v>
      </x:c>
      <x:c r="C208" s="17" t="n">
        <x:v>12</x:v>
      </x:c>
      <x:c r="D208" s="17" t="inlineStr">
        <x:is>
          <x:t xml:space="preserve">V08</x:t>
        </x:is>
      </x:c>
      <x:c r="E208" s="17" t="inlineStr">
        <x:is>
          <x:t xml:space="preserve">Coding</x:t>
        </x:is>
      </x:c>
      <x:c r="F208" s="17" t="inlineStr">
        <x:is>
          <x:t xml:space="preserve">Heavy bionic</x:t>
        </x:is>
      </x:c>
      <x:c r="G208" s="17" t="inlineStr">
        <x:is>
          <x:t xml:space="preserve">Muted</x:t>
        </x:is>
      </x:c>
      <x:c r="H208" s="17" t="inlineStr">
        <x:is>
          <x:t xml:space="preserve">Use mobile portrait playback</x:t>
        </x:is>
      </x:c>
      <x:c r="I208" s="17" t="inlineStr">
        <x:is>
          <x:t xml:space="preserve"/>
        </x:is>
      </x:c>
    </x:row>
    <x:row r="209">
      <x:c r="A209" s="16" t="inlineStr">
        <x:is>
          <x:t xml:space="preserve">P018</x:t>
        </x:is>
      </x:c>
      <x:c r="B209" s="16" t="n">
        <x:v>3</x:v>
      </x:c>
      <x:c r="C209" s="16" t="n">
        <x:v>1</x:v>
      </x:c>
      <x:c r="D209" s="16" t="inlineStr">
        <x:is>
          <x:t xml:space="preserve">V08</x:t>
        </x:is>
      </x:c>
      <x:c r="E209" s="16" t="inlineStr">
        <x:is>
          <x:t xml:space="preserve">Coding</x:t>
        </x:is>
      </x:c>
      <x:c r="F209" s="16" t="inlineStr">
        <x:is>
          <x:t xml:space="preserve">Full transcript</x:t>
        </x:is>
      </x:c>
      <x:c r="G209" s="16" t="inlineStr">
        <x:is>
          <x:t xml:space="preserve">Muted</x:t>
        </x:is>
      </x:c>
      <x:c r="H209" s="16" t="inlineStr">
        <x:is>
          <x:t xml:space="preserve">Use mobile portrait playback</x:t>
        </x:is>
      </x:c>
      <x:c r="I209" s="16" t="inlineStr">
        <x:is>
          <x:t xml:space="preserve"/>
        </x:is>
      </x:c>
    </x:row>
    <x:row r="210">
      <x:c r="A210" s="17" t="inlineStr">
        <x:is>
          <x:t xml:space="preserve">P018</x:t>
        </x:is>
      </x:c>
      <x:c r="B210" s="17" t="n">
        <x:v>3</x:v>
      </x:c>
      <x:c r="C210" s="17" t="n">
        <x:v>2</x:v>
      </x:c>
      <x:c r="D210" s="17" t="inlineStr">
        <x:is>
          <x:t xml:space="preserve">V01</x:t>
        </x:is>
      </x:c>
      <x:c r="E210" s="17" t="inlineStr">
        <x:is>
          <x:t xml:space="preserve">Productivity</x:t>
        </x:is>
      </x:c>
      <x:c r="F210" s="17" t="inlineStr">
        <x:is>
          <x:t xml:space="preserve">Heavy bionic</x:t>
        </x:is>
      </x:c>
      <x:c r="G210" s="17" t="inlineStr">
        <x:is>
          <x:t xml:space="preserve">Muted</x:t>
        </x:is>
      </x:c>
      <x:c r="H210" s="17" t="inlineStr">
        <x:is>
          <x:t xml:space="preserve">Use mobile portrait playback</x:t>
        </x:is>
      </x:c>
      <x:c r="I210" s="17" t="inlineStr">
        <x:is>
          <x:t xml:space="preserve"/>
        </x:is>
      </x:c>
    </x:row>
    <x:row r="211">
      <x:c r="A211" s="16" t="inlineStr">
        <x:is>
          <x:t xml:space="preserve">P018</x:t>
        </x:is>
      </x:c>
      <x:c r="B211" s="16" t="n">
        <x:v>3</x:v>
      </x:c>
      <x:c r="C211" s="16" t="n">
        <x:v>3</x:v>
      </x:c>
      <x:c r="D211" s="16" t="inlineStr">
        <x:is>
          <x:t xml:space="preserve">V06</x:t>
        </x:is>
      </x:c>
      <x:c r="E211" s="16" t="inlineStr">
        <x:is>
          <x:t xml:space="preserve">Overload</x:t>
        </x:is>
      </x:c>
      <x:c r="F211" s="16" t="inlineStr">
        <x:is>
          <x:t xml:space="preserve">BCC+</x:t>
        </x:is>
      </x:c>
      <x:c r="G211" s="16" t="inlineStr">
        <x:is>
          <x:t xml:space="preserve">Muted</x:t>
        </x:is>
      </x:c>
      <x:c r="H211" s="16" t="inlineStr">
        <x:is>
          <x:t xml:space="preserve">Use mobile portrait playback</x:t>
        </x:is>
      </x:c>
      <x:c r="I211" s="16" t="inlineStr">
        <x:is>
          <x:t xml:space="preserve"/>
        </x:is>
      </x:c>
    </x:row>
    <x:row r="212">
      <x:c r="A212" s="17" t="inlineStr">
        <x:is>
          <x:t xml:space="preserve">P018</x:t>
        </x:is>
      </x:c>
      <x:c r="B212" s="17" t="n">
        <x:v>3</x:v>
      </x:c>
      <x:c r="C212" s="17" t="n">
        <x:v>4</x:v>
      </x:c>
      <x:c r="D212" s="17" t="inlineStr">
        <x:is>
          <x:t xml:space="preserve">V09</x:t>
        </x:is>
      </x:c>
      <x:c r="E212" s="17" t="inlineStr">
        <x:is>
          <x:t xml:space="preserve">Sleep habit</x:t>
        </x:is>
      </x:c>
      <x:c r="F212" s="17" t="inlineStr">
        <x:is>
          <x:t xml:space="preserve">Keyword highlight</x:t>
        </x:is>
      </x:c>
      <x:c r="G212" s="17" t="inlineStr">
        <x:is>
          <x:t xml:space="preserve">Muted</x:t>
        </x:is>
      </x:c>
      <x:c r="H212" s="17" t="inlineStr">
        <x:is>
          <x:t xml:space="preserve">Use mobile portrait playback</x:t>
        </x:is>
      </x:c>
      <x:c r="I212" s="17" t="inlineStr">
        <x:is>
          <x:t xml:space="preserve"/>
        </x:is>
      </x:c>
    </x:row>
    <x:row r="213">
      <x:c r="A213" s="16" t="inlineStr">
        <x:is>
          <x:t xml:space="preserve">P018</x:t>
        </x:is>
      </x:c>
      <x:c r="B213" s="16" t="n">
        <x:v>3</x:v>
      </x:c>
      <x:c r="C213" s="16" t="n">
        <x:v>5</x:v>
      </x:c>
      <x:c r="D213" s="16" t="inlineStr">
        <x:is>
          <x:t xml:space="preserve">V03</x:t>
        </x:is>
      </x:c>
      <x:c r="E213" s="16" t="inlineStr">
        <x:is>
          <x:t xml:space="preserve">Fitness</x:t>
        </x:is>
      </x:c>
      <x:c r="F213" s="16" t="inlineStr">
        <x:is>
          <x:t xml:space="preserve">Keyword highlight</x:t>
        </x:is>
      </x:c>
      <x:c r="G213" s="16" t="inlineStr">
        <x:is>
          <x:t xml:space="preserve">Muted</x:t>
        </x:is>
      </x:c>
      <x:c r="H213" s="16" t="inlineStr">
        <x:is>
          <x:t xml:space="preserve">Use mobile portrait playback</x:t>
        </x:is>
      </x:c>
      <x:c r="I213" s="16" t="inlineStr">
        <x:is>
          <x:t xml:space="preserve"/>
        </x:is>
      </x:c>
    </x:row>
    <x:row r="214">
      <x:c r="A214" s="17" t="inlineStr">
        <x:is>
          <x:t xml:space="preserve">P018</x:t>
        </x:is>
      </x:c>
      <x:c r="B214" s="17" t="n">
        <x:v>3</x:v>
      </x:c>
      <x:c r="C214" s="17" t="n">
        <x:v>6</x:v>
      </x:c>
      <x:c r="D214" s="17" t="inlineStr">
        <x:is>
          <x:t xml:space="preserve">V05</x:t>
        </x:is>
      </x:c>
      <x:c r="E214" s="17" t="inlineStr">
        <x:is>
          <x:t xml:space="preserve">Tutorial</x:t>
        </x:is>
      </x:c>
      <x:c r="F214" s="17" t="inlineStr">
        <x:is>
          <x:t xml:space="preserve">BCC</x:t>
        </x:is>
      </x:c>
      <x:c r="G214" s="17" t="inlineStr">
        <x:is>
          <x:t xml:space="preserve">Muted</x:t>
        </x:is>
      </x:c>
      <x:c r="H214" s="17" t="inlineStr">
        <x:is>
          <x:t xml:space="preserve">Use mobile portrait playback</x:t>
        </x:is>
      </x:c>
      <x:c r="I214" s="17" t="inlineStr">
        <x:is>
          <x:t xml:space="preserve"/>
        </x:is>
      </x:c>
    </x:row>
    <x:row r="215">
      <x:c r="A215" s="16" t="inlineStr">
        <x:is>
          <x:t xml:space="preserve">P018</x:t>
        </x:is>
      </x:c>
      <x:c r="B215" s="16" t="n">
        <x:v>3</x:v>
      </x:c>
      <x:c r="C215" s="16" t="n">
        <x:v>7</x:v>
      </x:c>
      <x:c r="D215" s="16" t="inlineStr">
        <x:is>
          <x:t xml:space="preserve">V10</x:t>
        </x:is>
      </x:c>
      <x:c r="E215" s="16" t="inlineStr">
        <x:is>
          <x:t xml:space="preserve">Product demo</x:t>
        </x:is>
      </x:c>
      <x:c r="F215" s="16" t="inlineStr">
        <x:is>
          <x:t xml:space="preserve">Semantic compression</x:t>
        </x:is>
      </x:c>
      <x:c r="G215" s="16" t="inlineStr">
        <x:is>
          <x:t xml:space="preserve">Muted</x:t>
        </x:is>
      </x:c>
      <x:c r="H215" s="16" t="inlineStr">
        <x:is>
          <x:t xml:space="preserve">Use mobile portrait playback</x:t>
        </x:is>
      </x:c>
      <x:c r="I215" s="16" t="inlineStr">
        <x:is>
          <x:t xml:space="preserve"/>
        </x:is>
      </x:c>
    </x:row>
    <x:row r="216">
      <x:c r="A216" s="17" t="inlineStr">
        <x:is>
          <x:t xml:space="preserve">P018</x:t>
        </x:is>
      </x:c>
      <x:c r="B216" s="17" t="n">
        <x:v>3</x:v>
      </x:c>
      <x:c r="C216" s="17" t="n">
        <x:v>8</x:v>
      </x:c>
      <x:c r="D216" s="17" t="inlineStr">
        <x:is>
          <x:t xml:space="preserve">V04</x:t>
        </x:is>
      </x:c>
      <x:c r="E216" s="17" t="inlineStr">
        <x:is>
          <x:t xml:space="preserve">Finance</x:t>
        </x:is>
      </x:c>
      <x:c r="F216" s="17" t="inlineStr">
        <x:is>
          <x:t xml:space="preserve">Semantic compression</x:t>
        </x:is>
      </x:c>
      <x:c r="G216" s="17" t="inlineStr">
        <x:is>
          <x:t xml:space="preserve">Muted</x:t>
        </x:is>
      </x:c>
      <x:c r="H216" s="17" t="inlineStr">
        <x:is>
          <x:t xml:space="preserve">Use mobile portrait playback</x:t>
        </x:is>
      </x:c>
      <x:c r="I216" s="17" t="inlineStr">
        <x:is>
          <x:t xml:space="preserve"/>
        </x:is>
      </x:c>
    </x:row>
    <x:row r="217">
      <x:c r="A217" s="16" t="inlineStr">
        <x:is>
          <x:t xml:space="preserve">P018</x:t>
        </x:is>
      </x:c>
      <x:c r="B217" s="16" t="n">
        <x:v>3</x:v>
      </x:c>
      <x:c r="C217" s="16" t="n">
        <x:v>9</x:v>
      </x:c>
      <x:c r="D217" s="16" t="inlineStr">
        <x:is>
          <x:t xml:space="preserve">V02</x:t>
        </x:is>
      </x:c>
      <x:c r="E217" s="16" t="inlineStr">
        <x:is>
          <x:t xml:space="preserve">Study</x:t>
        </x:is>
      </x:c>
      <x:c r="F217" s="16" t="inlineStr">
        <x:is>
          <x:t xml:space="preserve">Full transcript</x:t>
        </x:is>
      </x:c>
      <x:c r="G217" s="16" t="inlineStr">
        <x:is>
          <x:t xml:space="preserve">Muted</x:t>
        </x:is>
      </x:c>
      <x:c r="H217" s="16" t="inlineStr">
        <x:is>
          <x:t xml:space="preserve">Use mobile portrait playback</x:t>
        </x:is>
      </x:c>
      <x:c r="I217" s="16" t="inlineStr">
        <x:is>
          <x:t xml:space="preserve"/>
        </x:is>
      </x:c>
    </x:row>
    <x:row r="218">
      <x:c r="A218" s="17" t="inlineStr">
        <x:is>
          <x:t xml:space="preserve">P018</x:t>
        </x:is>
      </x:c>
      <x:c r="B218" s="17" t="n">
        <x:v>3</x:v>
      </x:c>
      <x:c r="C218" s="17" t="n">
        <x:v>10</x:v>
      </x:c>
      <x:c r="D218" s="17" t="inlineStr">
        <x:is>
          <x:t xml:space="preserve">V12</x:t>
        </x:is>
      </x:c>
      <x:c r="E218" s="17" t="inlineStr">
        <x:is>
          <x:t xml:space="preserve">Time management</x:t>
        </x:is>
      </x:c>
      <x:c r="F218" s="17" t="inlineStr">
        <x:is>
          <x:t xml:space="preserve">BCC+</x:t>
        </x:is>
      </x:c>
      <x:c r="G218" s="17" t="inlineStr">
        <x:is>
          <x:t xml:space="preserve">Muted</x:t>
        </x:is>
      </x:c>
      <x:c r="H218" s="17" t="inlineStr">
        <x:is>
          <x:t xml:space="preserve">Use mobile portrait playback</x:t>
        </x:is>
      </x:c>
      <x:c r="I218" s="17" t="inlineStr">
        <x:is>
          <x:t xml:space="preserve"/>
        </x:is>
      </x:c>
    </x:row>
    <x:row r="219">
      <x:c r="A219" s="16" t="inlineStr">
        <x:is>
          <x:t xml:space="preserve">P018</x:t>
        </x:is>
      </x:c>
      <x:c r="B219" s="16" t="n">
        <x:v>3</x:v>
      </x:c>
      <x:c r="C219" s="16" t="n">
        <x:v>11</x:v>
      </x:c>
      <x:c r="D219" s="16" t="inlineStr">
        <x:is>
          <x:t xml:space="preserve">V11</x:t>
        </x:is>
      </x:c>
      <x:c r="E219" s="16" t="inlineStr">
        <x:is>
          <x:t xml:space="preserve">Creator strategy</x:t>
        </x:is>
      </x:c>
      <x:c r="F219" s="16" t="inlineStr">
        <x:is>
          <x:t xml:space="preserve">BCC</x:t>
        </x:is>
      </x:c>
      <x:c r="G219" s="16" t="inlineStr">
        <x:is>
          <x:t xml:space="preserve">Muted</x:t>
        </x:is>
      </x:c>
      <x:c r="H219" s="16" t="inlineStr">
        <x:is>
          <x:t xml:space="preserve">Use mobile portrait playback</x:t>
        </x:is>
      </x:c>
      <x:c r="I219" s="16" t="inlineStr">
        <x:is>
          <x:t xml:space="preserve"/>
        </x:is>
      </x:c>
    </x:row>
    <x:row r="220">
      <x:c r="A220" s="17" t="inlineStr">
        <x:is>
          <x:t xml:space="preserve">P018</x:t>
        </x:is>
      </x:c>
      <x:c r="B220" s="17" t="n">
        <x:v>3</x:v>
      </x:c>
      <x:c r="C220" s="17" t="n">
        <x:v>12</x:v>
      </x:c>
      <x:c r="D220" s="17" t="inlineStr">
        <x:is>
          <x:t xml:space="preserve">V07</x:t>
        </x:is>
      </x:c>
      <x:c r="E220" s="17" t="inlineStr">
        <x:is>
          <x:t xml:space="preserve">Business</x:t>
        </x:is>
      </x:c>
      <x:c r="F220" s="17" t="inlineStr">
        <x:is>
          <x:t xml:space="preserve">Heavy bionic</x:t>
        </x:is>
      </x:c>
      <x:c r="G220" s="17" t="inlineStr">
        <x:is>
          <x:t xml:space="preserve">Muted</x:t>
        </x:is>
      </x:c>
      <x:c r="H220" s="17" t="inlineStr">
        <x:is>
          <x:t xml:space="preserve">Use mobile portrait playback</x:t>
        </x:is>
      </x:c>
      <x:c r="I220" s="17" t="inlineStr">
        <x:is>
          <x:t xml:space="preserve"/>
        </x:is>
      </x:c>
    </x:row>
    <x:row r="221">
      <x:c r="A221" s="16" t="inlineStr">
        <x:is>
          <x:t xml:space="preserve">P019</x:t>
        </x:is>
      </x:c>
      <x:c r="B221" s="16" t="n">
        <x:v>4</x:v>
      </x:c>
      <x:c r="C221" s="16" t="n">
        <x:v>1</x:v>
      </x:c>
      <x:c r="D221" s="16" t="inlineStr">
        <x:is>
          <x:t xml:space="preserve">V12</x:t>
        </x:is>
      </x:c>
      <x:c r="E221" s="16" t="inlineStr">
        <x:is>
          <x:t xml:space="preserve">Time management</x:t>
        </x:is>
      </x:c>
      <x:c r="F221" s="16" t="inlineStr">
        <x:is>
          <x:t xml:space="preserve">Heavy bionic</x:t>
        </x:is>
      </x:c>
      <x:c r="G221" s="16" t="inlineStr">
        <x:is>
          <x:t xml:space="preserve">Audio-on</x:t>
        </x:is>
      </x:c>
      <x:c r="H221" s="16" t="inlineStr">
        <x:is>
          <x:t xml:space="preserve">Use mobile portrait playback</x:t>
        </x:is>
      </x:c>
      <x:c r="I221" s="16" t="inlineStr">
        <x:is>
          <x:t xml:space="preserve"/>
        </x:is>
      </x:c>
    </x:row>
    <x:row r="222">
      <x:c r="A222" s="17" t="inlineStr">
        <x:is>
          <x:t xml:space="preserve">P019</x:t>
        </x:is>
      </x:c>
      <x:c r="B222" s="17" t="n">
        <x:v>4</x:v>
      </x:c>
      <x:c r="C222" s="17" t="n">
        <x:v>2</x:v>
      </x:c>
      <x:c r="D222" s="17" t="inlineStr">
        <x:is>
          <x:t xml:space="preserve">V03</x:t>
        </x:is>
      </x:c>
      <x:c r="E222" s="17" t="inlineStr">
        <x:is>
          <x:t xml:space="preserve">Fitness</x:t>
        </x:is>
      </x:c>
      <x:c r="F222" s="17" t="inlineStr">
        <x:is>
          <x:t xml:space="preserve">Semantic compression</x:t>
        </x:is>
      </x:c>
      <x:c r="G222" s="17" t="inlineStr">
        <x:is>
          <x:t xml:space="preserve">Audio-on</x:t>
        </x:is>
      </x:c>
      <x:c r="H222" s="17" t="inlineStr">
        <x:is>
          <x:t xml:space="preserve">Use mobile portrait playback</x:t>
        </x:is>
      </x:c>
      <x:c r="I222" s="17" t="inlineStr">
        <x:is>
          <x:t xml:space="preserve"/>
        </x:is>
      </x:c>
    </x:row>
    <x:row r="223">
      <x:c r="A223" s="16" t="inlineStr">
        <x:is>
          <x:t xml:space="preserve">P019</x:t>
        </x:is>
      </x:c>
      <x:c r="B223" s="16" t="n">
        <x:v>4</x:v>
      </x:c>
      <x:c r="C223" s="16" t="n">
        <x:v>3</x:v>
      </x:c>
      <x:c r="D223" s="16" t="inlineStr">
        <x:is>
          <x:t xml:space="preserve">V07</x:t>
        </x:is>
      </x:c>
      <x:c r="E223" s="16" t="inlineStr">
        <x:is>
          <x:t xml:space="preserve">Business</x:t>
        </x:is>
      </x:c>
      <x:c r="F223" s="16" t="inlineStr">
        <x:is>
          <x:t xml:space="preserve">Full transcript</x:t>
        </x:is>
      </x:c>
      <x:c r="G223" s="16" t="inlineStr">
        <x:is>
          <x:t xml:space="preserve">Audio-on</x:t>
        </x:is>
      </x:c>
      <x:c r="H223" s="16" t="inlineStr">
        <x:is>
          <x:t xml:space="preserve">Use mobile portrait playback</x:t>
        </x:is>
      </x:c>
      <x:c r="I223" s="16" t="inlineStr">
        <x:is>
          <x:t xml:space="preserve"/>
        </x:is>
      </x:c>
    </x:row>
    <x:row r="224">
      <x:c r="A224" s="17" t="inlineStr">
        <x:is>
          <x:t xml:space="preserve">P019</x:t>
        </x:is>
      </x:c>
      <x:c r="B224" s="17" t="n">
        <x:v>4</x:v>
      </x:c>
      <x:c r="C224" s="17" t="n">
        <x:v>4</x:v>
      </x:c>
      <x:c r="D224" s="17" t="inlineStr">
        <x:is>
          <x:t xml:space="preserve">V09</x:t>
        </x:is>
      </x:c>
      <x:c r="E224" s="17" t="inlineStr">
        <x:is>
          <x:t xml:space="preserve">Sleep habit</x:t>
        </x:is>
      </x:c>
      <x:c r="F224" s="17" t="inlineStr">
        <x:is>
          <x:t xml:space="preserve">Semantic compression</x:t>
        </x:is>
      </x:c>
      <x:c r="G224" s="17" t="inlineStr">
        <x:is>
          <x:t xml:space="preserve">Audio-on</x:t>
        </x:is>
      </x:c>
      <x:c r="H224" s="17" t="inlineStr">
        <x:is>
          <x:t xml:space="preserve">Use mobile portrait playback</x:t>
        </x:is>
      </x:c>
      <x:c r="I224" s="17" t="inlineStr">
        <x:is>
          <x:t xml:space="preserve"/>
        </x:is>
      </x:c>
    </x:row>
    <x:row r="225">
      <x:c r="A225" s="16" t="inlineStr">
        <x:is>
          <x:t xml:space="preserve">P019</x:t>
        </x:is>
      </x:c>
      <x:c r="B225" s="16" t="n">
        <x:v>4</x:v>
      </x:c>
      <x:c r="C225" s="16" t="n">
        <x:v>5</x:v>
      </x:c>
      <x:c r="D225" s="16" t="inlineStr">
        <x:is>
          <x:t xml:space="preserve">V11</x:t>
        </x:is>
      </x:c>
      <x:c r="E225" s="16" t="inlineStr">
        <x:is>
          <x:t xml:space="preserve">Creator strategy</x:t>
        </x:is>
      </x:c>
      <x:c r="F225" s="16" t="inlineStr">
        <x:is>
          <x:t xml:space="preserve">BCC+</x:t>
        </x:is>
      </x:c>
      <x:c r="G225" s="16" t="inlineStr">
        <x:is>
          <x:t xml:space="preserve">Audio-on</x:t>
        </x:is>
      </x:c>
      <x:c r="H225" s="16" t="inlineStr">
        <x:is>
          <x:t xml:space="preserve">Use mobile portrait playback</x:t>
        </x:is>
      </x:c>
      <x:c r="I225" s="16" t="inlineStr">
        <x:is>
          <x:t xml:space="preserve"/>
        </x:is>
      </x:c>
    </x:row>
    <x:row r="226">
      <x:c r="A226" s="17" t="inlineStr">
        <x:is>
          <x:t xml:space="preserve">P019</x:t>
        </x:is>
      </x:c>
      <x:c r="B226" s="17" t="n">
        <x:v>4</x:v>
      </x:c>
      <x:c r="C226" s="17" t="n">
        <x:v>6</x:v>
      </x:c>
      <x:c r="D226" s="17" t="inlineStr">
        <x:is>
          <x:t xml:space="preserve">V05</x:t>
        </x:is>
      </x:c>
      <x:c r="E226" s="17" t="inlineStr">
        <x:is>
          <x:t xml:space="preserve">Tutorial</x:t>
        </x:is>
      </x:c>
      <x:c r="F226" s="17" t="inlineStr">
        <x:is>
          <x:t xml:space="preserve">BCC+</x:t>
        </x:is>
      </x:c>
      <x:c r="G226" s="17" t="inlineStr">
        <x:is>
          <x:t xml:space="preserve">Audio-on</x:t>
        </x:is>
      </x:c>
      <x:c r="H226" s="17" t="inlineStr">
        <x:is>
          <x:t xml:space="preserve">Use mobile portrait playback</x:t>
        </x:is>
      </x:c>
      <x:c r="I226" s="17" t="inlineStr">
        <x:is>
          <x:t xml:space="preserve"/>
        </x:is>
      </x:c>
    </x:row>
    <x:row r="227">
      <x:c r="A227" s="16" t="inlineStr">
        <x:is>
          <x:t xml:space="preserve">P019</x:t>
        </x:is>
      </x:c>
      <x:c r="B227" s="16" t="n">
        <x:v>4</x:v>
      </x:c>
      <x:c r="C227" s="16" t="n">
        <x:v>7</x:v>
      </x:c>
      <x:c r="D227" s="16" t="inlineStr">
        <x:is>
          <x:t xml:space="preserve">V08</x:t>
        </x:is>
      </x:c>
      <x:c r="E227" s="16" t="inlineStr">
        <x:is>
          <x:t xml:space="preserve">Coding</x:t>
        </x:is>
      </x:c>
      <x:c r="F227" s="16" t="inlineStr">
        <x:is>
          <x:t xml:space="preserve">Keyword highlight</x:t>
        </x:is>
      </x:c>
      <x:c r="G227" s="16" t="inlineStr">
        <x:is>
          <x:t xml:space="preserve">Audio-on</x:t>
        </x:is>
      </x:c>
      <x:c r="H227" s="16" t="inlineStr">
        <x:is>
          <x:t xml:space="preserve">Use mobile portrait playback</x:t>
        </x:is>
      </x:c>
      <x:c r="I227" s="16" t="inlineStr">
        <x:is>
          <x:t xml:space="preserve"/>
        </x:is>
      </x:c>
    </x:row>
    <x:row r="228">
      <x:c r="A228" s="17" t="inlineStr">
        <x:is>
          <x:t xml:space="preserve">P019</x:t>
        </x:is>
      </x:c>
      <x:c r="B228" s="17" t="n">
        <x:v>4</x:v>
      </x:c>
      <x:c r="C228" s="17" t="n">
        <x:v>8</x:v>
      </x:c>
      <x:c r="D228" s="17" t="inlineStr">
        <x:is>
          <x:t xml:space="preserve">V10</x:t>
        </x:is>
      </x:c>
      <x:c r="E228" s="17" t="inlineStr">
        <x:is>
          <x:t xml:space="preserve">Product demo</x:t>
        </x:is>
      </x:c>
      <x:c r="F228" s="17" t="inlineStr">
        <x:is>
          <x:t xml:space="preserve">BCC</x:t>
        </x:is>
      </x:c>
      <x:c r="G228" s="17" t="inlineStr">
        <x:is>
          <x:t xml:space="preserve">Audio-on</x:t>
        </x:is>
      </x:c>
      <x:c r="H228" s="17" t="inlineStr">
        <x:is>
          <x:t xml:space="preserve">Use mobile portrait playback</x:t>
        </x:is>
      </x:c>
      <x:c r="I228" s="17" t="inlineStr">
        <x:is>
          <x:t xml:space="preserve"/>
        </x:is>
      </x:c>
    </x:row>
    <x:row r="229">
      <x:c r="A229" s="16" t="inlineStr">
        <x:is>
          <x:t xml:space="preserve">P019</x:t>
        </x:is>
      </x:c>
      <x:c r="B229" s="16" t="n">
        <x:v>4</x:v>
      </x:c>
      <x:c r="C229" s="16" t="n">
        <x:v>9</x:v>
      </x:c>
      <x:c r="D229" s="16" t="inlineStr">
        <x:is>
          <x:t xml:space="preserve">V02</x:t>
        </x:is>
      </x:c>
      <x:c r="E229" s="16" t="inlineStr">
        <x:is>
          <x:t xml:space="preserve">Study</x:t>
        </x:is>
      </x:c>
      <x:c r="F229" s="16" t="inlineStr">
        <x:is>
          <x:t xml:space="preserve">Keyword highlight</x:t>
        </x:is>
      </x:c>
      <x:c r="G229" s="16" t="inlineStr">
        <x:is>
          <x:t xml:space="preserve">Audio-on</x:t>
        </x:is>
      </x:c>
      <x:c r="H229" s="16" t="inlineStr">
        <x:is>
          <x:t xml:space="preserve">Use mobile portrait playback</x:t>
        </x:is>
      </x:c>
      <x:c r="I229" s="16" t="inlineStr">
        <x:is>
          <x:t xml:space="preserve"/>
        </x:is>
      </x:c>
    </x:row>
    <x:row r="230">
      <x:c r="A230" s="17" t="inlineStr">
        <x:is>
          <x:t xml:space="preserve">P019</x:t>
        </x:is>
      </x:c>
      <x:c r="B230" s="17" t="n">
        <x:v>4</x:v>
      </x:c>
      <x:c r="C230" s="17" t="n">
        <x:v>10</x:v>
      </x:c>
      <x:c r="D230" s="17" t="inlineStr">
        <x:is>
          <x:t xml:space="preserve">V04</x:t>
        </x:is>
      </x:c>
      <x:c r="E230" s="17" t="inlineStr">
        <x:is>
          <x:t xml:space="preserve">Finance</x:t>
        </x:is>
      </x:c>
      <x:c r="F230" s="17" t="inlineStr">
        <x:is>
          <x:t xml:space="preserve">BCC</x:t>
        </x:is>
      </x:c>
      <x:c r="G230" s="17" t="inlineStr">
        <x:is>
          <x:t xml:space="preserve">Audio-on</x:t>
        </x:is>
      </x:c>
      <x:c r="H230" s="17" t="inlineStr">
        <x:is>
          <x:t xml:space="preserve">Use mobile portrait playback</x:t>
        </x:is>
      </x:c>
      <x:c r="I230" s="17" t="inlineStr">
        <x:is>
          <x:t xml:space="preserve"/>
        </x:is>
      </x:c>
    </x:row>
    <x:row r="231">
      <x:c r="A231" s="16" t="inlineStr">
        <x:is>
          <x:t xml:space="preserve">P019</x:t>
        </x:is>
      </x:c>
      <x:c r="B231" s="16" t="n">
        <x:v>4</x:v>
      </x:c>
      <x:c r="C231" s="16" t="n">
        <x:v>11</x:v>
      </x:c>
      <x:c r="D231" s="16" t="inlineStr">
        <x:is>
          <x:t xml:space="preserve">V06</x:t>
        </x:is>
      </x:c>
      <x:c r="E231" s="16" t="inlineStr">
        <x:is>
          <x:t xml:space="preserve">Overload</x:t>
        </x:is>
      </x:c>
      <x:c r="F231" s="16" t="inlineStr">
        <x:is>
          <x:t xml:space="preserve">Heavy bionic</x:t>
        </x:is>
      </x:c>
      <x:c r="G231" s="16" t="inlineStr">
        <x:is>
          <x:t xml:space="preserve">Audio-on</x:t>
        </x:is>
      </x:c>
      <x:c r="H231" s="16" t="inlineStr">
        <x:is>
          <x:t xml:space="preserve">Use mobile portrait playback</x:t>
        </x:is>
      </x:c>
      <x:c r="I231" s="16" t="inlineStr">
        <x:is>
          <x:t xml:space="preserve"/>
        </x:is>
      </x:c>
    </x:row>
    <x:row r="232">
      <x:c r="A232" s="17" t="inlineStr">
        <x:is>
          <x:t xml:space="preserve">P019</x:t>
        </x:is>
      </x:c>
      <x:c r="B232" s="17" t="n">
        <x:v>4</x:v>
      </x:c>
      <x:c r="C232" s="17" t="n">
        <x:v>12</x:v>
      </x:c>
      <x:c r="D232" s="17" t="inlineStr">
        <x:is>
          <x:t xml:space="preserve">V01</x:t>
        </x:is>
      </x:c>
      <x:c r="E232" s="17" t="inlineStr">
        <x:is>
          <x:t xml:space="preserve">Productivity</x:t>
        </x:is>
      </x:c>
      <x:c r="F232" s="17" t="inlineStr">
        <x:is>
          <x:t xml:space="preserve">Full transcript</x:t>
        </x:is>
      </x:c>
      <x:c r="G232" s="17" t="inlineStr">
        <x:is>
          <x:t xml:space="preserve">Audio-on</x:t>
        </x:is>
      </x:c>
      <x:c r="H232" s="17" t="inlineStr">
        <x:is>
          <x:t xml:space="preserve">Use mobile portrait playback</x:t>
        </x:is>
      </x:c>
      <x:c r="I232" s="17" t="inlineStr">
        <x:is>
          <x:t xml:space="preserve"/>
        </x:is>
      </x:c>
    </x:row>
    <x:row r="233">
      <x:c r="A233" s="16" t="inlineStr">
        <x:is>
          <x:t xml:space="preserve">P020</x:t>
        </x:is>
      </x:c>
      <x:c r="B233" s="16" t="n">
        <x:v>4</x:v>
      </x:c>
      <x:c r="C233" s="16" t="n">
        <x:v>1</x:v>
      </x:c>
      <x:c r="D233" s="16" t="inlineStr">
        <x:is>
          <x:t xml:space="preserve">V11</x:t>
        </x:is>
      </x:c>
      <x:c r="E233" s="16" t="inlineStr">
        <x:is>
          <x:t xml:space="preserve">Creator strategy</x:t>
        </x:is>
      </x:c>
      <x:c r="F233" s="16" t="inlineStr">
        <x:is>
          <x:t xml:space="preserve">Heavy bionic</x:t>
        </x:is>
      </x:c>
      <x:c r="G233" s="16" t="inlineStr">
        <x:is>
          <x:t xml:space="preserve">Audio-on</x:t>
        </x:is>
      </x:c>
      <x:c r="H233" s="16" t="inlineStr">
        <x:is>
          <x:t xml:space="preserve">Use mobile portrait playback</x:t>
        </x:is>
      </x:c>
      <x:c r="I233" s="16" t="inlineStr">
        <x:is>
          <x:t xml:space="preserve"/>
        </x:is>
      </x:c>
    </x:row>
    <x:row r="234">
      <x:c r="A234" s="17" t="inlineStr">
        <x:is>
          <x:t xml:space="preserve">P020</x:t>
        </x:is>
      </x:c>
      <x:c r="B234" s="17" t="n">
        <x:v>4</x:v>
      </x:c>
      <x:c r="C234" s="17" t="n">
        <x:v>2</x:v>
      </x:c>
      <x:c r="D234" s="17" t="inlineStr">
        <x:is>
          <x:t xml:space="preserve">V04</x:t>
        </x:is>
      </x:c>
      <x:c r="E234" s="17" t="inlineStr">
        <x:is>
          <x:t xml:space="preserve">Finance</x:t>
        </x:is>
      </x:c>
      <x:c r="F234" s="17" t="inlineStr">
        <x:is>
          <x:t xml:space="preserve">BCC+</x:t>
        </x:is>
      </x:c>
      <x:c r="G234" s="17" t="inlineStr">
        <x:is>
          <x:t xml:space="preserve">Audio-on</x:t>
        </x:is>
      </x:c>
      <x:c r="H234" s="17" t="inlineStr">
        <x:is>
          <x:t xml:space="preserve">Use mobile portrait playback</x:t>
        </x:is>
      </x:c>
      <x:c r="I234" s="17" t="inlineStr">
        <x:is>
          <x:t xml:space="preserve"/>
        </x:is>
      </x:c>
    </x:row>
    <x:row r="235">
      <x:c r="A235" s="16" t="inlineStr">
        <x:is>
          <x:t xml:space="preserve">P020</x:t>
        </x:is>
      </x:c>
      <x:c r="B235" s="16" t="n">
        <x:v>4</x:v>
      </x:c>
      <x:c r="C235" s="16" t="n">
        <x:v>3</x:v>
      </x:c>
      <x:c r="D235" s="16" t="inlineStr">
        <x:is>
          <x:t xml:space="preserve">V06</x:t>
        </x:is>
      </x:c>
      <x:c r="E235" s="16" t="inlineStr">
        <x:is>
          <x:t xml:space="preserve">Overload</x:t>
        </x:is>
      </x:c>
      <x:c r="F235" s="16" t="inlineStr">
        <x:is>
          <x:t xml:space="preserve">Full transcript</x:t>
        </x:is>
      </x:c>
      <x:c r="G235" s="16" t="inlineStr">
        <x:is>
          <x:t xml:space="preserve">Audio-on</x:t>
        </x:is>
      </x:c>
      <x:c r="H235" s="16" t="inlineStr">
        <x:is>
          <x:t xml:space="preserve">Use mobile portrait playback</x:t>
        </x:is>
      </x:c>
      <x:c r="I235" s="16" t="inlineStr">
        <x:is>
          <x:t xml:space="preserve"/>
        </x:is>
      </x:c>
    </x:row>
    <x:row r="236">
      <x:c r="A236" s="17" t="inlineStr">
        <x:is>
          <x:t xml:space="preserve">P020</x:t>
        </x:is>
      </x:c>
      <x:c r="B236" s="17" t="n">
        <x:v>4</x:v>
      </x:c>
      <x:c r="C236" s="17" t="n">
        <x:v>4</x:v>
      </x:c>
      <x:c r="D236" s="17" t="inlineStr">
        <x:is>
          <x:t xml:space="preserve">V09</x:t>
        </x:is>
      </x:c>
      <x:c r="E236" s="17" t="inlineStr">
        <x:is>
          <x:t xml:space="preserve">Sleep habit</x:t>
        </x:is>
      </x:c>
      <x:c r="F236" s="17" t="inlineStr">
        <x:is>
          <x:t xml:space="preserve">BCC</x:t>
        </x:is>
      </x:c>
      <x:c r="G236" s="17" t="inlineStr">
        <x:is>
          <x:t xml:space="preserve">Audio-on</x:t>
        </x:is>
      </x:c>
      <x:c r="H236" s="17" t="inlineStr">
        <x:is>
          <x:t xml:space="preserve">Use mobile portrait playback</x:t>
        </x:is>
      </x:c>
      <x:c r="I236" s="17" t="inlineStr">
        <x:is>
          <x:t xml:space="preserve"/>
        </x:is>
      </x:c>
    </x:row>
    <x:row r="237">
      <x:c r="A237" s="16" t="inlineStr">
        <x:is>
          <x:t xml:space="preserve">P020</x:t>
        </x:is>
      </x:c>
      <x:c r="B237" s="16" t="n">
        <x:v>4</x:v>
      </x:c>
      <x:c r="C237" s="16" t="n">
        <x:v>5</x:v>
      </x:c>
      <x:c r="D237" s="16" t="inlineStr">
        <x:is>
          <x:t xml:space="preserve">V05</x:t>
        </x:is>
      </x:c>
      <x:c r="E237" s="16" t="inlineStr">
        <x:is>
          <x:t xml:space="preserve">Tutorial</x:t>
        </x:is>
      </x:c>
      <x:c r="F237" s="16" t="inlineStr">
        <x:is>
          <x:t xml:space="preserve">Heavy bionic</x:t>
        </x:is>
      </x:c>
      <x:c r="G237" s="16" t="inlineStr">
        <x:is>
          <x:t xml:space="preserve">Audio-on</x:t>
        </x:is>
      </x:c>
      <x:c r="H237" s="16" t="inlineStr">
        <x:is>
          <x:t xml:space="preserve">Use mobile portrait playback</x:t>
        </x:is>
      </x:c>
      <x:c r="I237" s="16" t="inlineStr">
        <x:is>
          <x:t xml:space="preserve"/>
        </x:is>
      </x:c>
    </x:row>
    <x:row r="238">
      <x:c r="A238" s="17" t="inlineStr">
        <x:is>
          <x:t xml:space="preserve">P020</x:t>
        </x:is>
      </x:c>
      <x:c r="B238" s="17" t="n">
        <x:v>4</x:v>
      </x:c>
      <x:c r="C238" s="17" t="n">
        <x:v>6</x:v>
      </x:c>
      <x:c r="D238" s="17" t="inlineStr">
        <x:is>
          <x:t xml:space="preserve">V12</x:t>
        </x:is>
      </x:c>
      <x:c r="E238" s="17" t="inlineStr">
        <x:is>
          <x:t xml:space="preserve">Time management</x:t>
        </x:is>
      </x:c>
      <x:c r="F238" s="17" t="inlineStr">
        <x:is>
          <x:t xml:space="preserve">Full transcript</x:t>
        </x:is>
      </x:c>
      <x:c r="G238" s="17" t="inlineStr">
        <x:is>
          <x:t xml:space="preserve">Audio-on</x:t>
        </x:is>
      </x:c>
      <x:c r="H238" s="17" t="inlineStr">
        <x:is>
          <x:t xml:space="preserve">Use mobile portrait playback</x:t>
        </x:is>
      </x:c>
      <x:c r="I238" s="17" t="inlineStr">
        <x:is>
          <x:t xml:space="preserve"/>
        </x:is>
      </x:c>
    </x:row>
    <x:row r="239">
      <x:c r="A239" s="16" t="inlineStr">
        <x:is>
          <x:t xml:space="preserve">P020</x:t>
        </x:is>
      </x:c>
      <x:c r="B239" s="16" t="n">
        <x:v>4</x:v>
      </x:c>
      <x:c r="C239" s="16" t="n">
        <x:v>7</x:v>
      </x:c>
      <x:c r="D239" s="16" t="inlineStr">
        <x:is>
          <x:t xml:space="preserve">V10</x:t>
        </x:is>
      </x:c>
      <x:c r="E239" s="16" t="inlineStr">
        <x:is>
          <x:t xml:space="preserve">Product demo</x:t>
        </x:is>
      </x:c>
      <x:c r="F239" s="16" t="inlineStr">
        <x:is>
          <x:t xml:space="preserve">BCC+</x:t>
        </x:is>
      </x:c>
      <x:c r="G239" s="16" t="inlineStr">
        <x:is>
          <x:t xml:space="preserve">Audio-on</x:t>
        </x:is>
      </x:c>
      <x:c r="H239" s="16" t="inlineStr">
        <x:is>
          <x:t xml:space="preserve">Use mobile portrait playback</x:t>
        </x:is>
      </x:c>
      <x:c r="I239" s="16" t="inlineStr">
        <x:is>
          <x:t xml:space="preserve"/>
        </x:is>
      </x:c>
    </x:row>
    <x:row r="240">
      <x:c r="A240" s="17" t="inlineStr">
        <x:is>
          <x:t xml:space="preserve">P020</x:t>
        </x:is>
      </x:c>
      <x:c r="B240" s="17" t="n">
        <x:v>4</x:v>
      </x:c>
      <x:c r="C240" s="17" t="n">
        <x:v>8</x:v>
      </x:c>
      <x:c r="D240" s="17" t="inlineStr">
        <x:is>
          <x:t xml:space="preserve">V03</x:t>
        </x:is>
      </x:c>
      <x:c r="E240" s="17" t="inlineStr">
        <x:is>
          <x:t xml:space="preserve">Fitness</x:t>
        </x:is>
      </x:c>
      <x:c r="F240" s="17" t="inlineStr">
        <x:is>
          <x:t xml:space="preserve">BCC</x:t>
        </x:is>
      </x:c>
      <x:c r="G240" s="17" t="inlineStr">
        <x:is>
          <x:t xml:space="preserve">Audio-on</x:t>
        </x:is>
      </x:c>
      <x:c r="H240" s="17" t="inlineStr">
        <x:is>
          <x:t xml:space="preserve">Use mobile portrait playback</x:t>
        </x:is>
      </x:c>
      <x:c r="I240" s="17" t="inlineStr">
        <x:is>
          <x:t xml:space="preserve"/>
        </x:is>
      </x:c>
    </x:row>
    <x:row r="241">
      <x:c r="A241" s="16" t="inlineStr">
        <x:is>
          <x:t xml:space="preserve">P020</x:t>
        </x:is>
      </x:c>
      <x:c r="B241" s="16" t="n">
        <x:v>4</x:v>
      </x:c>
      <x:c r="C241" s="16" t="n">
        <x:v>9</x:v>
      </x:c>
      <x:c r="D241" s="16" t="inlineStr">
        <x:is>
          <x:t xml:space="preserve">V07</x:t>
        </x:is>
      </x:c>
      <x:c r="E241" s="16" t="inlineStr">
        <x:is>
          <x:t xml:space="preserve">Business</x:t>
        </x:is>
      </x:c>
      <x:c r="F241" s="16" t="inlineStr">
        <x:is>
          <x:t xml:space="preserve">Keyword highlight</x:t>
        </x:is>
      </x:c>
      <x:c r="G241" s="16" t="inlineStr">
        <x:is>
          <x:t xml:space="preserve">Audio-on</x:t>
        </x:is>
      </x:c>
      <x:c r="H241" s="16" t="inlineStr">
        <x:is>
          <x:t xml:space="preserve">Use mobile portrait playback</x:t>
        </x:is>
      </x:c>
      <x:c r="I241" s="16" t="inlineStr">
        <x:is>
          <x:t xml:space="preserve"/>
        </x:is>
      </x:c>
    </x:row>
    <x:row r="242">
      <x:c r="A242" s="17" t="inlineStr">
        <x:is>
          <x:t xml:space="preserve">P020</x:t>
        </x:is>
      </x:c>
      <x:c r="B242" s="17" t="n">
        <x:v>4</x:v>
      </x:c>
      <x:c r="C242" s="17" t="n">
        <x:v>10</x:v>
      </x:c>
      <x:c r="D242" s="17" t="inlineStr">
        <x:is>
          <x:t xml:space="preserve">V08</x:t>
        </x:is>
      </x:c>
      <x:c r="E242" s="17" t="inlineStr">
        <x:is>
          <x:t xml:space="preserve">Coding</x:t>
        </x:is>
      </x:c>
      <x:c r="F242" s="17" t="inlineStr">
        <x:is>
          <x:t xml:space="preserve">Semantic compression</x:t>
        </x:is>
      </x:c>
      <x:c r="G242" s="17" t="inlineStr">
        <x:is>
          <x:t xml:space="preserve">Audio-on</x:t>
        </x:is>
      </x:c>
      <x:c r="H242" s="17" t="inlineStr">
        <x:is>
          <x:t xml:space="preserve">Use mobile portrait playback</x:t>
        </x:is>
      </x:c>
      <x:c r="I242" s="17" t="inlineStr">
        <x:is>
          <x:t xml:space="preserve"/>
        </x:is>
      </x:c>
    </x:row>
    <x:row r="243">
      <x:c r="A243" s="16" t="inlineStr">
        <x:is>
          <x:t xml:space="preserve">P020</x:t>
        </x:is>
      </x:c>
      <x:c r="B243" s="16" t="n">
        <x:v>4</x:v>
      </x:c>
      <x:c r="C243" s="16" t="n">
        <x:v>11</x:v>
      </x:c>
      <x:c r="D243" s="16" t="inlineStr">
        <x:is>
          <x:t xml:space="preserve">V01</x:t>
        </x:is>
      </x:c>
      <x:c r="E243" s="16" t="inlineStr">
        <x:is>
          <x:t xml:space="preserve">Productivity</x:t>
        </x:is>
      </x:c>
      <x:c r="F243" s="16" t="inlineStr">
        <x:is>
          <x:t xml:space="preserve">Keyword highlight</x:t>
        </x:is>
      </x:c>
      <x:c r="G243" s="16" t="inlineStr">
        <x:is>
          <x:t xml:space="preserve">Audio-on</x:t>
        </x:is>
      </x:c>
      <x:c r="H243" s="16" t="inlineStr">
        <x:is>
          <x:t xml:space="preserve">Use mobile portrait playback</x:t>
        </x:is>
      </x:c>
      <x:c r="I243" s="16" t="inlineStr">
        <x:is>
          <x:t xml:space="preserve"/>
        </x:is>
      </x:c>
    </x:row>
    <x:row r="244">
      <x:c r="A244" s="17" t="inlineStr">
        <x:is>
          <x:t xml:space="preserve">P020</x:t>
        </x:is>
      </x:c>
      <x:c r="B244" s="17" t="n">
        <x:v>4</x:v>
      </x:c>
      <x:c r="C244" s="17" t="n">
        <x:v>12</x:v>
      </x:c>
      <x:c r="D244" s="17" t="inlineStr">
        <x:is>
          <x:t xml:space="preserve">V02</x:t>
        </x:is>
      </x:c>
      <x:c r="E244" s="17" t="inlineStr">
        <x:is>
          <x:t xml:space="preserve">Study</x:t>
        </x:is>
      </x:c>
      <x:c r="F244" s="17" t="inlineStr">
        <x:is>
          <x:t xml:space="preserve">Semantic compression</x:t>
        </x:is>
      </x:c>
      <x:c r="G244" s="17" t="inlineStr">
        <x:is>
          <x:t xml:space="preserve">Audio-on</x:t>
        </x:is>
      </x:c>
      <x:c r="H244" s="17" t="inlineStr">
        <x:is>
          <x:t xml:space="preserve">Use mobile portrait playback</x:t>
        </x:is>
      </x:c>
      <x:c r="I244" s="17" t="inlineStr">
        <x:is>
          <x:t xml:space="preserve"/>
        </x:is>
      </x:c>
    </x:row>
    <x:row r="245">
      <x:c r="A245" s="16" t="inlineStr">
        <x:is>
          <x:t xml:space="preserve">P021</x:t>
        </x:is>
      </x:c>
      <x:c r="B245" s="16" t="n">
        <x:v>4</x:v>
      </x:c>
      <x:c r="C245" s="16" t="n">
        <x:v>1</x:v>
      </x:c>
      <x:c r="D245" s="16" t="inlineStr">
        <x:is>
          <x:t xml:space="preserve">V01</x:t>
        </x:is>
      </x:c>
      <x:c r="E245" s="16" t="inlineStr">
        <x:is>
          <x:t xml:space="preserve">Productivity</x:t>
        </x:is>
      </x:c>
      <x:c r="F245" s="16" t="inlineStr">
        <x:is>
          <x:t xml:space="preserve">Semantic compression</x:t>
        </x:is>
      </x:c>
      <x:c r="G245" s="16" t="inlineStr">
        <x:is>
          <x:t xml:space="preserve">Audio-on</x:t>
        </x:is>
      </x:c>
      <x:c r="H245" s="16" t="inlineStr">
        <x:is>
          <x:t xml:space="preserve">Use mobile portrait playback</x:t>
        </x:is>
      </x:c>
      <x:c r="I245" s="16" t="inlineStr">
        <x:is>
          <x:t xml:space="preserve"/>
        </x:is>
      </x:c>
    </x:row>
    <x:row r="246">
      <x:c r="A246" s="17" t="inlineStr">
        <x:is>
          <x:t xml:space="preserve">P021</x:t>
        </x:is>
      </x:c>
      <x:c r="B246" s="17" t="n">
        <x:v>4</x:v>
      </x:c>
      <x:c r="C246" s="17" t="n">
        <x:v>2</x:v>
      </x:c>
      <x:c r="D246" s="17" t="inlineStr">
        <x:is>
          <x:t xml:space="preserve">V02</x:t>
        </x:is>
      </x:c>
      <x:c r="E246" s="17" t="inlineStr">
        <x:is>
          <x:t xml:space="preserve">Study</x:t>
        </x:is>
      </x:c>
      <x:c r="F246" s="17" t="inlineStr">
        <x:is>
          <x:t xml:space="preserve">BCC</x:t>
        </x:is>
      </x:c>
      <x:c r="G246" s="17" t="inlineStr">
        <x:is>
          <x:t xml:space="preserve">Audio-on</x:t>
        </x:is>
      </x:c>
      <x:c r="H246" s="17" t="inlineStr">
        <x:is>
          <x:t xml:space="preserve">Use mobile portrait playback</x:t>
        </x:is>
      </x:c>
      <x:c r="I246" s="17" t="inlineStr">
        <x:is>
          <x:t xml:space="preserve"/>
        </x:is>
      </x:c>
    </x:row>
    <x:row r="247">
      <x:c r="A247" s="16" t="inlineStr">
        <x:is>
          <x:t xml:space="preserve">P021</x:t>
        </x:is>
      </x:c>
      <x:c r="B247" s="16" t="n">
        <x:v>4</x:v>
      </x:c>
      <x:c r="C247" s="16" t="n">
        <x:v>3</x:v>
      </x:c>
      <x:c r="D247" s="16" t="inlineStr">
        <x:is>
          <x:t xml:space="preserve">V10</x:t>
        </x:is>
      </x:c>
      <x:c r="E247" s="16" t="inlineStr">
        <x:is>
          <x:t xml:space="preserve">Product demo</x:t>
        </x:is>
      </x:c>
      <x:c r="F247" s="16" t="inlineStr">
        <x:is>
          <x:t xml:space="preserve">Heavy bionic</x:t>
        </x:is>
      </x:c>
      <x:c r="G247" s="16" t="inlineStr">
        <x:is>
          <x:t xml:space="preserve">Audio-on</x:t>
        </x:is>
      </x:c>
      <x:c r="H247" s="16" t="inlineStr">
        <x:is>
          <x:t xml:space="preserve">Use mobile portrait playback</x:t>
        </x:is>
      </x:c>
      <x:c r="I247" s="16" t="inlineStr">
        <x:is>
          <x:t xml:space="preserve"/>
        </x:is>
      </x:c>
    </x:row>
    <x:row r="248">
      <x:c r="A248" s="17" t="inlineStr">
        <x:is>
          <x:t xml:space="preserve">P021</x:t>
        </x:is>
      </x:c>
      <x:c r="B248" s="17" t="n">
        <x:v>4</x:v>
      </x:c>
      <x:c r="C248" s="17" t="n">
        <x:v>4</x:v>
      </x:c>
      <x:c r="D248" s="17" t="inlineStr">
        <x:is>
          <x:t xml:space="preserve">V06</x:t>
        </x:is>
      </x:c>
      <x:c r="E248" s="17" t="inlineStr">
        <x:is>
          <x:t xml:space="preserve">Overload</x:t>
        </x:is>
      </x:c>
      <x:c r="F248" s="17" t="inlineStr">
        <x:is>
          <x:t xml:space="preserve">Keyword highlight</x:t>
        </x:is>
      </x:c>
      <x:c r="G248" s="17" t="inlineStr">
        <x:is>
          <x:t xml:space="preserve">Audio-on</x:t>
        </x:is>
      </x:c>
      <x:c r="H248" s="17" t="inlineStr">
        <x:is>
          <x:t xml:space="preserve">Use mobile portrait playback</x:t>
        </x:is>
      </x:c>
      <x:c r="I248" s="17" t="inlineStr">
        <x:is>
          <x:t xml:space="preserve"/>
        </x:is>
      </x:c>
    </x:row>
    <x:row r="249">
      <x:c r="A249" s="16" t="inlineStr">
        <x:is>
          <x:t xml:space="preserve">P021</x:t>
        </x:is>
      </x:c>
      <x:c r="B249" s="16" t="n">
        <x:v>4</x:v>
      </x:c>
      <x:c r="C249" s="16" t="n">
        <x:v>5</x:v>
      </x:c>
      <x:c r="D249" s="16" t="inlineStr">
        <x:is>
          <x:t xml:space="preserve">V07</x:t>
        </x:is>
      </x:c>
      <x:c r="E249" s="16" t="inlineStr">
        <x:is>
          <x:t xml:space="preserve">Business</x:t>
        </x:is>
      </x:c>
      <x:c r="F249" s="16" t="inlineStr">
        <x:is>
          <x:t xml:space="preserve">Semantic compression</x:t>
        </x:is>
      </x:c>
      <x:c r="G249" s="16" t="inlineStr">
        <x:is>
          <x:t xml:space="preserve">Audio-on</x:t>
        </x:is>
      </x:c>
      <x:c r="H249" s="16" t="inlineStr">
        <x:is>
          <x:t xml:space="preserve">Use mobile portrait playback</x:t>
        </x:is>
      </x:c>
      <x:c r="I249" s="16" t="inlineStr">
        <x:is>
          <x:t xml:space="preserve"/>
        </x:is>
      </x:c>
    </x:row>
    <x:row r="250">
      <x:c r="A250" s="17" t="inlineStr">
        <x:is>
          <x:t xml:space="preserve">P021</x:t>
        </x:is>
      </x:c>
      <x:c r="B250" s="17" t="n">
        <x:v>4</x:v>
      </x:c>
      <x:c r="C250" s="17" t="n">
        <x:v>6</x:v>
      </x:c>
      <x:c r="D250" s="17" t="inlineStr">
        <x:is>
          <x:t xml:space="preserve">V11</x:t>
        </x:is>
      </x:c>
      <x:c r="E250" s="17" t="inlineStr">
        <x:is>
          <x:t xml:space="preserve">Creator strategy</x:t>
        </x:is>
      </x:c>
      <x:c r="F250" s="17" t="inlineStr">
        <x:is>
          <x:t xml:space="preserve">Full transcript</x:t>
        </x:is>
      </x:c>
      <x:c r="G250" s="17" t="inlineStr">
        <x:is>
          <x:t xml:space="preserve">Audio-on</x:t>
        </x:is>
      </x:c>
      <x:c r="H250" s="17" t="inlineStr">
        <x:is>
          <x:t xml:space="preserve">Use mobile portrait playback</x:t>
        </x:is>
      </x:c>
      <x:c r="I250" s="17" t="inlineStr">
        <x:is>
          <x:t xml:space="preserve"/>
        </x:is>
      </x:c>
    </x:row>
    <x:row r="251">
      <x:c r="A251" s="16" t="inlineStr">
        <x:is>
          <x:t xml:space="preserve">P021</x:t>
        </x:is>
      </x:c>
      <x:c r="B251" s="16" t="n">
        <x:v>4</x:v>
      </x:c>
      <x:c r="C251" s="16" t="n">
        <x:v>7</x:v>
      </x:c>
      <x:c r="D251" s="16" t="inlineStr">
        <x:is>
          <x:t xml:space="preserve">V08</x:t>
        </x:is>
      </x:c>
      <x:c r="E251" s="16" t="inlineStr">
        <x:is>
          <x:t xml:space="preserve">Coding</x:t>
        </x:is>
      </x:c>
      <x:c r="F251" s="16" t="inlineStr">
        <x:is>
          <x:t xml:space="preserve">BCC</x:t>
        </x:is>
      </x:c>
      <x:c r="G251" s="16" t="inlineStr">
        <x:is>
          <x:t xml:space="preserve">Audio-on</x:t>
        </x:is>
      </x:c>
      <x:c r="H251" s="16" t="inlineStr">
        <x:is>
          <x:t xml:space="preserve">Use mobile portrait playback</x:t>
        </x:is>
      </x:c>
      <x:c r="I251" s="16" t="inlineStr">
        <x:is>
          <x:t xml:space="preserve"/>
        </x:is>
      </x:c>
    </x:row>
    <x:row r="252">
      <x:c r="A252" s="17" t="inlineStr">
        <x:is>
          <x:t xml:space="preserve">P021</x:t>
        </x:is>
      </x:c>
      <x:c r="B252" s="17" t="n">
        <x:v>4</x:v>
      </x:c>
      <x:c r="C252" s="17" t="n">
        <x:v>8</x:v>
      </x:c>
      <x:c r="D252" s="17" t="inlineStr">
        <x:is>
          <x:t xml:space="preserve">V05</x:t>
        </x:is>
      </x:c>
      <x:c r="E252" s="17" t="inlineStr">
        <x:is>
          <x:t xml:space="preserve">Tutorial</x:t>
        </x:is>
      </x:c>
      <x:c r="F252" s="17" t="inlineStr">
        <x:is>
          <x:t xml:space="preserve">Full transcript</x:t>
        </x:is>
      </x:c>
      <x:c r="G252" s="17" t="inlineStr">
        <x:is>
          <x:t xml:space="preserve">Audio-on</x:t>
        </x:is>
      </x:c>
      <x:c r="H252" s="17" t="inlineStr">
        <x:is>
          <x:t xml:space="preserve">Use mobile portrait playback</x:t>
        </x:is>
      </x:c>
      <x:c r="I252" s="17" t="inlineStr">
        <x:is>
          <x:t xml:space="preserve"/>
        </x:is>
      </x:c>
    </x:row>
    <x:row r="253">
      <x:c r="A253" s="16" t="inlineStr">
        <x:is>
          <x:t xml:space="preserve">P021</x:t>
        </x:is>
      </x:c>
      <x:c r="B253" s="16" t="n">
        <x:v>4</x:v>
      </x:c>
      <x:c r="C253" s="16" t="n">
        <x:v>9</x:v>
      </x:c>
      <x:c r="D253" s="16" t="inlineStr">
        <x:is>
          <x:t xml:space="preserve">V04</x:t>
        </x:is>
      </x:c>
      <x:c r="E253" s="16" t="inlineStr">
        <x:is>
          <x:t xml:space="preserve">Finance</x:t>
        </x:is>
      </x:c>
      <x:c r="F253" s="16" t="inlineStr">
        <x:is>
          <x:t xml:space="preserve">Heavy bionic</x:t>
        </x:is>
      </x:c>
      <x:c r="G253" s="16" t="inlineStr">
        <x:is>
          <x:t xml:space="preserve">Audio-on</x:t>
        </x:is>
      </x:c>
      <x:c r="H253" s="16" t="inlineStr">
        <x:is>
          <x:t xml:space="preserve">Use mobile portrait playback</x:t>
        </x:is>
      </x:c>
      <x:c r="I253" s="16" t="inlineStr">
        <x:is>
          <x:t xml:space="preserve"/>
        </x:is>
      </x:c>
    </x:row>
    <x:row r="254">
      <x:c r="A254" s="17" t="inlineStr">
        <x:is>
          <x:t xml:space="preserve">P021</x:t>
        </x:is>
      </x:c>
      <x:c r="B254" s="17" t="n">
        <x:v>4</x:v>
      </x:c>
      <x:c r="C254" s="17" t="n">
        <x:v>10</x:v>
      </x:c>
      <x:c r="D254" s="17" t="inlineStr">
        <x:is>
          <x:t xml:space="preserve">V03</x:t>
        </x:is>
      </x:c>
      <x:c r="E254" s="17" t="inlineStr">
        <x:is>
          <x:t xml:space="preserve">Fitness</x:t>
        </x:is>
      </x:c>
      <x:c r="F254" s="17" t="inlineStr">
        <x:is>
          <x:t xml:space="preserve">BCC+</x:t>
        </x:is>
      </x:c>
      <x:c r="G254" s="17" t="inlineStr">
        <x:is>
          <x:t xml:space="preserve">Audio-on</x:t>
        </x:is>
      </x:c>
      <x:c r="H254" s="17" t="inlineStr">
        <x:is>
          <x:t xml:space="preserve">Use mobile portrait playback</x:t>
        </x:is>
      </x:c>
      <x:c r="I254" s="17" t="inlineStr">
        <x:is>
          <x:t xml:space="preserve"/>
        </x:is>
      </x:c>
    </x:row>
    <x:row r="255">
      <x:c r="A255" s="16" t="inlineStr">
        <x:is>
          <x:t xml:space="preserve">P021</x:t>
        </x:is>
      </x:c>
      <x:c r="B255" s="16" t="n">
        <x:v>4</x:v>
      </x:c>
      <x:c r="C255" s="16" t="n">
        <x:v>11</x:v>
      </x:c>
      <x:c r="D255" s="16" t="inlineStr">
        <x:is>
          <x:t xml:space="preserve">V12</x:t>
        </x:is>
      </x:c>
      <x:c r="E255" s="16" t="inlineStr">
        <x:is>
          <x:t xml:space="preserve">Time management</x:t>
        </x:is>
      </x:c>
      <x:c r="F255" s="16" t="inlineStr">
        <x:is>
          <x:t xml:space="preserve">Keyword highlight</x:t>
        </x:is>
      </x:c>
      <x:c r="G255" s="16" t="inlineStr">
        <x:is>
          <x:t xml:space="preserve">Audio-on</x:t>
        </x:is>
      </x:c>
      <x:c r="H255" s="16" t="inlineStr">
        <x:is>
          <x:t xml:space="preserve">Use mobile portrait playback</x:t>
        </x:is>
      </x:c>
      <x:c r="I255" s="16" t="inlineStr">
        <x:is>
          <x:t xml:space="preserve"/>
        </x:is>
      </x:c>
    </x:row>
    <x:row r="256">
      <x:c r="A256" s="17" t="inlineStr">
        <x:is>
          <x:t xml:space="preserve">P021</x:t>
        </x:is>
      </x:c>
      <x:c r="B256" s="17" t="n">
        <x:v>4</x:v>
      </x:c>
      <x:c r="C256" s="17" t="n">
        <x:v>12</x:v>
      </x:c>
      <x:c r="D256" s="17" t="inlineStr">
        <x:is>
          <x:t xml:space="preserve">V09</x:t>
        </x:is>
      </x:c>
      <x:c r="E256" s="17" t="inlineStr">
        <x:is>
          <x:t xml:space="preserve">Sleep habit</x:t>
        </x:is>
      </x:c>
      <x:c r="F256" s="17" t="inlineStr">
        <x:is>
          <x:t xml:space="preserve">BCC+</x:t>
        </x:is>
      </x:c>
      <x:c r="G256" s="17" t="inlineStr">
        <x:is>
          <x:t xml:space="preserve">Audio-on</x:t>
        </x:is>
      </x:c>
      <x:c r="H256" s="17" t="inlineStr">
        <x:is>
          <x:t xml:space="preserve">Use mobile portrait playback</x:t>
        </x:is>
      </x:c>
      <x:c r="I256" s="17" t="inlineStr">
        <x:is>
          <x:t xml:space="preserve"/>
        </x:is>
      </x:c>
    </x:row>
    <x:row r="257">
      <x:c r="A257" s="16" t="inlineStr">
        <x:is>
          <x:t xml:space="preserve">P022</x:t>
        </x:is>
      </x:c>
      <x:c r="B257" s="16" t="n">
        <x:v>4</x:v>
      </x:c>
      <x:c r="C257" s="16" t="n">
        <x:v>1</x:v>
      </x:c>
      <x:c r="D257" s="16" t="inlineStr">
        <x:is>
          <x:t xml:space="preserve">V09</x:t>
        </x:is>
      </x:c>
      <x:c r="E257" s="16" t="inlineStr">
        <x:is>
          <x:t xml:space="preserve">Sleep habit</x:t>
        </x:is>
      </x:c>
      <x:c r="F257" s="16" t="inlineStr">
        <x:is>
          <x:t xml:space="preserve">Heavy bionic</x:t>
        </x:is>
      </x:c>
      <x:c r="G257" s="16" t="inlineStr">
        <x:is>
          <x:t xml:space="preserve">Audio-on</x:t>
        </x:is>
      </x:c>
      <x:c r="H257" s="16" t="inlineStr">
        <x:is>
          <x:t xml:space="preserve">Use mobile portrait playback</x:t>
        </x:is>
      </x:c>
      <x:c r="I257" s="16" t="inlineStr">
        <x:is>
          <x:t xml:space="preserve"/>
        </x:is>
      </x:c>
    </x:row>
    <x:row r="258">
      <x:c r="A258" s="17" t="inlineStr">
        <x:is>
          <x:t xml:space="preserve">P022</x:t>
        </x:is>
      </x:c>
      <x:c r="B258" s="17" t="n">
        <x:v>4</x:v>
      </x:c>
      <x:c r="C258" s="17" t="n">
        <x:v>2</x:v>
      </x:c>
      <x:c r="D258" s="17" t="inlineStr">
        <x:is>
          <x:t xml:space="preserve">V08</x:t>
        </x:is>
      </x:c>
      <x:c r="E258" s="17" t="inlineStr">
        <x:is>
          <x:t xml:space="preserve">Coding</x:t>
        </x:is>
      </x:c>
      <x:c r="F258" s="17" t="inlineStr">
        <x:is>
          <x:t xml:space="preserve">BCC+</x:t>
        </x:is>
      </x:c>
      <x:c r="G258" s="17" t="inlineStr">
        <x:is>
          <x:t xml:space="preserve">Audio-on</x:t>
        </x:is>
      </x:c>
      <x:c r="H258" s="17" t="inlineStr">
        <x:is>
          <x:t xml:space="preserve">Use mobile portrait playback</x:t>
        </x:is>
      </x:c>
      <x:c r="I258" s="17" t="inlineStr">
        <x:is>
          <x:t xml:space="preserve"/>
        </x:is>
      </x:c>
    </x:row>
    <x:row r="259">
      <x:c r="A259" s="16" t="inlineStr">
        <x:is>
          <x:t xml:space="preserve">P022</x:t>
        </x:is>
      </x:c>
      <x:c r="B259" s="16" t="n">
        <x:v>4</x:v>
      </x:c>
      <x:c r="C259" s="16" t="n">
        <x:v>3</x:v>
      </x:c>
      <x:c r="D259" s="16" t="inlineStr">
        <x:is>
          <x:t xml:space="preserve">V12</x:t>
        </x:is>
      </x:c>
      <x:c r="E259" s="16" t="inlineStr">
        <x:is>
          <x:t xml:space="preserve">Time management</x:t>
        </x:is>
      </x:c>
      <x:c r="F259" s="16" t="inlineStr">
        <x:is>
          <x:t xml:space="preserve">Semantic compression</x:t>
        </x:is>
      </x:c>
      <x:c r="G259" s="16" t="inlineStr">
        <x:is>
          <x:t xml:space="preserve">Audio-on</x:t>
        </x:is>
      </x:c>
      <x:c r="H259" s="16" t="inlineStr">
        <x:is>
          <x:t xml:space="preserve">Use mobile portrait playback</x:t>
        </x:is>
      </x:c>
      <x:c r="I259" s="16" t="inlineStr">
        <x:is>
          <x:t xml:space="preserve"/>
        </x:is>
      </x:c>
    </x:row>
    <x:row r="260">
      <x:c r="A260" s="17" t="inlineStr">
        <x:is>
          <x:t xml:space="preserve">P022</x:t>
        </x:is>
      </x:c>
      <x:c r="B260" s="17" t="n">
        <x:v>4</x:v>
      </x:c>
      <x:c r="C260" s="17" t="n">
        <x:v>4</x:v>
      </x:c>
      <x:c r="D260" s="17" t="inlineStr">
        <x:is>
          <x:t xml:space="preserve">V01</x:t>
        </x:is>
      </x:c>
      <x:c r="E260" s="17" t="inlineStr">
        <x:is>
          <x:t xml:space="preserve">Productivity</x:t>
        </x:is>
      </x:c>
      <x:c r="F260" s="17" t="inlineStr">
        <x:is>
          <x:t xml:space="preserve">BCC</x:t>
        </x:is>
      </x:c>
      <x:c r="G260" s="17" t="inlineStr">
        <x:is>
          <x:t xml:space="preserve">Audio-on</x:t>
        </x:is>
      </x:c>
      <x:c r="H260" s="17" t="inlineStr">
        <x:is>
          <x:t xml:space="preserve">Use mobile portrait playback</x:t>
        </x:is>
      </x:c>
      <x:c r="I260" s="17" t="inlineStr">
        <x:is>
          <x:t xml:space="preserve"/>
        </x:is>
      </x:c>
    </x:row>
    <x:row r="261">
      <x:c r="A261" s="16" t="inlineStr">
        <x:is>
          <x:t xml:space="preserve">P022</x:t>
        </x:is>
      </x:c>
      <x:c r="B261" s="16" t="n">
        <x:v>4</x:v>
      </x:c>
      <x:c r="C261" s="16" t="n">
        <x:v>5</x:v>
      </x:c>
      <x:c r="D261" s="16" t="inlineStr">
        <x:is>
          <x:t xml:space="preserve">V05</x:t>
        </x:is>
      </x:c>
      <x:c r="E261" s="16" t="inlineStr">
        <x:is>
          <x:t xml:space="preserve">Tutorial</x:t>
        </x:is>
      </x:c>
      <x:c r="F261" s="16" t="inlineStr">
        <x:is>
          <x:t xml:space="preserve">Keyword highlight</x:t>
        </x:is>
      </x:c>
      <x:c r="G261" s="16" t="inlineStr">
        <x:is>
          <x:t xml:space="preserve">Audio-on</x:t>
        </x:is>
      </x:c>
      <x:c r="H261" s="16" t="inlineStr">
        <x:is>
          <x:t xml:space="preserve">Use mobile portrait playback</x:t>
        </x:is>
      </x:c>
      <x:c r="I261" s="16" t="inlineStr">
        <x:is>
          <x:t xml:space="preserve"/>
        </x:is>
      </x:c>
    </x:row>
    <x:row r="262">
      <x:c r="A262" s="17" t="inlineStr">
        <x:is>
          <x:t xml:space="preserve">P022</x:t>
        </x:is>
      </x:c>
      <x:c r="B262" s="17" t="n">
        <x:v>4</x:v>
      </x:c>
      <x:c r="C262" s="17" t="n">
        <x:v>6</x:v>
      </x:c>
      <x:c r="D262" s="17" t="inlineStr">
        <x:is>
          <x:t xml:space="preserve">V04</x:t>
        </x:is>
      </x:c>
      <x:c r="E262" s="17" t="inlineStr">
        <x:is>
          <x:t xml:space="preserve">Finance</x:t>
        </x:is>
      </x:c>
      <x:c r="F262" s="17" t="inlineStr">
        <x:is>
          <x:t xml:space="preserve">Full transcript</x:t>
        </x:is>
      </x:c>
      <x:c r="G262" s="17" t="inlineStr">
        <x:is>
          <x:t xml:space="preserve">Audio-on</x:t>
        </x:is>
      </x:c>
      <x:c r="H262" s="17" t="inlineStr">
        <x:is>
          <x:t xml:space="preserve">Use mobile portrait playback</x:t>
        </x:is>
      </x:c>
      <x:c r="I262" s="17" t="inlineStr">
        <x:is>
          <x:t xml:space="preserve"/>
        </x:is>
      </x:c>
    </x:row>
    <x:row r="263">
      <x:c r="A263" s="16" t="inlineStr">
        <x:is>
          <x:t xml:space="preserve">P022</x:t>
        </x:is>
      </x:c>
      <x:c r="B263" s="16" t="n">
        <x:v>4</x:v>
      </x:c>
      <x:c r="C263" s="16" t="n">
        <x:v>7</x:v>
      </x:c>
      <x:c r="D263" s="16" t="inlineStr">
        <x:is>
          <x:t xml:space="preserve">V11</x:t>
        </x:is>
      </x:c>
      <x:c r="E263" s="16" t="inlineStr">
        <x:is>
          <x:t xml:space="preserve">Creator strategy</x:t>
        </x:is>
      </x:c>
      <x:c r="F263" s="16" t="inlineStr">
        <x:is>
          <x:t xml:space="preserve">Keyword highlight</x:t>
        </x:is>
      </x:c>
      <x:c r="G263" s="16" t="inlineStr">
        <x:is>
          <x:t xml:space="preserve">Audio-on</x:t>
        </x:is>
      </x:c>
      <x:c r="H263" s="16" t="inlineStr">
        <x:is>
          <x:t xml:space="preserve">Use mobile portrait playback</x:t>
        </x:is>
      </x:c>
      <x:c r="I263" s="16" t="inlineStr">
        <x:is>
          <x:t xml:space="preserve"/>
        </x:is>
      </x:c>
    </x:row>
    <x:row r="264">
      <x:c r="A264" s="17" t="inlineStr">
        <x:is>
          <x:t xml:space="preserve">P022</x:t>
        </x:is>
      </x:c>
      <x:c r="B264" s="17" t="n">
        <x:v>4</x:v>
      </x:c>
      <x:c r="C264" s="17" t="n">
        <x:v>8</x:v>
      </x:c>
      <x:c r="D264" s="17" t="inlineStr">
        <x:is>
          <x:t xml:space="preserve">V02</x:t>
        </x:is>
      </x:c>
      <x:c r="E264" s="17" t="inlineStr">
        <x:is>
          <x:t xml:space="preserve">Study</x:t>
        </x:is>
      </x:c>
      <x:c r="F264" s="17" t="inlineStr">
        <x:is>
          <x:t xml:space="preserve">BCC+</x:t>
        </x:is>
      </x:c>
      <x:c r="G264" s="17" t="inlineStr">
        <x:is>
          <x:t xml:space="preserve">Audio-on</x:t>
        </x:is>
      </x:c>
      <x:c r="H264" s="17" t="inlineStr">
        <x:is>
          <x:t xml:space="preserve">Use mobile portrait playback</x:t>
        </x:is>
      </x:c>
      <x:c r="I264" s="17" t="inlineStr">
        <x:is>
          <x:t xml:space="preserve"/>
        </x:is>
      </x:c>
    </x:row>
    <x:row r="265">
      <x:c r="A265" s="16" t="inlineStr">
        <x:is>
          <x:t xml:space="preserve">P022</x:t>
        </x:is>
      </x:c>
      <x:c r="B265" s="16" t="n">
        <x:v>4</x:v>
      </x:c>
      <x:c r="C265" s="16" t="n">
        <x:v>9</x:v>
      </x:c>
      <x:c r="D265" s="16" t="inlineStr">
        <x:is>
          <x:t xml:space="preserve">V06</x:t>
        </x:is>
      </x:c>
      <x:c r="E265" s="16" t="inlineStr">
        <x:is>
          <x:t xml:space="preserve">Overload</x:t>
        </x:is>
      </x:c>
      <x:c r="F265" s="16" t="inlineStr">
        <x:is>
          <x:t xml:space="preserve">Semantic compression</x:t>
        </x:is>
      </x:c>
      <x:c r="G265" s="16" t="inlineStr">
        <x:is>
          <x:t xml:space="preserve">Audio-on</x:t>
        </x:is>
      </x:c>
      <x:c r="H265" s="16" t="inlineStr">
        <x:is>
          <x:t xml:space="preserve">Use mobile portrait playback</x:t>
        </x:is>
      </x:c>
      <x:c r="I265" s="16" t="inlineStr">
        <x:is>
          <x:t xml:space="preserve"/>
        </x:is>
      </x:c>
    </x:row>
    <x:row r="266">
      <x:c r="A266" s="17" t="inlineStr">
        <x:is>
          <x:t xml:space="preserve">P022</x:t>
        </x:is>
      </x:c>
      <x:c r="B266" s="17" t="n">
        <x:v>4</x:v>
      </x:c>
      <x:c r="C266" s="17" t="n">
        <x:v>10</x:v>
      </x:c>
      <x:c r="D266" s="17" t="inlineStr">
        <x:is>
          <x:t xml:space="preserve">V10</x:t>
        </x:is>
      </x:c>
      <x:c r="E266" s="17" t="inlineStr">
        <x:is>
          <x:t xml:space="preserve">Product demo</x:t>
        </x:is>
      </x:c>
      <x:c r="F266" s="17" t="inlineStr">
        <x:is>
          <x:t xml:space="preserve">Full transcript</x:t>
        </x:is>
      </x:c>
      <x:c r="G266" s="17" t="inlineStr">
        <x:is>
          <x:t xml:space="preserve">Audio-on</x:t>
        </x:is>
      </x:c>
      <x:c r="H266" s="17" t="inlineStr">
        <x:is>
          <x:t xml:space="preserve">Use mobile portrait playback</x:t>
        </x:is>
      </x:c>
      <x:c r="I266" s="17" t="inlineStr">
        <x:is>
          <x:t xml:space="preserve"/>
        </x:is>
      </x:c>
    </x:row>
    <x:row r="267">
      <x:c r="A267" s="16" t="inlineStr">
        <x:is>
          <x:t xml:space="preserve">P022</x:t>
        </x:is>
      </x:c>
      <x:c r="B267" s="16" t="n">
        <x:v>4</x:v>
      </x:c>
      <x:c r="C267" s="16" t="n">
        <x:v>11</x:v>
      </x:c>
      <x:c r="D267" s="16" t="inlineStr">
        <x:is>
          <x:t xml:space="preserve">V07</x:t>
        </x:is>
      </x:c>
      <x:c r="E267" s="16" t="inlineStr">
        <x:is>
          <x:t xml:space="preserve">Business</x:t>
        </x:is>
      </x:c>
      <x:c r="F267" s="16" t="inlineStr">
        <x:is>
          <x:t xml:space="preserve">BCC</x:t>
        </x:is>
      </x:c>
      <x:c r="G267" s="16" t="inlineStr">
        <x:is>
          <x:t xml:space="preserve">Audio-on</x:t>
        </x:is>
      </x:c>
      <x:c r="H267" s="16" t="inlineStr">
        <x:is>
          <x:t xml:space="preserve">Use mobile portrait playback</x:t>
        </x:is>
      </x:c>
      <x:c r="I267" s="16" t="inlineStr">
        <x:is>
          <x:t xml:space="preserve"/>
        </x:is>
      </x:c>
    </x:row>
    <x:row r="268">
      <x:c r="A268" s="17" t="inlineStr">
        <x:is>
          <x:t xml:space="preserve">P022</x:t>
        </x:is>
      </x:c>
      <x:c r="B268" s="17" t="n">
        <x:v>4</x:v>
      </x:c>
      <x:c r="C268" s="17" t="n">
        <x:v>12</x:v>
      </x:c>
      <x:c r="D268" s="17" t="inlineStr">
        <x:is>
          <x:t xml:space="preserve">V03</x:t>
        </x:is>
      </x:c>
      <x:c r="E268" s="17" t="inlineStr">
        <x:is>
          <x:t xml:space="preserve">Fitness</x:t>
        </x:is>
      </x:c>
      <x:c r="F268" s="17" t="inlineStr">
        <x:is>
          <x:t xml:space="preserve">Heavy bionic</x:t>
        </x:is>
      </x:c>
      <x:c r="G268" s="17" t="inlineStr">
        <x:is>
          <x:t xml:space="preserve">Audio-on</x:t>
        </x:is>
      </x:c>
      <x:c r="H268" s="17" t="inlineStr">
        <x:is>
          <x:t xml:space="preserve">Use mobile portrait playback</x:t>
        </x:is>
      </x:c>
      <x:c r="I268" s="17" t="inlineStr">
        <x:is>
          <x:t xml:space="preserve"/>
        </x:is>
      </x:c>
    </x:row>
    <x:row r="269">
      <x:c r="A269" s="16" t="inlineStr">
        <x:is>
          <x:t xml:space="preserve">P023</x:t>
        </x:is>
      </x:c>
      <x:c r="B269" s="16" t="n">
        <x:v>4</x:v>
      </x:c>
      <x:c r="C269" s="16" t="n">
        <x:v>1</x:v>
      </x:c>
      <x:c r="D269" s="16" t="inlineStr">
        <x:is>
          <x:t xml:space="preserve">V06</x:t>
        </x:is>
      </x:c>
      <x:c r="E269" s="16" t="inlineStr">
        <x:is>
          <x:t xml:space="preserve">Overload</x:t>
        </x:is>
      </x:c>
      <x:c r="F269" s="16" t="inlineStr">
        <x:is>
          <x:t xml:space="preserve">BCC</x:t>
        </x:is>
      </x:c>
      <x:c r="G269" s="16" t="inlineStr">
        <x:is>
          <x:t xml:space="preserve">Audio-on</x:t>
        </x:is>
      </x:c>
      <x:c r="H269" s="16" t="inlineStr">
        <x:is>
          <x:t xml:space="preserve">Use mobile portrait playback</x:t>
        </x:is>
      </x:c>
      <x:c r="I269" s="16" t="inlineStr">
        <x:is>
          <x:t xml:space="preserve"/>
        </x:is>
      </x:c>
    </x:row>
    <x:row r="270">
      <x:c r="A270" s="17" t="inlineStr">
        <x:is>
          <x:t xml:space="preserve">P023</x:t>
        </x:is>
      </x:c>
      <x:c r="B270" s="17" t="n">
        <x:v>4</x:v>
      </x:c>
      <x:c r="C270" s="17" t="n">
        <x:v>2</x:v>
      </x:c>
      <x:c r="D270" s="17" t="inlineStr">
        <x:is>
          <x:t xml:space="preserve">V05</x:t>
        </x:is>
      </x:c>
      <x:c r="E270" s="17" t="inlineStr">
        <x:is>
          <x:t xml:space="preserve">Tutorial</x:t>
        </x:is>
      </x:c>
      <x:c r="F270" s="17" t="inlineStr">
        <x:is>
          <x:t xml:space="preserve">Semantic compression</x:t>
        </x:is>
      </x:c>
      <x:c r="G270" s="17" t="inlineStr">
        <x:is>
          <x:t xml:space="preserve">Audio-on</x:t>
        </x:is>
      </x:c>
      <x:c r="H270" s="17" t="inlineStr">
        <x:is>
          <x:t xml:space="preserve">Use mobile portrait playback</x:t>
        </x:is>
      </x:c>
      <x:c r="I270" s="17" t="inlineStr">
        <x:is>
          <x:t xml:space="preserve"/>
        </x:is>
      </x:c>
    </x:row>
    <x:row r="271">
      <x:c r="A271" s="16" t="inlineStr">
        <x:is>
          <x:t xml:space="preserve">P023</x:t>
        </x:is>
      </x:c>
      <x:c r="B271" s="16" t="n">
        <x:v>4</x:v>
      </x:c>
      <x:c r="C271" s="16" t="n">
        <x:v>3</x:v>
      </x:c>
      <x:c r="D271" s="16" t="inlineStr">
        <x:is>
          <x:t xml:space="preserve">V02</x:t>
        </x:is>
      </x:c>
      <x:c r="E271" s="16" t="inlineStr">
        <x:is>
          <x:t xml:space="preserve">Study</x:t>
        </x:is>
      </x:c>
      <x:c r="F271" s="16" t="inlineStr">
        <x:is>
          <x:t xml:space="preserve">Heavy bionic</x:t>
        </x:is>
      </x:c>
      <x:c r="G271" s="16" t="inlineStr">
        <x:is>
          <x:t xml:space="preserve">Audio-on</x:t>
        </x:is>
      </x:c>
      <x:c r="H271" s="16" t="inlineStr">
        <x:is>
          <x:t xml:space="preserve">Use mobile portrait playback</x:t>
        </x:is>
      </x:c>
      <x:c r="I271" s="16" t="inlineStr">
        <x:is>
          <x:t xml:space="preserve"/>
        </x:is>
      </x:c>
    </x:row>
    <x:row r="272">
      <x:c r="A272" s="17" t="inlineStr">
        <x:is>
          <x:t xml:space="preserve">P023</x:t>
        </x:is>
      </x:c>
      <x:c r="B272" s="17" t="n">
        <x:v>4</x:v>
      </x:c>
      <x:c r="C272" s="17" t="n">
        <x:v>4</x:v>
      </x:c>
      <x:c r="D272" s="17" t="inlineStr">
        <x:is>
          <x:t xml:space="preserve">V10</x:t>
        </x:is>
      </x:c>
      <x:c r="E272" s="17" t="inlineStr">
        <x:is>
          <x:t xml:space="preserve">Product demo</x:t>
        </x:is>
      </x:c>
      <x:c r="F272" s="17" t="inlineStr">
        <x:is>
          <x:t xml:space="preserve">Keyword highlight</x:t>
        </x:is>
      </x:c>
      <x:c r="G272" s="17" t="inlineStr">
        <x:is>
          <x:t xml:space="preserve">Audio-on</x:t>
        </x:is>
      </x:c>
      <x:c r="H272" s="17" t="inlineStr">
        <x:is>
          <x:t xml:space="preserve">Use mobile portrait playback</x:t>
        </x:is>
      </x:c>
      <x:c r="I272" s="17" t="inlineStr">
        <x:is>
          <x:t xml:space="preserve"/>
        </x:is>
      </x:c>
    </x:row>
    <x:row r="273">
      <x:c r="A273" s="16" t="inlineStr">
        <x:is>
          <x:t xml:space="preserve">P023</x:t>
        </x:is>
      </x:c>
      <x:c r="B273" s="16" t="n">
        <x:v>4</x:v>
      </x:c>
      <x:c r="C273" s="16" t="n">
        <x:v>5</x:v>
      </x:c>
      <x:c r="D273" s="16" t="inlineStr">
        <x:is>
          <x:t xml:space="preserve">V04</x:t>
        </x:is>
      </x:c>
      <x:c r="E273" s="16" t="inlineStr">
        <x:is>
          <x:t xml:space="preserve">Finance</x:t>
        </x:is>
      </x:c>
      <x:c r="F273" s="16" t="inlineStr">
        <x:is>
          <x:t xml:space="preserve">Keyword highlight</x:t>
        </x:is>
      </x:c>
      <x:c r="G273" s="16" t="inlineStr">
        <x:is>
          <x:t xml:space="preserve">Audio-on</x:t>
        </x:is>
      </x:c>
      <x:c r="H273" s="16" t="inlineStr">
        <x:is>
          <x:t xml:space="preserve">Use mobile portrait playback</x:t>
        </x:is>
      </x:c>
      <x:c r="I273" s="16" t="inlineStr">
        <x:is>
          <x:t xml:space="preserve"/>
        </x:is>
      </x:c>
    </x:row>
    <x:row r="274">
      <x:c r="A274" s="17" t="inlineStr">
        <x:is>
          <x:t xml:space="preserve">P023</x:t>
        </x:is>
      </x:c>
      <x:c r="B274" s="17" t="n">
        <x:v>4</x:v>
      </x:c>
      <x:c r="C274" s="17" t="n">
        <x:v>6</x:v>
      </x:c>
      <x:c r="D274" s="17" t="inlineStr">
        <x:is>
          <x:t xml:space="preserve">V01</x:t>
        </x:is>
      </x:c>
      <x:c r="E274" s="17" t="inlineStr">
        <x:is>
          <x:t xml:space="preserve">Productivity</x:t>
        </x:is>
      </x:c>
      <x:c r="F274" s="17" t="inlineStr">
        <x:is>
          <x:t xml:space="preserve">BCC+</x:t>
        </x:is>
      </x:c>
      <x:c r="G274" s="17" t="inlineStr">
        <x:is>
          <x:t xml:space="preserve">Audio-on</x:t>
        </x:is>
      </x:c>
      <x:c r="H274" s="17" t="inlineStr">
        <x:is>
          <x:t xml:space="preserve">Use mobile portrait playback</x:t>
        </x:is>
      </x:c>
      <x:c r="I274" s="17" t="inlineStr">
        <x:is>
          <x:t xml:space="preserve"/>
        </x:is>
      </x:c>
    </x:row>
    <x:row r="275">
      <x:c r="A275" s="16" t="inlineStr">
        <x:is>
          <x:t xml:space="preserve">P023</x:t>
        </x:is>
      </x:c>
      <x:c r="B275" s="16" t="n">
        <x:v>4</x:v>
      </x:c>
      <x:c r="C275" s="16" t="n">
        <x:v>7</x:v>
      </x:c>
      <x:c r="D275" s="16" t="inlineStr">
        <x:is>
          <x:t xml:space="preserve">V09</x:t>
        </x:is>
      </x:c>
      <x:c r="E275" s="16" t="inlineStr">
        <x:is>
          <x:t xml:space="preserve">Sleep habit</x:t>
        </x:is>
      </x:c>
      <x:c r="F275" s="16" t="inlineStr">
        <x:is>
          <x:t xml:space="preserve">Full transcript</x:t>
        </x:is>
      </x:c>
      <x:c r="G275" s="16" t="inlineStr">
        <x:is>
          <x:t xml:space="preserve">Audio-on</x:t>
        </x:is>
      </x:c>
      <x:c r="H275" s="16" t="inlineStr">
        <x:is>
          <x:t xml:space="preserve">Use mobile portrait playback</x:t>
        </x:is>
      </x:c>
      <x:c r="I275" s="16" t="inlineStr">
        <x:is>
          <x:t xml:space="preserve"/>
        </x:is>
      </x:c>
    </x:row>
    <x:row r="276">
      <x:c r="A276" s="17" t="inlineStr">
        <x:is>
          <x:t xml:space="preserve">P023</x:t>
        </x:is>
      </x:c>
      <x:c r="B276" s="17" t="n">
        <x:v>4</x:v>
      </x:c>
      <x:c r="C276" s="17" t="n">
        <x:v>8</x:v>
      </x:c>
      <x:c r="D276" s="17" t="inlineStr">
        <x:is>
          <x:t xml:space="preserve">V07</x:t>
        </x:is>
      </x:c>
      <x:c r="E276" s="17" t="inlineStr">
        <x:is>
          <x:t xml:space="preserve">Business</x:t>
        </x:is>
      </x:c>
      <x:c r="F276" s="17" t="inlineStr">
        <x:is>
          <x:t xml:space="preserve">BCC+</x:t>
        </x:is>
      </x:c>
      <x:c r="G276" s="17" t="inlineStr">
        <x:is>
          <x:t xml:space="preserve">Audio-on</x:t>
        </x:is>
      </x:c>
      <x:c r="H276" s="17" t="inlineStr">
        <x:is>
          <x:t xml:space="preserve">Use mobile portrait playback</x:t>
        </x:is>
      </x:c>
      <x:c r="I276" s="17" t="inlineStr">
        <x:is>
          <x:t xml:space="preserve"/>
        </x:is>
      </x:c>
    </x:row>
    <x:row r="277">
      <x:c r="A277" s="16" t="inlineStr">
        <x:is>
          <x:t xml:space="preserve">P023</x:t>
        </x:is>
      </x:c>
      <x:c r="B277" s="16" t="n">
        <x:v>4</x:v>
      </x:c>
      <x:c r="C277" s="16" t="n">
        <x:v>9</x:v>
      </x:c>
      <x:c r="D277" s="16" t="inlineStr">
        <x:is>
          <x:t xml:space="preserve">V03</x:t>
        </x:is>
      </x:c>
      <x:c r="E277" s="16" t="inlineStr">
        <x:is>
          <x:t xml:space="preserve">Fitness</x:t>
        </x:is>
      </x:c>
      <x:c r="F277" s="16" t="inlineStr">
        <x:is>
          <x:t xml:space="preserve">Full transcript</x:t>
        </x:is>
      </x:c>
      <x:c r="G277" s="16" t="inlineStr">
        <x:is>
          <x:t xml:space="preserve">Audio-on</x:t>
        </x:is>
      </x:c>
      <x:c r="H277" s="16" t="inlineStr">
        <x:is>
          <x:t xml:space="preserve">Use mobile portrait playback</x:t>
        </x:is>
      </x:c>
      <x:c r="I277" s="16" t="inlineStr">
        <x:is>
          <x:t xml:space="preserve"/>
        </x:is>
      </x:c>
    </x:row>
    <x:row r="278">
      <x:c r="A278" s="17" t="inlineStr">
        <x:is>
          <x:t xml:space="preserve">P023</x:t>
        </x:is>
      </x:c>
      <x:c r="B278" s="17" t="n">
        <x:v>4</x:v>
      </x:c>
      <x:c r="C278" s="17" t="n">
        <x:v>10</x:v>
      </x:c>
      <x:c r="D278" s="17" t="inlineStr">
        <x:is>
          <x:t xml:space="preserve">V11</x:t>
        </x:is>
      </x:c>
      <x:c r="E278" s="17" t="inlineStr">
        <x:is>
          <x:t xml:space="preserve">Creator strategy</x:t>
        </x:is>
      </x:c>
      <x:c r="F278" s="17" t="inlineStr">
        <x:is>
          <x:t xml:space="preserve">Semantic compression</x:t>
        </x:is>
      </x:c>
      <x:c r="G278" s="17" t="inlineStr">
        <x:is>
          <x:t xml:space="preserve">Audio-on</x:t>
        </x:is>
      </x:c>
      <x:c r="H278" s="17" t="inlineStr">
        <x:is>
          <x:t xml:space="preserve">Use mobile portrait playback</x:t>
        </x:is>
      </x:c>
      <x:c r="I278" s="17" t="inlineStr">
        <x:is>
          <x:t xml:space="preserve"/>
        </x:is>
      </x:c>
    </x:row>
    <x:row r="279">
      <x:c r="A279" s="16" t="inlineStr">
        <x:is>
          <x:t xml:space="preserve">P023</x:t>
        </x:is>
      </x:c>
      <x:c r="B279" s="16" t="n">
        <x:v>4</x:v>
      </x:c>
      <x:c r="C279" s="16" t="n">
        <x:v>11</x:v>
      </x:c>
      <x:c r="D279" s="16" t="inlineStr">
        <x:is>
          <x:t xml:space="preserve">V12</x:t>
        </x:is>
      </x:c>
      <x:c r="E279" s="16" t="inlineStr">
        <x:is>
          <x:t xml:space="preserve">Time management</x:t>
        </x:is>
      </x:c>
      <x:c r="F279" s="16" t="inlineStr">
        <x:is>
          <x:t xml:space="preserve">BCC</x:t>
        </x:is>
      </x:c>
      <x:c r="G279" s="16" t="inlineStr">
        <x:is>
          <x:t xml:space="preserve">Audio-on</x:t>
        </x:is>
      </x:c>
      <x:c r="H279" s="16" t="inlineStr">
        <x:is>
          <x:t xml:space="preserve">Use mobile portrait playback</x:t>
        </x:is>
      </x:c>
      <x:c r="I279" s="16" t="inlineStr">
        <x:is>
          <x:t xml:space="preserve"/>
        </x:is>
      </x:c>
    </x:row>
    <x:row r="280">
      <x:c r="A280" s="17" t="inlineStr">
        <x:is>
          <x:t xml:space="preserve">P023</x:t>
        </x:is>
      </x:c>
      <x:c r="B280" s="17" t="n">
        <x:v>4</x:v>
      </x:c>
      <x:c r="C280" s="17" t="n">
        <x:v>12</x:v>
      </x:c>
      <x:c r="D280" s="17" t="inlineStr">
        <x:is>
          <x:t xml:space="preserve">V08</x:t>
        </x:is>
      </x:c>
      <x:c r="E280" s="17" t="inlineStr">
        <x:is>
          <x:t xml:space="preserve">Coding</x:t>
        </x:is>
      </x:c>
      <x:c r="F280" s="17" t="inlineStr">
        <x:is>
          <x:t xml:space="preserve">Heavy bionic</x:t>
        </x:is>
      </x:c>
      <x:c r="G280" s="17" t="inlineStr">
        <x:is>
          <x:t xml:space="preserve">Audio-on</x:t>
        </x:is>
      </x:c>
      <x:c r="H280" s="17" t="inlineStr">
        <x:is>
          <x:t xml:space="preserve">Use mobile portrait playback</x:t>
        </x:is>
      </x:c>
      <x:c r="I280" s="17" t="inlineStr">
        <x:is>
          <x:t xml:space="preserve"/>
        </x:is>
      </x:c>
    </x:row>
    <x:row r="281">
      <x:c r="A281" s="16" t="inlineStr">
        <x:is>
          <x:t xml:space="preserve">P024</x:t>
        </x:is>
      </x:c>
      <x:c r="B281" s="16" t="n">
        <x:v>4</x:v>
      </x:c>
      <x:c r="C281" s="16" t="n">
        <x:v>1</x:v>
      </x:c>
      <x:c r="D281" s="16" t="inlineStr">
        <x:is>
          <x:t xml:space="preserve">V10</x:t>
        </x:is>
      </x:c>
      <x:c r="E281" s="16" t="inlineStr">
        <x:is>
          <x:t xml:space="preserve">Product demo</x:t>
        </x:is>
      </x:c>
      <x:c r="F281" s="16" t="inlineStr">
        <x:is>
          <x:t xml:space="preserve">Semantic compression</x:t>
        </x:is>
      </x:c>
      <x:c r="G281" s="16" t="inlineStr">
        <x:is>
          <x:t xml:space="preserve">Audio-on</x:t>
        </x:is>
      </x:c>
      <x:c r="H281" s="16" t="inlineStr">
        <x:is>
          <x:t xml:space="preserve">Use mobile portrait playback</x:t>
        </x:is>
      </x:c>
      <x:c r="I281" s="16" t="inlineStr">
        <x:is>
          <x:t xml:space="preserve"/>
        </x:is>
      </x:c>
    </x:row>
    <x:row r="282">
      <x:c r="A282" s="17" t="inlineStr">
        <x:is>
          <x:t xml:space="preserve">P024</x:t>
        </x:is>
      </x:c>
      <x:c r="B282" s="17" t="n">
        <x:v>4</x:v>
      </x:c>
      <x:c r="C282" s="17" t="n">
        <x:v>2</x:v>
      </x:c>
      <x:c r="D282" s="17" t="inlineStr">
        <x:is>
          <x:t xml:space="preserve">V12</x:t>
        </x:is>
      </x:c>
      <x:c r="E282" s="17" t="inlineStr">
        <x:is>
          <x:t xml:space="preserve">Time management</x:t>
        </x:is>
      </x:c>
      <x:c r="F282" s="17" t="inlineStr">
        <x:is>
          <x:t xml:space="preserve">BCC+</x:t>
        </x:is>
      </x:c>
      <x:c r="G282" s="17" t="inlineStr">
        <x:is>
          <x:t xml:space="preserve">Audio-on</x:t>
        </x:is>
      </x:c>
      <x:c r="H282" s="17" t="inlineStr">
        <x:is>
          <x:t xml:space="preserve">Use mobile portrait playback</x:t>
        </x:is>
      </x:c>
      <x:c r="I282" s="17" t="inlineStr">
        <x:is>
          <x:t xml:space="preserve"/>
        </x:is>
      </x:c>
    </x:row>
    <x:row r="283">
      <x:c r="A283" s="16" t="inlineStr">
        <x:is>
          <x:t xml:space="preserve">P024</x:t>
        </x:is>
      </x:c>
      <x:c r="B283" s="16" t="n">
        <x:v>4</x:v>
      </x:c>
      <x:c r="C283" s="16" t="n">
        <x:v>3</x:v>
      </x:c>
      <x:c r="D283" s="16" t="inlineStr">
        <x:is>
          <x:t xml:space="preserve">V11</x:t>
        </x:is>
      </x:c>
      <x:c r="E283" s="16" t="inlineStr">
        <x:is>
          <x:t xml:space="preserve">Creator strategy</x:t>
        </x:is>
      </x:c>
      <x:c r="F283" s="16" t="inlineStr">
        <x:is>
          <x:t xml:space="preserve">BCC</x:t>
        </x:is>
      </x:c>
      <x:c r="G283" s="16" t="inlineStr">
        <x:is>
          <x:t xml:space="preserve">Audio-on</x:t>
        </x:is>
      </x:c>
      <x:c r="H283" s="16" t="inlineStr">
        <x:is>
          <x:t xml:space="preserve">Use mobile portrait playback</x:t>
        </x:is>
      </x:c>
      <x:c r="I283" s="16" t="inlineStr">
        <x:is>
          <x:t xml:space="preserve"/>
        </x:is>
      </x:c>
    </x:row>
    <x:row r="284">
      <x:c r="A284" s="17" t="inlineStr">
        <x:is>
          <x:t xml:space="preserve">P024</x:t>
        </x:is>
      </x:c>
      <x:c r="B284" s="17" t="n">
        <x:v>4</x:v>
      </x:c>
      <x:c r="C284" s="17" t="n">
        <x:v>4</x:v>
      </x:c>
      <x:c r="D284" s="17" t="inlineStr">
        <x:is>
          <x:t xml:space="preserve">V09</x:t>
        </x:is>
      </x:c>
      <x:c r="E284" s="17" t="inlineStr">
        <x:is>
          <x:t xml:space="preserve">Sleep habit</x:t>
        </x:is>
      </x:c>
      <x:c r="F284" s="17" t="inlineStr">
        <x:is>
          <x:t xml:space="preserve">Keyword highlight</x:t>
        </x:is>
      </x:c>
      <x:c r="G284" s="17" t="inlineStr">
        <x:is>
          <x:t xml:space="preserve">Audio-on</x:t>
        </x:is>
      </x:c>
      <x:c r="H284" s="17" t="inlineStr">
        <x:is>
          <x:t xml:space="preserve">Use mobile portrait playback</x:t>
        </x:is>
      </x:c>
      <x:c r="I284" s="17" t="inlineStr">
        <x:is>
          <x:t xml:space="preserve"/>
        </x:is>
      </x:c>
    </x:row>
    <x:row r="285">
      <x:c r="A285" s="16" t="inlineStr">
        <x:is>
          <x:t xml:space="preserve">P024</x:t>
        </x:is>
      </x:c>
      <x:c r="B285" s="16" t="n">
        <x:v>4</x:v>
      </x:c>
      <x:c r="C285" s="16" t="n">
        <x:v>5</x:v>
      </x:c>
      <x:c r="D285" s="16" t="inlineStr">
        <x:is>
          <x:t xml:space="preserve">V03</x:t>
        </x:is>
      </x:c>
      <x:c r="E285" s="16" t="inlineStr">
        <x:is>
          <x:t xml:space="preserve">Fitness</x:t>
        </x:is>
      </x:c>
      <x:c r="F285" s="16" t="inlineStr">
        <x:is>
          <x:t xml:space="preserve">Keyword highlight</x:t>
        </x:is>
      </x:c>
      <x:c r="G285" s="16" t="inlineStr">
        <x:is>
          <x:t xml:space="preserve">Audio-on</x:t>
        </x:is>
      </x:c>
      <x:c r="H285" s="16" t="inlineStr">
        <x:is>
          <x:t xml:space="preserve">Use mobile portrait playback</x:t>
        </x:is>
      </x:c>
      <x:c r="I285" s="16" t="inlineStr">
        <x:is>
          <x:t xml:space="preserve"/>
        </x:is>
      </x:c>
    </x:row>
    <x:row r="286">
      <x:c r="A286" s="17" t="inlineStr">
        <x:is>
          <x:t xml:space="preserve">P024</x:t>
        </x:is>
      </x:c>
      <x:c r="B286" s="17" t="n">
        <x:v>4</x:v>
      </x:c>
      <x:c r="C286" s="17" t="n">
        <x:v>6</x:v>
      </x:c>
      <x:c r="D286" s="17" t="inlineStr">
        <x:is>
          <x:t xml:space="preserve">V05</x:t>
        </x:is>
      </x:c>
      <x:c r="E286" s="17" t="inlineStr">
        <x:is>
          <x:t xml:space="preserve">Tutorial</x:t>
        </x:is>
      </x:c>
      <x:c r="F286" s="17" t="inlineStr">
        <x:is>
          <x:t xml:space="preserve">BCC</x:t>
        </x:is>
      </x:c>
      <x:c r="G286" s="17" t="inlineStr">
        <x:is>
          <x:t xml:space="preserve">Audio-on</x:t>
        </x:is>
      </x:c>
      <x:c r="H286" s="17" t="inlineStr">
        <x:is>
          <x:t xml:space="preserve">Use mobile portrait playback</x:t>
        </x:is>
      </x:c>
      <x:c r="I286" s="17" t="inlineStr">
        <x:is>
          <x:t xml:space="preserve"/>
        </x:is>
      </x:c>
    </x:row>
    <x:row r="287">
      <x:c r="A287" s="16" t="inlineStr">
        <x:is>
          <x:t xml:space="preserve">P024</x:t>
        </x:is>
      </x:c>
      <x:c r="B287" s="16" t="n">
        <x:v>4</x:v>
      </x:c>
      <x:c r="C287" s="16" t="n">
        <x:v>7</x:v>
      </x:c>
      <x:c r="D287" s="16" t="inlineStr">
        <x:is>
          <x:t xml:space="preserve">V04</x:t>
        </x:is>
      </x:c>
      <x:c r="E287" s="16" t="inlineStr">
        <x:is>
          <x:t xml:space="preserve">Finance</x:t>
        </x:is>
      </x:c>
      <x:c r="F287" s="16" t="inlineStr">
        <x:is>
          <x:t xml:space="preserve">Semantic compression</x:t>
        </x:is>
      </x:c>
      <x:c r="G287" s="16" t="inlineStr">
        <x:is>
          <x:t xml:space="preserve">Audio-on</x:t>
        </x:is>
      </x:c>
      <x:c r="H287" s="16" t="inlineStr">
        <x:is>
          <x:t xml:space="preserve">Use mobile portrait playback</x:t>
        </x:is>
      </x:c>
      <x:c r="I287" s="16" t="inlineStr">
        <x:is>
          <x:t xml:space="preserve"/>
        </x:is>
      </x:c>
    </x:row>
    <x:row r="288">
      <x:c r="A288" s="17" t="inlineStr">
        <x:is>
          <x:t xml:space="preserve">P024</x:t>
        </x:is>
      </x:c>
      <x:c r="B288" s="17" t="n">
        <x:v>4</x:v>
      </x:c>
      <x:c r="C288" s="17" t="n">
        <x:v>8</x:v>
      </x:c>
      <x:c r="D288" s="17" t="inlineStr">
        <x:is>
          <x:t xml:space="preserve">V02</x:t>
        </x:is>
      </x:c>
      <x:c r="E288" s="17" t="inlineStr">
        <x:is>
          <x:t xml:space="preserve">Study</x:t>
        </x:is>
      </x:c>
      <x:c r="F288" s="17" t="inlineStr">
        <x:is>
          <x:t xml:space="preserve">Full transcript</x:t>
        </x:is>
      </x:c>
      <x:c r="G288" s="17" t="inlineStr">
        <x:is>
          <x:t xml:space="preserve">Audio-on</x:t>
        </x:is>
      </x:c>
      <x:c r="H288" s="17" t="inlineStr">
        <x:is>
          <x:t xml:space="preserve">Use mobile portrait playback</x:t>
        </x:is>
      </x:c>
      <x:c r="I288" s="17" t="inlineStr">
        <x:is>
          <x:t xml:space="preserve"/>
        </x:is>
      </x:c>
    </x:row>
    <x:row r="289">
      <x:c r="A289" s="16" t="inlineStr">
        <x:is>
          <x:t xml:space="preserve">P024</x:t>
        </x:is>
      </x:c>
      <x:c r="B289" s="16" t="n">
        <x:v>4</x:v>
      </x:c>
      <x:c r="C289" s="16" t="n">
        <x:v>9</x:v>
      </x:c>
      <x:c r="D289" s="16" t="inlineStr">
        <x:is>
          <x:t xml:space="preserve">V06</x:t>
        </x:is>
      </x:c>
      <x:c r="E289" s="16" t="inlineStr">
        <x:is>
          <x:t xml:space="preserve">Overload</x:t>
        </x:is>
      </x:c>
      <x:c r="F289" s="16" t="inlineStr">
        <x:is>
          <x:t xml:space="preserve">BCC+</x:t>
        </x:is>
      </x:c>
      <x:c r="G289" s="16" t="inlineStr">
        <x:is>
          <x:t xml:space="preserve">Audio-on</x:t>
        </x:is>
      </x:c>
      <x:c r="H289" s="16" t="inlineStr">
        <x:is>
          <x:t xml:space="preserve">Use mobile portrait playback</x:t>
        </x:is>
      </x:c>
      <x:c r="I289" s="16" t="inlineStr">
        <x:is>
          <x:t xml:space="preserve"/>
        </x:is>
      </x:c>
    </x:row>
    <x:row r="290">
      <x:c r="A290" s="17" t="inlineStr">
        <x:is>
          <x:t xml:space="preserve">P024</x:t>
        </x:is>
      </x:c>
      <x:c r="B290" s="17" t="n">
        <x:v>4</x:v>
      </x:c>
      <x:c r="C290" s="17" t="n">
        <x:v>10</x:v>
      </x:c>
      <x:c r="D290" s="17" t="inlineStr">
        <x:is>
          <x:t xml:space="preserve">V07</x:t>
        </x:is>
      </x:c>
      <x:c r="E290" s="17" t="inlineStr">
        <x:is>
          <x:t xml:space="preserve">Business</x:t>
        </x:is>
      </x:c>
      <x:c r="F290" s="17" t="inlineStr">
        <x:is>
          <x:t xml:space="preserve">Heavy bionic</x:t>
        </x:is>
      </x:c>
      <x:c r="G290" s="17" t="inlineStr">
        <x:is>
          <x:t xml:space="preserve">Audio-on</x:t>
        </x:is>
      </x:c>
      <x:c r="H290" s="17" t="inlineStr">
        <x:is>
          <x:t xml:space="preserve">Use mobile portrait playback</x:t>
        </x:is>
      </x:c>
      <x:c r="I290" s="17" t="inlineStr">
        <x:is>
          <x:t xml:space="preserve"/>
        </x:is>
      </x:c>
    </x:row>
    <x:row r="291">
      <x:c r="A291" s="16" t="inlineStr">
        <x:is>
          <x:t xml:space="preserve">P024</x:t>
        </x:is>
      </x:c>
      <x:c r="B291" s="16" t="n">
        <x:v>4</x:v>
      </x:c>
      <x:c r="C291" s="16" t="n">
        <x:v>11</x:v>
      </x:c>
      <x:c r="D291" s="16" t="inlineStr">
        <x:is>
          <x:t xml:space="preserve">V08</x:t>
        </x:is>
      </x:c>
      <x:c r="E291" s="16" t="inlineStr">
        <x:is>
          <x:t xml:space="preserve">Coding</x:t>
        </x:is>
      </x:c>
      <x:c r="F291" s="16" t="inlineStr">
        <x:is>
          <x:t xml:space="preserve">Full transcript</x:t>
        </x:is>
      </x:c>
      <x:c r="G291" s="16" t="inlineStr">
        <x:is>
          <x:t xml:space="preserve">Audio-on</x:t>
        </x:is>
      </x:c>
      <x:c r="H291" s="16" t="inlineStr">
        <x:is>
          <x:t xml:space="preserve">Use mobile portrait playback</x:t>
        </x:is>
      </x:c>
      <x:c r="I291" s="16" t="inlineStr">
        <x:is>
          <x:t xml:space="preserve"/>
        </x:is>
      </x:c>
    </x:row>
    <x:row r="292">
      <x:c r="A292" s="17" t="inlineStr">
        <x:is>
          <x:t xml:space="preserve">P024</x:t>
        </x:is>
      </x:c>
      <x:c r="B292" s="17" t="n">
        <x:v>4</x:v>
      </x:c>
      <x:c r="C292" s="17" t="n">
        <x:v>12</x:v>
      </x:c>
      <x:c r="D292" s="17" t="inlineStr">
        <x:is>
          <x:t xml:space="preserve">V01</x:t>
        </x:is>
      </x:c>
      <x:c r="E292" s="17" t="inlineStr">
        <x:is>
          <x:t xml:space="preserve">Productivity</x:t>
        </x:is>
      </x:c>
      <x:c r="F292" s="17" t="inlineStr">
        <x:is>
          <x:t xml:space="preserve">Heavy bionic</x:t>
        </x:is>
      </x:c>
      <x:c r="G292" s="17" t="inlineStr">
        <x:is>
          <x:t xml:space="preserve">Audio-on</x:t>
        </x:is>
      </x:c>
      <x:c r="H292" s="17" t="inlineStr">
        <x:is>
          <x:t xml:space="preserve">Use mobile portrait playback</x:t>
        </x:is>
      </x:c>
      <x:c r="I292" s="17" t="inlineStr">
        <x:is>
          <x:t xml:space="preserve"/>
        </x:is>
      </x:c>
    </x:row>
    <x:row r="293">
      <x:c r="A293" s="16" t="inlineStr">
        <x:is>
          <x:t xml:space="preserve">P025</x:t>
        </x:is>
      </x:c>
      <x:c r="B293" s="16" t="n">
        <x:v>5</x:v>
      </x:c>
      <x:c r="C293" s="16" t="n">
        <x:v>1</x:v>
      </x:c>
      <x:c r="D293" s="16" t="inlineStr">
        <x:is>
          <x:t xml:space="preserve">V10</x:t>
        </x:is>
      </x:c>
      <x:c r="E293" s="16" t="inlineStr">
        <x:is>
          <x:t xml:space="preserve">Product demo</x:t>
        </x:is>
      </x:c>
      <x:c r="F293" s="16" t="inlineStr">
        <x:is>
          <x:t xml:space="preserve">BCC</x:t>
        </x:is>
      </x:c>
      <x:c r="G293" s="16" t="inlineStr">
        <x:is>
          <x:t xml:space="preserve">Muted</x:t>
        </x:is>
      </x:c>
      <x:c r="H293" s="16" t="inlineStr">
        <x:is>
          <x:t xml:space="preserve">Use mobile portrait playback</x:t>
        </x:is>
      </x:c>
      <x:c r="I293" s="16" t="inlineStr">
        <x:is>
          <x:t xml:space="preserve"/>
        </x:is>
      </x:c>
    </x:row>
    <x:row r="294">
      <x:c r="A294" s="17" t="inlineStr">
        <x:is>
          <x:t xml:space="preserve">P025</x:t>
        </x:is>
      </x:c>
      <x:c r="B294" s="17" t="n">
        <x:v>5</x:v>
      </x:c>
      <x:c r="C294" s="17" t="n">
        <x:v>2</x:v>
      </x:c>
      <x:c r="D294" s="17" t="inlineStr">
        <x:is>
          <x:t xml:space="preserve">V05</x:t>
        </x:is>
      </x:c>
      <x:c r="E294" s="17" t="inlineStr">
        <x:is>
          <x:t xml:space="preserve">Tutorial</x:t>
        </x:is>
      </x:c>
      <x:c r="F294" s="17" t="inlineStr">
        <x:is>
          <x:t xml:space="preserve">BCC+</x:t>
        </x:is>
      </x:c>
      <x:c r="G294" s="17" t="inlineStr">
        <x:is>
          <x:t xml:space="preserve">Muted</x:t>
        </x:is>
      </x:c>
      <x:c r="H294" s="17" t="inlineStr">
        <x:is>
          <x:t xml:space="preserve">Use mobile portrait playback</x:t>
        </x:is>
      </x:c>
      <x:c r="I294" s="17" t="inlineStr">
        <x:is>
          <x:t xml:space="preserve"/>
        </x:is>
      </x:c>
    </x:row>
    <x:row r="295">
      <x:c r="A295" s="16" t="inlineStr">
        <x:is>
          <x:t xml:space="preserve">P025</x:t>
        </x:is>
      </x:c>
      <x:c r="B295" s="16" t="n">
        <x:v>5</x:v>
      </x:c>
      <x:c r="C295" s="16" t="n">
        <x:v>3</x:v>
      </x:c>
      <x:c r="D295" s="16" t="inlineStr">
        <x:is>
          <x:t xml:space="preserve">V03</x:t>
        </x:is>
      </x:c>
      <x:c r="E295" s="16" t="inlineStr">
        <x:is>
          <x:t xml:space="preserve">Fitness</x:t>
        </x:is>
      </x:c>
      <x:c r="F295" s="16" t="inlineStr">
        <x:is>
          <x:t xml:space="preserve">Semantic compression</x:t>
        </x:is>
      </x:c>
      <x:c r="G295" s="16" t="inlineStr">
        <x:is>
          <x:t xml:space="preserve">Muted</x:t>
        </x:is>
      </x:c>
      <x:c r="H295" s="16" t="inlineStr">
        <x:is>
          <x:t xml:space="preserve">Use mobile portrait playback</x:t>
        </x:is>
      </x:c>
      <x:c r="I295" s="16" t="inlineStr">
        <x:is>
          <x:t xml:space="preserve"/>
        </x:is>
      </x:c>
    </x:row>
    <x:row r="296">
      <x:c r="A296" s="17" t="inlineStr">
        <x:is>
          <x:t xml:space="preserve">P025</x:t>
        </x:is>
      </x:c>
      <x:c r="B296" s="17" t="n">
        <x:v>5</x:v>
      </x:c>
      <x:c r="C296" s="17" t="n">
        <x:v>4</x:v>
      </x:c>
      <x:c r="D296" s="17" t="inlineStr">
        <x:is>
          <x:t xml:space="preserve">V09</x:t>
        </x:is>
      </x:c>
      <x:c r="E296" s="17" t="inlineStr">
        <x:is>
          <x:t xml:space="preserve">Sleep habit</x:t>
        </x:is>
      </x:c>
      <x:c r="F296" s="17" t="inlineStr">
        <x:is>
          <x:t xml:space="preserve">Semantic compression</x:t>
        </x:is>
      </x:c>
      <x:c r="G296" s="17" t="inlineStr">
        <x:is>
          <x:t xml:space="preserve">Muted</x:t>
        </x:is>
      </x:c>
      <x:c r="H296" s="17" t="inlineStr">
        <x:is>
          <x:t xml:space="preserve">Use mobile portrait playback</x:t>
        </x:is>
      </x:c>
      <x:c r="I296" s="17" t="inlineStr">
        <x:is>
          <x:t xml:space="preserve"/>
        </x:is>
      </x:c>
    </x:row>
    <x:row r="297">
      <x:c r="A297" s="16" t="inlineStr">
        <x:is>
          <x:t xml:space="preserve">P025</x:t>
        </x:is>
      </x:c>
      <x:c r="B297" s="16" t="n">
        <x:v>5</x:v>
      </x:c>
      <x:c r="C297" s="16" t="n">
        <x:v>5</x:v>
      </x:c>
      <x:c r="D297" s="16" t="inlineStr">
        <x:is>
          <x:t xml:space="preserve">V07</x:t>
        </x:is>
      </x:c>
      <x:c r="E297" s="16" t="inlineStr">
        <x:is>
          <x:t xml:space="preserve">Business</x:t>
        </x:is>
      </x:c>
      <x:c r="F297" s="16" t="inlineStr">
        <x:is>
          <x:t xml:space="preserve">Full transcript</x:t>
        </x:is>
      </x:c>
      <x:c r="G297" s="16" t="inlineStr">
        <x:is>
          <x:t xml:space="preserve">Muted</x:t>
        </x:is>
      </x:c>
      <x:c r="H297" s="16" t="inlineStr">
        <x:is>
          <x:t xml:space="preserve">Use mobile portrait playback</x:t>
        </x:is>
      </x:c>
      <x:c r="I297" s="16" t="inlineStr">
        <x:is>
          <x:t xml:space="preserve"/>
        </x:is>
      </x:c>
    </x:row>
    <x:row r="298">
      <x:c r="A298" s="17" t="inlineStr">
        <x:is>
          <x:t xml:space="preserve">P025</x:t>
        </x:is>
      </x:c>
      <x:c r="B298" s="17" t="n">
        <x:v>5</x:v>
      </x:c>
      <x:c r="C298" s="17" t="n">
        <x:v>6</x:v>
      </x:c>
      <x:c r="D298" s="17" t="inlineStr">
        <x:is>
          <x:t xml:space="preserve">V08</x:t>
        </x:is>
      </x:c>
      <x:c r="E298" s="17" t="inlineStr">
        <x:is>
          <x:t xml:space="preserve">Coding</x:t>
        </x:is>
      </x:c>
      <x:c r="F298" s="17" t="inlineStr">
        <x:is>
          <x:t xml:space="preserve">Keyword highlight</x:t>
        </x:is>
      </x:c>
      <x:c r="G298" s="17" t="inlineStr">
        <x:is>
          <x:t xml:space="preserve">Muted</x:t>
        </x:is>
      </x:c>
      <x:c r="H298" s="17" t="inlineStr">
        <x:is>
          <x:t xml:space="preserve">Use mobile portrait playback</x:t>
        </x:is>
      </x:c>
      <x:c r="I298" s="17" t="inlineStr">
        <x:is>
          <x:t xml:space="preserve"/>
        </x:is>
      </x:c>
    </x:row>
    <x:row r="299">
      <x:c r="A299" s="16" t="inlineStr">
        <x:is>
          <x:t xml:space="preserve">P025</x:t>
        </x:is>
      </x:c>
      <x:c r="B299" s="16" t="n">
        <x:v>5</x:v>
      </x:c>
      <x:c r="C299" s="16" t="n">
        <x:v>7</x:v>
      </x:c>
      <x:c r="D299" s="16" t="inlineStr">
        <x:is>
          <x:t xml:space="preserve">V02</x:t>
        </x:is>
      </x:c>
      <x:c r="E299" s="16" t="inlineStr">
        <x:is>
          <x:t xml:space="preserve">Study</x:t>
        </x:is>
      </x:c>
      <x:c r="F299" s="16" t="inlineStr">
        <x:is>
          <x:t xml:space="preserve">Keyword highlight</x:t>
        </x:is>
      </x:c>
      <x:c r="G299" s="16" t="inlineStr">
        <x:is>
          <x:t xml:space="preserve">Muted</x:t>
        </x:is>
      </x:c>
      <x:c r="H299" s="16" t="inlineStr">
        <x:is>
          <x:t xml:space="preserve">Use mobile portrait playback</x:t>
        </x:is>
      </x:c>
      <x:c r="I299" s="16" t="inlineStr">
        <x:is>
          <x:t xml:space="preserve"/>
        </x:is>
      </x:c>
    </x:row>
    <x:row r="300">
      <x:c r="A300" s="17" t="inlineStr">
        <x:is>
          <x:t xml:space="preserve">P025</x:t>
        </x:is>
      </x:c>
      <x:c r="B300" s="17" t="n">
        <x:v>5</x:v>
      </x:c>
      <x:c r="C300" s="17" t="n">
        <x:v>8</x:v>
      </x:c>
      <x:c r="D300" s="17" t="inlineStr">
        <x:is>
          <x:t xml:space="preserve">V06</x:t>
        </x:is>
      </x:c>
      <x:c r="E300" s="17" t="inlineStr">
        <x:is>
          <x:t xml:space="preserve">Overload</x:t>
        </x:is>
      </x:c>
      <x:c r="F300" s="17" t="inlineStr">
        <x:is>
          <x:t xml:space="preserve">Heavy bionic</x:t>
        </x:is>
      </x:c>
      <x:c r="G300" s="17" t="inlineStr">
        <x:is>
          <x:t xml:space="preserve">Muted</x:t>
        </x:is>
      </x:c>
      <x:c r="H300" s="17" t="inlineStr">
        <x:is>
          <x:t xml:space="preserve">Use mobile portrait playback</x:t>
        </x:is>
      </x:c>
      <x:c r="I300" s="17" t="inlineStr">
        <x:is>
          <x:t xml:space="preserve"/>
        </x:is>
      </x:c>
    </x:row>
    <x:row r="301">
      <x:c r="A301" s="16" t="inlineStr">
        <x:is>
          <x:t xml:space="preserve">P025</x:t>
        </x:is>
      </x:c>
      <x:c r="B301" s="16" t="n">
        <x:v>5</x:v>
      </x:c>
      <x:c r="C301" s="16" t="n">
        <x:v>9</x:v>
      </x:c>
      <x:c r="D301" s="16" t="inlineStr">
        <x:is>
          <x:t xml:space="preserve">V12</x:t>
        </x:is>
      </x:c>
      <x:c r="E301" s="16" t="inlineStr">
        <x:is>
          <x:t xml:space="preserve">Time management</x:t>
        </x:is>
      </x:c>
      <x:c r="F301" s="16" t="inlineStr">
        <x:is>
          <x:t xml:space="preserve">Heavy bionic</x:t>
        </x:is>
      </x:c>
      <x:c r="G301" s="16" t="inlineStr">
        <x:is>
          <x:t xml:space="preserve">Muted</x:t>
        </x:is>
      </x:c>
      <x:c r="H301" s="16" t="inlineStr">
        <x:is>
          <x:t xml:space="preserve">Use mobile portrait playback</x:t>
        </x:is>
      </x:c>
      <x:c r="I301" s="16" t="inlineStr">
        <x:is>
          <x:t xml:space="preserve"/>
        </x:is>
      </x:c>
    </x:row>
    <x:row r="302">
      <x:c r="A302" s="17" t="inlineStr">
        <x:is>
          <x:t xml:space="preserve">P025</x:t>
        </x:is>
      </x:c>
      <x:c r="B302" s="17" t="n">
        <x:v>5</x:v>
      </x:c>
      <x:c r="C302" s="17" t="n">
        <x:v>10</x:v>
      </x:c>
      <x:c r="D302" s="17" t="inlineStr">
        <x:is>
          <x:t xml:space="preserve">V11</x:t>
        </x:is>
      </x:c>
      <x:c r="E302" s="17" t="inlineStr">
        <x:is>
          <x:t xml:space="preserve">Creator strategy</x:t>
        </x:is>
      </x:c>
      <x:c r="F302" s="17" t="inlineStr">
        <x:is>
          <x:t xml:space="preserve">BCC+</x:t>
        </x:is>
      </x:c>
      <x:c r="G302" s="17" t="inlineStr">
        <x:is>
          <x:t xml:space="preserve">Muted</x:t>
        </x:is>
      </x:c>
      <x:c r="H302" s="17" t="inlineStr">
        <x:is>
          <x:t xml:space="preserve">Use mobile portrait playback</x:t>
        </x:is>
      </x:c>
      <x:c r="I302" s="17" t="inlineStr">
        <x:is>
          <x:t xml:space="preserve"/>
        </x:is>
      </x:c>
    </x:row>
    <x:row r="303">
      <x:c r="A303" s="16" t="inlineStr">
        <x:is>
          <x:t xml:space="preserve">P025</x:t>
        </x:is>
      </x:c>
      <x:c r="B303" s="16" t="n">
        <x:v>5</x:v>
      </x:c>
      <x:c r="C303" s="16" t="n">
        <x:v>11</x:v>
      </x:c>
      <x:c r="D303" s="16" t="inlineStr">
        <x:is>
          <x:t xml:space="preserve">V01</x:t>
        </x:is>
      </x:c>
      <x:c r="E303" s="16" t="inlineStr">
        <x:is>
          <x:t xml:space="preserve">Productivity</x:t>
        </x:is>
      </x:c>
      <x:c r="F303" s="16" t="inlineStr">
        <x:is>
          <x:t xml:space="preserve">Full transcript</x:t>
        </x:is>
      </x:c>
      <x:c r="G303" s="16" t="inlineStr">
        <x:is>
          <x:t xml:space="preserve">Muted</x:t>
        </x:is>
      </x:c>
      <x:c r="H303" s="16" t="inlineStr">
        <x:is>
          <x:t xml:space="preserve">Use mobile portrait playback</x:t>
        </x:is>
      </x:c>
      <x:c r="I303" s="16" t="inlineStr">
        <x:is>
          <x:t xml:space="preserve"/>
        </x:is>
      </x:c>
    </x:row>
    <x:row r="304">
      <x:c r="A304" s="17" t="inlineStr">
        <x:is>
          <x:t xml:space="preserve">P025</x:t>
        </x:is>
      </x:c>
      <x:c r="B304" s="17" t="n">
        <x:v>5</x:v>
      </x:c>
      <x:c r="C304" s="17" t="n">
        <x:v>12</x:v>
      </x:c>
      <x:c r="D304" s="17" t="inlineStr">
        <x:is>
          <x:t xml:space="preserve">V04</x:t>
        </x:is>
      </x:c>
      <x:c r="E304" s="17" t="inlineStr">
        <x:is>
          <x:t xml:space="preserve">Finance</x:t>
        </x:is>
      </x:c>
      <x:c r="F304" s="17" t="inlineStr">
        <x:is>
          <x:t xml:space="preserve">BCC</x:t>
        </x:is>
      </x:c>
      <x:c r="G304" s="17" t="inlineStr">
        <x:is>
          <x:t xml:space="preserve">Muted</x:t>
        </x:is>
      </x:c>
      <x:c r="H304" s="17" t="inlineStr">
        <x:is>
          <x:t xml:space="preserve">Use mobile portrait playback</x:t>
        </x:is>
      </x:c>
      <x:c r="I304" s="17" t="inlineStr">
        <x:is>
          <x:t xml:space="preserve"/>
        </x:is>
      </x:c>
    </x:row>
    <x:row r="305">
      <x:c r="A305" s="16" t="inlineStr">
        <x:is>
          <x:t xml:space="preserve">P026</x:t>
        </x:is>
      </x:c>
      <x:c r="B305" s="16" t="n">
        <x:v>5</x:v>
      </x:c>
      <x:c r="C305" s="16" t="n">
        <x:v>1</x:v>
      </x:c>
      <x:c r="D305" s="16" t="inlineStr">
        <x:is>
          <x:t xml:space="preserve">V12</x:t>
        </x:is>
      </x:c>
      <x:c r="E305" s="16" t="inlineStr">
        <x:is>
          <x:t xml:space="preserve">Time management</x:t>
        </x:is>
      </x:c>
      <x:c r="F305" s="16" t="inlineStr">
        <x:is>
          <x:t xml:space="preserve">Full transcript</x:t>
        </x:is>
      </x:c>
      <x:c r="G305" s="16" t="inlineStr">
        <x:is>
          <x:t xml:space="preserve">Muted</x:t>
        </x:is>
      </x:c>
      <x:c r="H305" s="16" t="inlineStr">
        <x:is>
          <x:t xml:space="preserve">Use mobile portrait playback</x:t>
        </x:is>
      </x:c>
      <x:c r="I305" s="16" t="inlineStr">
        <x:is>
          <x:t xml:space="preserve"/>
        </x:is>
      </x:c>
    </x:row>
    <x:row r="306">
      <x:c r="A306" s="17" t="inlineStr">
        <x:is>
          <x:t xml:space="preserve">P026</x:t>
        </x:is>
      </x:c>
      <x:c r="B306" s="17" t="n">
        <x:v>5</x:v>
      </x:c>
      <x:c r="C306" s="17" t="n">
        <x:v>2</x:v>
      </x:c>
      <x:c r="D306" s="17" t="inlineStr">
        <x:is>
          <x:t xml:space="preserve">V09</x:t>
        </x:is>
      </x:c>
      <x:c r="E306" s="17" t="inlineStr">
        <x:is>
          <x:t xml:space="preserve">Sleep habit</x:t>
        </x:is>
      </x:c>
      <x:c r="F306" s="17" t="inlineStr">
        <x:is>
          <x:t xml:space="preserve">BCC</x:t>
        </x:is>
      </x:c>
      <x:c r="G306" s="17" t="inlineStr">
        <x:is>
          <x:t xml:space="preserve">Muted</x:t>
        </x:is>
      </x:c>
      <x:c r="H306" s="17" t="inlineStr">
        <x:is>
          <x:t xml:space="preserve">Use mobile portrait playback</x:t>
        </x:is>
      </x:c>
      <x:c r="I306" s="17" t="inlineStr">
        <x:is>
          <x:t xml:space="preserve"/>
        </x:is>
      </x:c>
    </x:row>
    <x:row r="307">
      <x:c r="A307" s="16" t="inlineStr">
        <x:is>
          <x:t xml:space="preserve">P026</x:t>
        </x:is>
      </x:c>
      <x:c r="B307" s="16" t="n">
        <x:v>5</x:v>
      </x:c>
      <x:c r="C307" s="16" t="n">
        <x:v>3</x:v>
      </x:c>
      <x:c r="D307" s="16" t="inlineStr">
        <x:is>
          <x:t xml:space="preserve">V03</x:t>
        </x:is>
      </x:c>
      <x:c r="E307" s="16" t="inlineStr">
        <x:is>
          <x:t xml:space="preserve">Fitness</x:t>
        </x:is>
      </x:c>
      <x:c r="F307" s="16" t="inlineStr">
        <x:is>
          <x:t xml:space="preserve">BCC</x:t>
        </x:is>
      </x:c>
      <x:c r="G307" s="16" t="inlineStr">
        <x:is>
          <x:t xml:space="preserve">Muted</x:t>
        </x:is>
      </x:c>
      <x:c r="H307" s="16" t="inlineStr">
        <x:is>
          <x:t xml:space="preserve">Use mobile portrait playback</x:t>
        </x:is>
      </x:c>
      <x:c r="I307" s="16" t="inlineStr">
        <x:is>
          <x:t xml:space="preserve"/>
        </x:is>
      </x:c>
    </x:row>
    <x:row r="308">
      <x:c r="A308" s="17" t="inlineStr">
        <x:is>
          <x:t xml:space="preserve">P026</x:t>
        </x:is>
      </x:c>
      <x:c r="B308" s="17" t="n">
        <x:v>5</x:v>
      </x:c>
      <x:c r="C308" s="17" t="n">
        <x:v>4</x:v>
      </x:c>
      <x:c r="D308" s="17" t="inlineStr">
        <x:is>
          <x:t xml:space="preserve">V06</x:t>
        </x:is>
      </x:c>
      <x:c r="E308" s="17" t="inlineStr">
        <x:is>
          <x:t xml:space="preserve">Overload</x:t>
        </x:is>
      </x:c>
      <x:c r="F308" s="17" t="inlineStr">
        <x:is>
          <x:t xml:space="preserve">Full transcript</x:t>
        </x:is>
      </x:c>
      <x:c r="G308" s="17" t="inlineStr">
        <x:is>
          <x:t xml:space="preserve">Muted</x:t>
        </x:is>
      </x:c>
      <x:c r="H308" s="17" t="inlineStr">
        <x:is>
          <x:t xml:space="preserve">Use mobile portrait playback</x:t>
        </x:is>
      </x:c>
      <x:c r="I308" s="17" t="inlineStr">
        <x:is>
          <x:t xml:space="preserve"/>
        </x:is>
      </x:c>
    </x:row>
    <x:row r="309">
      <x:c r="A309" s="16" t="inlineStr">
        <x:is>
          <x:t xml:space="preserve">P026</x:t>
        </x:is>
      </x:c>
      <x:c r="B309" s="16" t="n">
        <x:v>5</x:v>
      </x:c>
      <x:c r="C309" s="16" t="n">
        <x:v>5</x:v>
      </x:c>
      <x:c r="D309" s="16" t="inlineStr">
        <x:is>
          <x:t xml:space="preserve">V04</x:t>
        </x:is>
      </x:c>
      <x:c r="E309" s="16" t="inlineStr">
        <x:is>
          <x:t xml:space="preserve">Finance</x:t>
        </x:is>
      </x:c>
      <x:c r="F309" s="16" t="inlineStr">
        <x:is>
          <x:t xml:space="preserve">BCC+</x:t>
        </x:is>
      </x:c>
      <x:c r="G309" s="16" t="inlineStr">
        <x:is>
          <x:t xml:space="preserve">Muted</x:t>
        </x:is>
      </x:c>
      <x:c r="H309" s="16" t="inlineStr">
        <x:is>
          <x:t xml:space="preserve">Use mobile portrait playback</x:t>
        </x:is>
      </x:c>
      <x:c r="I309" s="16" t="inlineStr">
        <x:is>
          <x:t xml:space="preserve"/>
        </x:is>
      </x:c>
    </x:row>
    <x:row r="310">
      <x:c r="A310" s="17" t="inlineStr">
        <x:is>
          <x:t xml:space="preserve">P026</x:t>
        </x:is>
      </x:c>
      <x:c r="B310" s="17" t="n">
        <x:v>5</x:v>
      </x:c>
      <x:c r="C310" s="17" t="n">
        <x:v>6</x:v>
      </x:c>
      <x:c r="D310" s="17" t="inlineStr">
        <x:is>
          <x:t xml:space="preserve">V11</x:t>
        </x:is>
      </x:c>
      <x:c r="E310" s="17" t="inlineStr">
        <x:is>
          <x:t xml:space="preserve">Creator strategy</x:t>
        </x:is>
      </x:c>
      <x:c r="F310" s="17" t="inlineStr">
        <x:is>
          <x:t xml:space="preserve">Heavy bionic</x:t>
        </x:is>
      </x:c>
      <x:c r="G310" s="17" t="inlineStr">
        <x:is>
          <x:t xml:space="preserve">Muted</x:t>
        </x:is>
      </x:c>
      <x:c r="H310" s="17" t="inlineStr">
        <x:is>
          <x:t xml:space="preserve">Use mobile portrait playback</x:t>
        </x:is>
      </x:c>
      <x:c r="I310" s="17" t="inlineStr">
        <x:is>
          <x:t xml:space="preserve"/>
        </x:is>
      </x:c>
    </x:row>
    <x:row r="311">
      <x:c r="A311" s="16" t="inlineStr">
        <x:is>
          <x:t xml:space="preserve">P026</x:t>
        </x:is>
      </x:c>
      <x:c r="B311" s="16" t="n">
        <x:v>5</x:v>
      </x:c>
      <x:c r="C311" s="16" t="n">
        <x:v>7</x:v>
      </x:c>
      <x:c r="D311" s="16" t="inlineStr">
        <x:is>
          <x:t xml:space="preserve">V02</x:t>
        </x:is>
      </x:c>
      <x:c r="E311" s="16" t="inlineStr">
        <x:is>
          <x:t xml:space="preserve">Study</x:t>
        </x:is>
      </x:c>
      <x:c r="F311" s="16" t="inlineStr">
        <x:is>
          <x:t xml:space="preserve">Semantic compression</x:t>
        </x:is>
      </x:c>
      <x:c r="G311" s="16" t="inlineStr">
        <x:is>
          <x:t xml:space="preserve">Muted</x:t>
        </x:is>
      </x:c>
      <x:c r="H311" s="16" t="inlineStr">
        <x:is>
          <x:t xml:space="preserve">Use mobile portrait playback</x:t>
        </x:is>
      </x:c>
      <x:c r="I311" s="16" t="inlineStr">
        <x:is>
          <x:t xml:space="preserve"/>
        </x:is>
      </x:c>
    </x:row>
    <x:row r="312">
      <x:c r="A312" s="17" t="inlineStr">
        <x:is>
          <x:t xml:space="preserve">P026</x:t>
        </x:is>
      </x:c>
      <x:c r="B312" s="17" t="n">
        <x:v>5</x:v>
      </x:c>
      <x:c r="C312" s="17" t="n">
        <x:v>8</x:v>
      </x:c>
      <x:c r="D312" s="17" t="inlineStr">
        <x:is>
          <x:t xml:space="preserve">V10</x:t>
        </x:is>
      </x:c>
      <x:c r="E312" s="17" t="inlineStr">
        <x:is>
          <x:t xml:space="preserve">Product demo</x:t>
        </x:is>
      </x:c>
      <x:c r="F312" s="17" t="inlineStr">
        <x:is>
          <x:t xml:space="preserve">BCC+</x:t>
        </x:is>
      </x:c>
      <x:c r="G312" s="17" t="inlineStr">
        <x:is>
          <x:t xml:space="preserve">Muted</x:t>
        </x:is>
      </x:c>
      <x:c r="H312" s="17" t="inlineStr">
        <x:is>
          <x:t xml:space="preserve">Use mobile portrait playback</x:t>
        </x:is>
      </x:c>
      <x:c r="I312" s="17" t="inlineStr">
        <x:is>
          <x:t xml:space="preserve"/>
        </x:is>
      </x:c>
    </x:row>
    <x:row r="313">
      <x:c r="A313" s="16" t="inlineStr">
        <x:is>
          <x:t xml:space="preserve">P026</x:t>
        </x:is>
      </x:c>
      <x:c r="B313" s="16" t="n">
        <x:v>5</x:v>
      </x:c>
      <x:c r="C313" s="16" t="n">
        <x:v>9</x:v>
      </x:c>
      <x:c r="D313" s="16" t="inlineStr">
        <x:is>
          <x:t xml:space="preserve">V07</x:t>
        </x:is>
      </x:c>
      <x:c r="E313" s="16" t="inlineStr">
        <x:is>
          <x:t xml:space="preserve">Business</x:t>
        </x:is>
      </x:c>
      <x:c r="F313" s="16" t="inlineStr">
        <x:is>
          <x:t xml:space="preserve">Keyword highlight</x:t>
        </x:is>
      </x:c>
      <x:c r="G313" s="16" t="inlineStr">
        <x:is>
          <x:t xml:space="preserve">Muted</x:t>
        </x:is>
      </x:c>
      <x:c r="H313" s="16" t="inlineStr">
        <x:is>
          <x:t xml:space="preserve">Use mobile portrait playback</x:t>
        </x:is>
      </x:c>
      <x:c r="I313" s="16" t="inlineStr">
        <x:is>
          <x:t xml:space="preserve"/>
        </x:is>
      </x:c>
    </x:row>
    <x:row r="314">
      <x:c r="A314" s="17" t="inlineStr">
        <x:is>
          <x:t xml:space="preserve">P026</x:t>
        </x:is>
      </x:c>
      <x:c r="B314" s="17" t="n">
        <x:v>5</x:v>
      </x:c>
      <x:c r="C314" s="17" t="n">
        <x:v>10</x:v>
      </x:c>
      <x:c r="D314" s="17" t="inlineStr">
        <x:is>
          <x:t xml:space="preserve">V05</x:t>
        </x:is>
      </x:c>
      <x:c r="E314" s="17" t="inlineStr">
        <x:is>
          <x:t xml:space="preserve">Tutorial</x:t>
        </x:is>
      </x:c>
      <x:c r="F314" s="17" t="inlineStr">
        <x:is>
          <x:t xml:space="preserve">Heavy bionic</x:t>
        </x:is>
      </x:c>
      <x:c r="G314" s="17" t="inlineStr">
        <x:is>
          <x:t xml:space="preserve">Muted</x:t>
        </x:is>
      </x:c>
      <x:c r="H314" s="17" t="inlineStr">
        <x:is>
          <x:t xml:space="preserve">Use mobile portrait playback</x:t>
        </x:is>
      </x:c>
      <x:c r="I314" s="17" t="inlineStr">
        <x:is>
          <x:t xml:space="preserve"/>
        </x:is>
      </x:c>
    </x:row>
    <x:row r="315">
      <x:c r="A315" s="16" t="inlineStr">
        <x:is>
          <x:t xml:space="preserve">P026</x:t>
        </x:is>
      </x:c>
      <x:c r="B315" s="16" t="n">
        <x:v>5</x:v>
      </x:c>
      <x:c r="C315" s="16" t="n">
        <x:v>11</x:v>
      </x:c>
      <x:c r="D315" s="16" t="inlineStr">
        <x:is>
          <x:t xml:space="preserve">V08</x:t>
        </x:is>
      </x:c>
      <x:c r="E315" s="16" t="inlineStr">
        <x:is>
          <x:t xml:space="preserve">Coding</x:t>
        </x:is>
      </x:c>
      <x:c r="F315" s="16" t="inlineStr">
        <x:is>
          <x:t xml:space="preserve">Semantic compression</x:t>
        </x:is>
      </x:c>
      <x:c r="G315" s="16" t="inlineStr">
        <x:is>
          <x:t xml:space="preserve">Muted</x:t>
        </x:is>
      </x:c>
      <x:c r="H315" s="16" t="inlineStr">
        <x:is>
          <x:t xml:space="preserve">Use mobile portrait playback</x:t>
        </x:is>
      </x:c>
      <x:c r="I315" s="16" t="inlineStr">
        <x:is>
          <x:t xml:space="preserve"/>
        </x:is>
      </x:c>
    </x:row>
    <x:row r="316">
      <x:c r="A316" s="17" t="inlineStr">
        <x:is>
          <x:t xml:space="preserve">P026</x:t>
        </x:is>
      </x:c>
      <x:c r="B316" s="17" t="n">
        <x:v>5</x:v>
      </x:c>
      <x:c r="C316" s="17" t="n">
        <x:v>12</x:v>
      </x:c>
      <x:c r="D316" s="17" t="inlineStr">
        <x:is>
          <x:t xml:space="preserve">V01</x:t>
        </x:is>
      </x:c>
      <x:c r="E316" s="17" t="inlineStr">
        <x:is>
          <x:t xml:space="preserve">Productivity</x:t>
        </x:is>
      </x:c>
      <x:c r="F316" s="17" t="inlineStr">
        <x:is>
          <x:t xml:space="preserve">Keyword highlight</x:t>
        </x:is>
      </x:c>
      <x:c r="G316" s="17" t="inlineStr">
        <x:is>
          <x:t xml:space="preserve">Muted</x:t>
        </x:is>
      </x:c>
      <x:c r="H316" s="17" t="inlineStr">
        <x:is>
          <x:t xml:space="preserve">Use mobile portrait playback</x:t>
        </x:is>
      </x:c>
      <x:c r="I316" s="17" t="inlineStr">
        <x:is>
          <x:t xml:space="preserve"/>
        </x:is>
      </x:c>
    </x:row>
    <x:row r="317">
      <x:c r="A317" s="16" t="inlineStr">
        <x:is>
          <x:t xml:space="preserve">P027</x:t>
        </x:is>
      </x:c>
      <x:c r="B317" s="16" t="n">
        <x:v>5</x:v>
      </x:c>
      <x:c r="C317" s="16" t="n">
        <x:v>1</x:v>
      </x:c>
      <x:c r="D317" s="16" t="inlineStr">
        <x:is>
          <x:t xml:space="preserve">V07</x:t>
        </x:is>
      </x:c>
      <x:c r="E317" s="16" t="inlineStr">
        <x:is>
          <x:t xml:space="preserve">Business</x:t>
        </x:is>
      </x:c>
      <x:c r="F317" s="16" t="inlineStr">
        <x:is>
          <x:t xml:space="preserve">Semantic compression</x:t>
        </x:is>
      </x:c>
      <x:c r="G317" s="16" t="inlineStr">
        <x:is>
          <x:t xml:space="preserve">Muted</x:t>
        </x:is>
      </x:c>
      <x:c r="H317" s="16" t="inlineStr">
        <x:is>
          <x:t xml:space="preserve">Use mobile portrait playback</x:t>
        </x:is>
      </x:c>
      <x:c r="I317" s="16" t="inlineStr">
        <x:is>
          <x:t xml:space="preserve"/>
        </x:is>
      </x:c>
    </x:row>
    <x:row r="318">
      <x:c r="A318" s="17" t="inlineStr">
        <x:is>
          <x:t xml:space="preserve">P027</x:t>
        </x:is>
      </x:c>
      <x:c r="B318" s="17" t="n">
        <x:v>5</x:v>
      </x:c>
      <x:c r="C318" s="17" t="n">
        <x:v>2</x:v>
      </x:c>
      <x:c r="D318" s="17" t="inlineStr">
        <x:is>
          <x:t xml:space="preserve">V06</x:t>
        </x:is>
      </x:c>
      <x:c r="E318" s="17" t="inlineStr">
        <x:is>
          <x:t xml:space="preserve">Overload</x:t>
        </x:is>
      </x:c>
      <x:c r="F318" s="17" t="inlineStr">
        <x:is>
          <x:t xml:space="preserve">Keyword highlight</x:t>
        </x:is>
      </x:c>
      <x:c r="G318" s="17" t="inlineStr">
        <x:is>
          <x:t xml:space="preserve">Muted</x:t>
        </x:is>
      </x:c>
      <x:c r="H318" s="17" t="inlineStr">
        <x:is>
          <x:t xml:space="preserve">Use mobile portrait playback</x:t>
        </x:is>
      </x:c>
      <x:c r="I318" s="17" t="inlineStr">
        <x:is>
          <x:t xml:space="preserve"/>
        </x:is>
      </x:c>
    </x:row>
    <x:row r="319">
      <x:c r="A319" s="16" t="inlineStr">
        <x:is>
          <x:t xml:space="preserve">P027</x:t>
        </x:is>
      </x:c>
      <x:c r="B319" s="16" t="n">
        <x:v>5</x:v>
      </x:c>
      <x:c r="C319" s="16" t="n">
        <x:v>3</x:v>
      </x:c>
      <x:c r="D319" s="16" t="inlineStr">
        <x:is>
          <x:t xml:space="preserve">V03</x:t>
        </x:is>
      </x:c>
      <x:c r="E319" s="16" t="inlineStr">
        <x:is>
          <x:t xml:space="preserve">Fitness</x:t>
        </x:is>
      </x:c>
      <x:c r="F319" s="16" t="inlineStr">
        <x:is>
          <x:t xml:space="preserve">BCC+</x:t>
        </x:is>
      </x:c>
      <x:c r="G319" s="16" t="inlineStr">
        <x:is>
          <x:t xml:space="preserve">Muted</x:t>
        </x:is>
      </x:c>
      <x:c r="H319" s="16" t="inlineStr">
        <x:is>
          <x:t xml:space="preserve">Use mobile portrait playback</x:t>
        </x:is>
      </x:c>
      <x:c r="I319" s="16" t="inlineStr">
        <x:is>
          <x:t xml:space="preserve"/>
        </x:is>
      </x:c>
    </x:row>
    <x:row r="320">
      <x:c r="A320" s="17" t="inlineStr">
        <x:is>
          <x:t xml:space="preserve">P027</x:t>
        </x:is>
      </x:c>
      <x:c r="B320" s="17" t="n">
        <x:v>5</x:v>
      </x:c>
      <x:c r="C320" s="17" t="n">
        <x:v>4</x:v>
      </x:c>
      <x:c r="D320" s="17" t="inlineStr">
        <x:is>
          <x:t xml:space="preserve">V04</x:t>
        </x:is>
      </x:c>
      <x:c r="E320" s="17" t="inlineStr">
        <x:is>
          <x:t xml:space="preserve">Finance</x:t>
        </x:is>
      </x:c>
      <x:c r="F320" s="17" t="inlineStr">
        <x:is>
          <x:t xml:space="preserve">Heavy bionic</x:t>
        </x:is>
      </x:c>
      <x:c r="G320" s="17" t="inlineStr">
        <x:is>
          <x:t xml:space="preserve">Muted</x:t>
        </x:is>
      </x:c>
      <x:c r="H320" s="17" t="inlineStr">
        <x:is>
          <x:t xml:space="preserve">Use mobile portrait playback</x:t>
        </x:is>
      </x:c>
      <x:c r="I320" s="17" t="inlineStr">
        <x:is>
          <x:t xml:space="preserve"/>
        </x:is>
      </x:c>
    </x:row>
    <x:row r="321">
      <x:c r="A321" s="16" t="inlineStr">
        <x:is>
          <x:t xml:space="preserve">P027</x:t>
        </x:is>
      </x:c>
      <x:c r="B321" s="16" t="n">
        <x:v>5</x:v>
      </x:c>
      <x:c r="C321" s="16" t="n">
        <x:v>5</x:v>
      </x:c>
      <x:c r="D321" s="16" t="inlineStr">
        <x:is>
          <x:t xml:space="preserve">V05</x:t>
        </x:is>
      </x:c>
      <x:c r="E321" s="16" t="inlineStr">
        <x:is>
          <x:t xml:space="preserve">Tutorial</x:t>
        </x:is>
      </x:c>
      <x:c r="F321" s="16" t="inlineStr">
        <x:is>
          <x:t xml:space="preserve">Full transcript</x:t>
        </x:is>
      </x:c>
      <x:c r="G321" s="16" t="inlineStr">
        <x:is>
          <x:t xml:space="preserve">Muted</x:t>
        </x:is>
      </x:c>
      <x:c r="H321" s="16" t="inlineStr">
        <x:is>
          <x:t xml:space="preserve">Use mobile portrait playback</x:t>
        </x:is>
      </x:c>
      <x:c r="I321" s="16" t="inlineStr">
        <x:is>
          <x:t xml:space="preserve"/>
        </x:is>
      </x:c>
    </x:row>
    <x:row r="322">
      <x:c r="A322" s="17" t="inlineStr">
        <x:is>
          <x:t xml:space="preserve">P027</x:t>
        </x:is>
      </x:c>
      <x:c r="B322" s="17" t="n">
        <x:v>5</x:v>
      </x:c>
      <x:c r="C322" s="17" t="n">
        <x:v>6</x:v>
      </x:c>
      <x:c r="D322" s="17" t="inlineStr">
        <x:is>
          <x:t xml:space="preserve">V12</x:t>
        </x:is>
      </x:c>
      <x:c r="E322" s="17" t="inlineStr">
        <x:is>
          <x:t xml:space="preserve">Time management</x:t>
        </x:is>
      </x:c>
      <x:c r="F322" s="17" t="inlineStr">
        <x:is>
          <x:t xml:space="preserve">Keyword highlight</x:t>
        </x:is>
      </x:c>
      <x:c r="G322" s="17" t="inlineStr">
        <x:is>
          <x:t xml:space="preserve">Muted</x:t>
        </x:is>
      </x:c>
      <x:c r="H322" s="17" t="inlineStr">
        <x:is>
          <x:t xml:space="preserve">Use mobile portrait playback</x:t>
        </x:is>
      </x:c>
      <x:c r="I322" s="17" t="inlineStr">
        <x:is>
          <x:t xml:space="preserve"/>
        </x:is>
      </x:c>
    </x:row>
    <x:row r="323">
      <x:c r="A323" s="16" t="inlineStr">
        <x:is>
          <x:t xml:space="preserve">P027</x:t>
        </x:is>
      </x:c>
      <x:c r="B323" s="16" t="n">
        <x:v>5</x:v>
      </x:c>
      <x:c r="C323" s="16" t="n">
        <x:v>7</x:v>
      </x:c>
      <x:c r="D323" s="16" t="inlineStr">
        <x:is>
          <x:t xml:space="preserve">V10</x:t>
        </x:is>
      </x:c>
      <x:c r="E323" s="16" t="inlineStr">
        <x:is>
          <x:t xml:space="preserve">Product demo</x:t>
        </x:is>
      </x:c>
      <x:c r="F323" s="16" t="inlineStr">
        <x:is>
          <x:t xml:space="preserve">Heavy bionic</x:t>
        </x:is>
      </x:c>
      <x:c r="G323" s="16" t="inlineStr">
        <x:is>
          <x:t xml:space="preserve">Muted</x:t>
        </x:is>
      </x:c>
      <x:c r="H323" s="16" t="inlineStr">
        <x:is>
          <x:t xml:space="preserve">Use mobile portrait playback</x:t>
        </x:is>
      </x:c>
      <x:c r="I323" s="16" t="inlineStr">
        <x:is>
          <x:t xml:space="preserve"/>
        </x:is>
      </x:c>
    </x:row>
    <x:row r="324">
      <x:c r="A324" s="17" t="inlineStr">
        <x:is>
          <x:t xml:space="preserve">P027</x:t>
        </x:is>
      </x:c>
      <x:c r="B324" s="17" t="n">
        <x:v>5</x:v>
      </x:c>
      <x:c r="C324" s="17" t="n">
        <x:v>8</x:v>
      </x:c>
      <x:c r="D324" s="17" t="inlineStr">
        <x:is>
          <x:t xml:space="preserve">V08</x:t>
        </x:is>
      </x:c>
      <x:c r="E324" s="17" t="inlineStr">
        <x:is>
          <x:t xml:space="preserve">Coding</x:t>
        </x:is>
      </x:c>
      <x:c r="F324" s="17" t="inlineStr">
        <x:is>
          <x:t xml:space="preserve">BCC</x:t>
        </x:is>
      </x:c>
      <x:c r="G324" s="17" t="inlineStr">
        <x:is>
          <x:t xml:space="preserve">Muted</x:t>
        </x:is>
      </x:c>
      <x:c r="H324" s="17" t="inlineStr">
        <x:is>
          <x:t xml:space="preserve">Use mobile portrait playback</x:t>
        </x:is>
      </x:c>
      <x:c r="I324" s="17" t="inlineStr">
        <x:is>
          <x:t xml:space="preserve"/>
        </x:is>
      </x:c>
    </x:row>
    <x:row r="325">
      <x:c r="A325" s="16" t="inlineStr">
        <x:is>
          <x:t xml:space="preserve">P027</x:t>
        </x:is>
      </x:c>
      <x:c r="B325" s="16" t="n">
        <x:v>5</x:v>
      </x:c>
      <x:c r="C325" s="16" t="n">
        <x:v>9</x:v>
      </x:c>
      <x:c r="D325" s="16" t="inlineStr">
        <x:is>
          <x:t xml:space="preserve">V09</x:t>
        </x:is>
      </x:c>
      <x:c r="E325" s="16" t="inlineStr">
        <x:is>
          <x:t xml:space="preserve">Sleep habit</x:t>
        </x:is>
      </x:c>
      <x:c r="F325" s="16" t="inlineStr">
        <x:is>
          <x:t xml:space="preserve">BCC+</x:t>
        </x:is>
      </x:c>
      <x:c r="G325" s="16" t="inlineStr">
        <x:is>
          <x:t xml:space="preserve">Muted</x:t>
        </x:is>
      </x:c>
      <x:c r="H325" s="16" t="inlineStr">
        <x:is>
          <x:t xml:space="preserve">Use mobile portrait playback</x:t>
        </x:is>
      </x:c>
      <x:c r="I325" s="16" t="inlineStr">
        <x:is>
          <x:t xml:space="preserve"/>
        </x:is>
      </x:c>
    </x:row>
    <x:row r="326">
      <x:c r="A326" s="17" t="inlineStr">
        <x:is>
          <x:t xml:space="preserve">P027</x:t>
        </x:is>
      </x:c>
      <x:c r="B326" s="17" t="n">
        <x:v>5</x:v>
      </x:c>
      <x:c r="C326" s="17" t="n">
        <x:v>10</x:v>
      </x:c>
      <x:c r="D326" s="17" t="inlineStr">
        <x:is>
          <x:t xml:space="preserve">V11</x:t>
        </x:is>
      </x:c>
      <x:c r="E326" s="17" t="inlineStr">
        <x:is>
          <x:t xml:space="preserve">Creator strategy</x:t>
        </x:is>
      </x:c>
      <x:c r="F326" s="17" t="inlineStr">
        <x:is>
          <x:t xml:space="preserve">Full transcript</x:t>
        </x:is>
      </x:c>
      <x:c r="G326" s="17" t="inlineStr">
        <x:is>
          <x:t xml:space="preserve">Muted</x:t>
        </x:is>
      </x:c>
      <x:c r="H326" s="17" t="inlineStr">
        <x:is>
          <x:t xml:space="preserve">Use mobile portrait playback</x:t>
        </x:is>
      </x:c>
      <x:c r="I326" s="17" t="inlineStr">
        <x:is>
          <x:t xml:space="preserve"/>
        </x:is>
      </x:c>
    </x:row>
    <x:row r="327">
      <x:c r="A327" s="16" t="inlineStr">
        <x:is>
          <x:t xml:space="preserve">P027</x:t>
        </x:is>
      </x:c>
      <x:c r="B327" s="16" t="n">
        <x:v>5</x:v>
      </x:c>
      <x:c r="C327" s="16" t="n">
        <x:v>11</x:v>
      </x:c>
      <x:c r="D327" s="16" t="inlineStr">
        <x:is>
          <x:t xml:space="preserve">V02</x:t>
        </x:is>
      </x:c>
      <x:c r="E327" s="16" t="inlineStr">
        <x:is>
          <x:t xml:space="preserve">Study</x:t>
        </x:is>
      </x:c>
      <x:c r="F327" s="16" t="inlineStr">
        <x:is>
          <x:t xml:space="preserve">BCC</x:t>
        </x:is>
      </x:c>
      <x:c r="G327" s="16" t="inlineStr">
        <x:is>
          <x:t xml:space="preserve">Muted</x:t>
        </x:is>
      </x:c>
      <x:c r="H327" s="16" t="inlineStr">
        <x:is>
          <x:t xml:space="preserve">Use mobile portrait playback</x:t>
        </x:is>
      </x:c>
      <x:c r="I327" s="16" t="inlineStr">
        <x:is>
          <x:t xml:space="preserve"/>
        </x:is>
      </x:c>
    </x:row>
    <x:row r="328">
      <x:c r="A328" s="17" t="inlineStr">
        <x:is>
          <x:t xml:space="preserve">P027</x:t>
        </x:is>
      </x:c>
      <x:c r="B328" s="17" t="n">
        <x:v>5</x:v>
      </x:c>
      <x:c r="C328" s="17" t="n">
        <x:v>12</x:v>
      </x:c>
      <x:c r="D328" s="17" t="inlineStr">
        <x:is>
          <x:t xml:space="preserve">V01</x:t>
        </x:is>
      </x:c>
      <x:c r="E328" s="17" t="inlineStr">
        <x:is>
          <x:t xml:space="preserve">Productivity</x:t>
        </x:is>
      </x:c>
      <x:c r="F328" s="17" t="inlineStr">
        <x:is>
          <x:t xml:space="preserve">Semantic compression</x:t>
        </x:is>
      </x:c>
      <x:c r="G328" s="17" t="inlineStr">
        <x:is>
          <x:t xml:space="preserve">Muted</x:t>
        </x:is>
      </x:c>
      <x:c r="H328" s="17" t="inlineStr">
        <x:is>
          <x:t xml:space="preserve">Use mobile portrait playback</x:t>
        </x:is>
      </x:c>
      <x:c r="I328" s="17" t="inlineStr">
        <x:is>
          <x:t xml:space="preserve"/>
        </x:is>
      </x:c>
    </x:row>
    <x:row r="329">
      <x:c r="A329" s="16" t="inlineStr">
        <x:is>
          <x:t xml:space="preserve">P028</x:t>
        </x:is>
      </x:c>
      <x:c r="B329" s="16" t="n">
        <x:v>5</x:v>
      </x:c>
      <x:c r="C329" s="16" t="n">
        <x:v>1</x:v>
      </x:c>
      <x:c r="D329" s="16" t="inlineStr">
        <x:is>
          <x:t xml:space="preserve">V02</x:t>
        </x:is>
      </x:c>
      <x:c r="E329" s="16" t="inlineStr">
        <x:is>
          <x:t xml:space="preserve">Study</x:t>
        </x:is>
      </x:c>
      <x:c r="F329" s="16" t="inlineStr">
        <x:is>
          <x:t xml:space="preserve">BCC+</x:t>
        </x:is>
      </x:c>
      <x:c r="G329" s="16" t="inlineStr">
        <x:is>
          <x:t xml:space="preserve">Muted</x:t>
        </x:is>
      </x:c>
      <x:c r="H329" s="16" t="inlineStr">
        <x:is>
          <x:t xml:space="preserve">Use mobile portrait playback</x:t>
        </x:is>
      </x:c>
      <x:c r="I329" s="16" t="inlineStr">
        <x:is>
          <x:t xml:space="preserve"/>
        </x:is>
      </x:c>
    </x:row>
    <x:row r="330">
      <x:c r="A330" s="17" t="inlineStr">
        <x:is>
          <x:t xml:space="preserve">P028</x:t>
        </x:is>
      </x:c>
      <x:c r="B330" s="17" t="n">
        <x:v>5</x:v>
      </x:c>
      <x:c r="C330" s="17" t="n">
        <x:v>2</x:v>
      </x:c>
      <x:c r="D330" s="17" t="inlineStr">
        <x:is>
          <x:t xml:space="preserve">V06</x:t>
        </x:is>
      </x:c>
      <x:c r="E330" s="17" t="inlineStr">
        <x:is>
          <x:t xml:space="preserve">Overload</x:t>
        </x:is>
      </x:c>
      <x:c r="F330" s="17" t="inlineStr">
        <x:is>
          <x:t xml:space="preserve">Semantic compression</x:t>
        </x:is>
      </x:c>
      <x:c r="G330" s="17" t="inlineStr">
        <x:is>
          <x:t xml:space="preserve">Muted</x:t>
        </x:is>
      </x:c>
      <x:c r="H330" s="17" t="inlineStr">
        <x:is>
          <x:t xml:space="preserve">Use mobile portrait playback</x:t>
        </x:is>
      </x:c>
      <x:c r="I330" s="17" t="inlineStr">
        <x:is>
          <x:t xml:space="preserve"/>
        </x:is>
      </x:c>
    </x:row>
    <x:row r="331">
      <x:c r="A331" s="16" t="inlineStr">
        <x:is>
          <x:t xml:space="preserve">P028</x:t>
        </x:is>
      </x:c>
      <x:c r="B331" s="16" t="n">
        <x:v>5</x:v>
      </x:c>
      <x:c r="C331" s="16" t="n">
        <x:v>3</x:v>
      </x:c>
      <x:c r="D331" s="16" t="inlineStr">
        <x:is>
          <x:t xml:space="preserve">V01</x:t>
        </x:is>
      </x:c>
      <x:c r="E331" s="16" t="inlineStr">
        <x:is>
          <x:t xml:space="preserve">Productivity</x:t>
        </x:is>
      </x:c>
      <x:c r="F331" s="16" t="inlineStr">
        <x:is>
          <x:t xml:space="preserve">BCC</x:t>
        </x:is>
      </x:c>
      <x:c r="G331" s="16" t="inlineStr">
        <x:is>
          <x:t xml:space="preserve">Muted</x:t>
        </x:is>
      </x:c>
      <x:c r="H331" s="16" t="inlineStr">
        <x:is>
          <x:t xml:space="preserve">Use mobile portrait playback</x:t>
        </x:is>
      </x:c>
      <x:c r="I331" s="16" t="inlineStr">
        <x:is>
          <x:t xml:space="preserve"/>
        </x:is>
      </x:c>
    </x:row>
    <x:row r="332">
      <x:c r="A332" s="17" t="inlineStr">
        <x:is>
          <x:t xml:space="preserve">P028</x:t>
        </x:is>
      </x:c>
      <x:c r="B332" s="17" t="n">
        <x:v>5</x:v>
      </x:c>
      <x:c r="C332" s="17" t="n">
        <x:v>4</x:v>
      </x:c>
      <x:c r="D332" s="17" t="inlineStr">
        <x:is>
          <x:t xml:space="preserve">V11</x:t>
        </x:is>
      </x:c>
      <x:c r="E332" s="17" t="inlineStr">
        <x:is>
          <x:t xml:space="preserve">Creator strategy</x:t>
        </x:is>
      </x:c>
      <x:c r="F332" s="17" t="inlineStr">
        <x:is>
          <x:t xml:space="preserve">Keyword highlight</x:t>
        </x:is>
      </x:c>
      <x:c r="G332" s="17" t="inlineStr">
        <x:is>
          <x:t xml:space="preserve">Muted</x:t>
        </x:is>
      </x:c>
      <x:c r="H332" s="17" t="inlineStr">
        <x:is>
          <x:t xml:space="preserve">Use mobile portrait playback</x:t>
        </x:is>
      </x:c>
      <x:c r="I332" s="17" t="inlineStr">
        <x:is>
          <x:t xml:space="preserve"/>
        </x:is>
      </x:c>
    </x:row>
    <x:row r="333">
      <x:c r="A333" s="16" t="inlineStr">
        <x:is>
          <x:t xml:space="preserve">P028</x:t>
        </x:is>
      </x:c>
      <x:c r="B333" s="16" t="n">
        <x:v>5</x:v>
      </x:c>
      <x:c r="C333" s="16" t="n">
        <x:v>5</x:v>
      </x:c>
      <x:c r="D333" s="16" t="inlineStr">
        <x:is>
          <x:t xml:space="preserve">V09</x:t>
        </x:is>
      </x:c>
      <x:c r="E333" s="16" t="inlineStr">
        <x:is>
          <x:t xml:space="preserve">Sleep habit</x:t>
        </x:is>
      </x:c>
      <x:c r="F333" s="16" t="inlineStr">
        <x:is>
          <x:t xml:space="preserve">Heavy bionic</x:t>
        </x:is>
      </x:c>
      <x:c r="G333" s="16" t="inlineStr">
        <x:is>
          <x:t xml:space="preserve">Muted</x:t>
        </x:is>
      </x:c>
      <x:c r="H333" s="16" t="inlineStr">
        <x:is>
          <x:t xml:space="preserve">Use mobile portrait playback</x:t>
        </x:is>
      </x:c>
      <x:c r="I333" s="16" t="inlineStr">
        <x:is>
          <x:t xml:space="preserve"/>
        </x:is>
      </x:c>
    </x:row>
    <x:row r="334">
      <x:c r="A334" s="17" t="inlineStr">
        <x:is>
          <x:t xml:space="preserve">P028</x:t>
        </x:is>
      </x:c>
      <x:c r="B334" s="17" t="n">
        <x:v>5</x:v>
      </x:c>
      <x:c r="C334" s="17" t="n">
        <x:v>6</x:v>
      </x:c>
      <x:c r="D334" s="17" t="inlineStr">
        <x:is>
          <x:t xml:space="preserve">V03</x:t>
        </x:is>
      </x:c>
      <x:c r="E334" s="17" t="inlineStr">
        <x:is>
          <x:t xml:space="preserve">Fitness</x:t>
        </x:is>
      </x:c>
      <x:c r="F334" s="17" t="inlineStr">
        <x:is>
          <x:t xml:space="preserve">Heavy bionic</x:t>
        </x:is>
      </x:c>
      <x:c r="G334" s="17" t="inlineStr">
        <x:is>
          <x:t xml:space="preserve">Muted</x:t>
        </x:is>
      </x:c>
      <x:c r="H334" s="17" t="inlineStr">
        <x:is>
          <x:t xml:space="preserve">Use mobile portrait playback</x:t>
        </x:is>
      </x:c>
      <x:c r="I334" s="17" t="inlineStr">
        <x:is>
          <x:t xml:space="preserve"/>
        </x:is>
      </x:c>
    </x:row>
    <x:row r="335">
      <x:c r="A335" s="16" t="inlineStr">
        <x:is>
          <x:t xml:space="preserve">P028</x:t>
        </x:is>
      </x:c>
      <x:c r="B335" s="16" t="n">
        <x:v>5</x:v>
      </x:c>
      <x:c r="C335" s="16" t="n">
        <x:v>7</x:v>
      </x:c>
      <x:c r="D335" s="16" t="inlineStr">
        <x:is>
          <x:t xml:space="preserve">V12</x:t>
        </x:is>
      </x:c>
      <x:c r="E335" s="16" t="inlineStr">
        <x:is>
          <x:t xml:space="preserve">Time management</x:t>
        </x:is>
      </x:c>
      <x:c r="F335" s="16" t="inlineStr">
        <x:is>
          <x:t xml:space="preserve">Semantic compression</x:t>
        </x:is>
      </x:c>
      <x:c r="G335" s="16" t="inlineStr">
        <x:is>
          <x:t xml:space="preserve">Muted</x:t>
        </x:is>
      </x:c>
      <x:c r="H335" s="16" t="inlineStr">
        <x:is>
          <x:t xml:space="preserve">Use mobile portrait playback</x:t>
        </x:is>
      </x:c>
      <x:c r="I335" s="16" t="inlineStr">
        <x:is>
          <x:t xml:space="preserve"/>
        </x:is>
      </x:c>
    </x:row>
    <x:row r="336">
      <x:c r="A336" s="17" t="inlineStr">
        <x:is>
          <x:t xml:space="preserve">P028</x:t>
        </x:is>
      </x:c>
      <x:c r="B336" s="17" t="n">
        <x:v>5</x:v>
      </x:c>
      <x:c r="C336" s="17" t="n">
        <x:v>8</x:v>
      </x:c>
      <x:c r="D336" s="17" t="inlineStr">
        <x:is>
          <x:t xml:space="preserve">V04</x:t>
        </x:is>
      </x:c>
      <x:c r="E336" s="17" t="inlineStr">
        <x:is>
          <x:t xml:space="preserve">Finance</x:t>
        </x:is>
      </x:c>
      <x:c r="F336" s="17" t="inlineStr">
        <x:is>
          <x:t xml:space="preserve">Full transcript</x:t>
        </x:is>
      </x:c>
      <x:c r="G336" s="17" t="inlineStr">
        <x:is>
          <x:t xml:space="preserve">Muted</x:t>
        </x:is>
      </x:c>
      <x:c r="H336" s="17" t="inlineStr">
        <x:is>
          <x:t xml:space="preserve">Use mobile portrait playback</x:t>
        </x:is>
      </x:c>
      <x:c r="I336" s="17" t="inlineStr">
        <x:is>
          <x:t xml:space="preserve"/>
        </x:is>
      </x:c>
    </x:row>
    <x:row r="337">
      <x:c r="A337" s="16" t="inlineStr">
        <x:is>
          <x:t xml:space="preserve">P028</x:t>
        </x:is>
      </x:c>
      <x:c r="B337" s="16" t="n">
        <x:v>5</x:v>
      </x:c>
      <x:c r="C337" s="16" t="n">
        <x:v>9</x:v>
      </x:c>
      <x:c r="D337" s="16" t="inlineStr">
        <x:is>
          <x:t xml:space="preserve">V05</x:t>
        </x:is>
      </x:c>
      <x:c r="E337" s="16" t="inlineStr">
        <x:is>
          <x:t xml:space="preserve">Tutorial</x:t>
        </x:is>
      </x:c>
      <x:c r="F337" s="16" t="inlineStr">
        <x:is>
          <x:t xml:space="preserve">Keyword highlight</x:t>
        </x:is>
      </x:c>
      <x:c r="G337" s="16" t="inlineStr">
        <x:is>
          <x:t xml:space="preserve">Muted</x:t>
        </x:is>
      </x:c>
      <x:c r="H337" s="16" t="inlineStr">
        <x:is>
          <x:t xml:space="preserve">Use mobile portrait playback</x:t>
        </x:is>
      </x:c>
      <x:c r="I337" s="16" t="inlineStr">
        <x:is>
          <x:t xml:space="preserve"/>
        </x:is>
      </x:c>
    </x:row>
    <x:row r="338">
      <x:c r="A338" s="17" t="inlineStr">
        <x:is>
          <x:t xml:space="preserve">P028</x:t>
        </x:is>
      </x:c>
      <x:c r="B338" s="17" t="n">
        <x:v>5</x:v>
      </x:c>
      <x:c r="C338" s="17" t="n">
        <x:v>10</x:v>
      </x:c>
      <x:c r="D338" s="17" t="inlineStr">
        <x:is>
          <x:t xml:space="preserve">V07</x:t>
        </x:is>
      </x:c>
      <x:c r="E338" s="17" t="inlineStr">
        <x:is>
          <x:t xml:space="preserve">Business</x:t>
        </x:is>
      </x:c>
      <x:c r="F338" s="17" t="inlineStr">
        <x:is>
          <x:t xml:space="preserve">BCC</x:t>
        </x:is>
      </x:c>
      <x:c r="G338" s="17" t="inlineStr">
        <x:is>
          <x:t xml:space="preserve">Muted</x:t>
        </x:is>
      </x:c>
      <x:c r="H338" s="17" t="inlineStr">
        <x:is>
          <x:t xml:space="preserve">Use mobile portrait playback</x:t>
        </x:is>
      </x:c>
      <x:c r="I338" s="17" t="inlineStr">
        <x:is>
          <x:t xml:space="preserve"/>
        </x:is>
      </x:c>
    </x:row>
    <x:row r="339">
      <x:c r="A339" s="16" t="inlineStr">
        <x:is>
          <x:t xml:space="preserve">P028</x:t>
        </x:is>
      </x:c>
      <x:c r="B339" s="16" t="n">
        <x:v>5</x:v>
      </x:c>
      <x:c r="C339" s="16" t="n">
        <x:v>11</x:v>
      </x:c>
      <x:c r="D339" s="16" t="inlineStr">
        <x:is>
          <x:t xml:space="preserve">V10</x:t>
        </x:is>
      </x:c>
      <x:c r="E339" s="16" t="inlineStr">
        <x:is>
          <x:t xml:space="preserve">Product demo</x:t>
        </x:is>
      </x:c>
      <x:c r="F339" s="16" t="inlineStr">
        <x:is>
          <x:t xml:space="preserve">Full transcript</x:t>
        </x:is>
      </x:c>
      <x:c r="G339" s="16" t="inlineStr">
        <x:is>
          <x:t xml:space="preserve">Muted</x:t>
        </x:is>
      </x:c>
      <x:c r="H339" s="16" t="inlineStr">
        <x:is>
          <x:t xml:space="preserve">Use mobile portrait playback</x:t>
        </x:is>
      </x:c>
      <x:c r="I339" s="16" t="inlineStr">
        <x:is>
          <x:t xml:space="preserve"/>
        </x:is>
      </x:c>
    </x:row>
    <x:row r="340">
      <x:c r="A340" s="17" t="inlineStr">
        <x:is>
          <x:t xml:space="preserve">P028</x:t>
        </x:is>
      </x:c>
      <x:c r="B340" s="17" t="n">
        <x:v>5</x:v>
      </x:c>
      <x:c r="C340" s="17" t="n">
        <x:v>12</x:v>
      </x:c>
      <x:c r="D340" s="17" t="inlineStr">
        <x:is>
          <x:t xml:space="preserve">V08</x:t>
        </x:is>
      </x:c>
      <x:c r="E340" s="17" t="inlineStr">
        <x:is>
          <x:t xml:space="preserve">Coding</x:t>
        </x:is>
      </x:c>
      <x:c r="F340" s="17" t="inlineStr">
        <x:is>
          <x:t xml:space="preserve">BCC+</x:t>
        </x:is>
      </x:c>
      <x:c r="G340" s="17" t="inlineStr">
        <x:is>
          <x:t xml:space="preserve">Muted</x:t>
        </x:is>
      </x:c>
      <x:c r="H340" s="17" t="inlineStr">
        <x:is>
          <x:t xml:space="preserve">Use mobile portrait playback</x:t>
        </x:is>
      </x:c>
      <x:c r="I340" s="17" t="inlineStr">
        <x:is>
          <x:t xml:space="preserve"/>
        </x:is>
      </x:c>
    </x:row>
    <x:row r="341">
      <x:c r="A341" s="16" t="inlineStr">
        <x:is>
          <x:t xml:space="preserve">P029</x:t>
        </x:is>
      </x:c>
      <x:c r="B341" s="16" t="n">
        <x:v>5</x:v>
      </x:c>
      <x:c r="C341" s="16" t="n">
        <x:v>1</x:v>
      </x:c>
      <x:c r="D341" s="16" t="inlineStr">
        <x:is>
          <x:t xml:space="preserve">V01</x:t>
        </x:is>
      </x:c>
      <x:c r="E341" s="16" t="inlineStr">
        <x:is>
          <x:t xml:space="preserve">Productivity</x:t>
        </x:is>
      </x:c>
      <x:c r="F341" s="16" t="inlineStr">
        <x:is>
          <x:t xml:space="preserve">BCC+</x:t>
        </x:is>
      </x:c>
      <x:c r="G341" s="16" t="inlineStr">
        <x:is>
          <x:t xml:space="preserve">Muted</x:t>
        </x:is>
      </x:c>
      <x:c r="H341" s="16" t="inlineStr">
        <x:is>
          <x:t xml:space="preserve">Use mobile portrait playback</x:t>
        </x:is>
      </x:c>
      <x:c r="I341" s="16" t="inlineStr">
        <x:is>
          <x:t xml:space="preserve"/>
        </x:is>
      </x:c>
    </x:row>
    <x:row r="342">
      <x:c r="A342" s="17" t="inlineStr">
        <x:is>
          <x:t xml:space="preserve">P029</x:t>
        </x:is>
      </x:c>
      <x:c r="B342" s="17" t="n">
        <x:v>5</x:v>
      </x:c>
      <x:c r="C342" s="17" t="n">
        <x:v>2</x:v>
      </x:c>
      <x:c r="D342" s="17" t="inlineStr">
        <x:is>
          <x:t xml:space="preserve">V08</x:t>
        </x:is>
      </x:c>
      <x:c r="E342" s="17" t="inlineStr">
        <x:is>
          <x:t xml:space="preserve">Coding</x:t>
        </x:is>
      </x:c>
      <x:c r="F342" s="17" t="inlineStr">
        <x:is>
          <x:t xml:space="preserve">Heavy bionic</x:t>
        </x:is>
      </x:c>
      <x:c r="G342" s="17" t="inlineStr">
        <x:is>
          <x:t xml:space="preserve">Muted</x:t>
        </x:is>
      </x:c>
      <x:c r="H342" s="17" t="inlineStr">
        <x:is>
          <x:t xml:space="preserve">Use mobile portrait playback</x:t>
        </x:is>
      </x:c>
      <x:c r="I342" s="17" t="inlineStr">
        <x:is>
          <x:t xml:space="preserve"/>
        </x:is>
      </x:c>
    </x:row>
    <x:row r="343">
      <x:c r="A343" s="16" t="inlineStr">
        <x:is>
          <x:t xml:space="preserve">P029</x:t>
        </x:is>
      </x:c>
      <x:c r="B343" s="16" t="n">
        <x:v>5</x:v>
      </x:c>
      <x:c r="C343" s="16" t="n">
        <x:v>3</x:v>
      </x:c>
      <x:c r="D343" s="16" t="inlineStr">
        <x:is>
          <x:t xml:space="preserve">V02</x:t>
        </x:is>
      </x:c>
      <x:c r="E343" s="16" t="inlineStr">
        <x:is>
          <x:t xml:space="preserve">Study</x:t>
        </x:is>
      </x:c>
      <x:c r="F343" s="16" t="inlineStr">
        <x:is>
          <x:t xml:space="preserve">Heavy bionic</x:t>
        </x:is>
      </x:c>
      <x:c r="G343" s="16" t="inlineStr">
        <x:is>
          <x:t xml:space="preserve">Muted</x:t>
        </x:is>
      </x:c>
      <x:c r="H343" s="16" t="inlineStr">
        <x:is>
          <x:t xml:space="preserve">Use mobile portrait playback</x:t>
        </x:is>
      </x:c>
      <x:c r="I343" s="16" t="inlineStr">
        <x:is>
          <x:t xml:space="preserve"/>
        </x:is>
      </x:c>
    </x:row>
    <x:row r="344">
      <x:c r="A344" s="17" t="inlineStr">
        <x:is>
          <x:t xml:space="preserve">P029</x:t>
        </x:is>
      </x:c>
      <x:c r="B344" s="17" t="n">
        <x:v>5</x:v>
      </x:c>
      <x:c r="C344" s="17" t="n">
        <x:v>4</x:v>
      </x:c>
      <x:c r="D344" s="17" t="inlineStr">
        <x:is>
          <x:t xml:space="preserve">V04</x:t>
        </x:is>
      </x:c>
      <x:c r="E344" s="17" t="inlineStr">
        <x:is>
          <x:t xml:space="preserve">Finance</x:t>
        </x:is>
      </x:c>
      <x:c r="F344" s="17" t="inlineStr">
        <x:is>
          <x:t xml:space="preserve">Keyword highlight</x:t>
        </x:is>
      </x:c>
      <x:c r="G344" s="17" t="inlineStr">
        <x:is>
          <x:t xml:space="preserve">Muted</x:t>
        </x:is>
      </x:c>
      <x:c r="H344" s="17" t="inlineStr">
        <x:is>
          <x:t xml:space="preserve">Use mobile portrait playback</x:t>
        </x:is>
      </x:c>
      <x:c r="I344" s="17" t="inlineStr">
        <x:is>
          <x:t xml:space="preserve"/>
        </x:is>
      </x:c>
    </x:row>
    <x:row r="345">
      <x:c r="A345" s="16" t="inlineStr">
        <x:is>
          <x:t xml:space="preserve">P029</x:t>
        </x:is>
      </x:c>
      <x:c r="B345" s="16" t="n">
        <x:v>5</x:v>
      </x:c>
      <x:c r="C345" s="16" t="n">
        <x:v>5</x:v>
      </x:c>
      <x:c r="D345" s="16" t="inlineStr">
        <x:is>
          <x:t xml:space="preserve">V07</x:t>
        </x:is>
      </x:c>
      <x:c r="E345" s="16" t="inlineStr">
        <x:is>
          <x:t xml:space="preserve">Business</x:t>
        </x:is>
      </x:c>
      <x:c r="F345" s="16" t="inlineStr">
        <x:is>
          <x:t xml:space="preserve">BCC+</x:t>
        </x:is>
      </x:c>
      <x:c r="G345" s="16" t="inlineStr">
        <x:is>
          <x:t xml:space="preserve">Muted</x:t>
        </x:is>
      </x:c>
      <x:c r="H345" s="16" t="inlineStr">
        <x:is>
          <x:t xml:space="preserve">Use mobile portrait playback</x:t>
        </x:is>
      </x:c>
      <x:c r="I345" s="16" t="inlineStr">
        <x:is>
          <x:t xml:space="preserve"/>
        </x:is>
      </x:c>
    </x:row>
    <x:row r="346">
      <x:c r="A346" s="17" t="inlineStr">
        <x:is>
          <x:t xml:space="preserve">P029</x:t>
        </x:is>
      </x:c>
      <x:c r="B346" s="17" t="n">
        <x:v>5</x:v>
      </x:c>
      <x:c r="C346" s="17" t="n">
        <x:v>6</x:v>
      </x:c>
      <x:c r="D346" s="17" t="inlineStr">
        <x:is>
          <x:t xml:space="preserve">V11</x:t>
        </x:is>
      </x:c>
      <x:c r="E346" s="17" t="inlineStr">
        <x:is>
          <x:t xml:space="preserve">Creator strategy</x:t>
        </x:is>
      </x:c>
      <x:c r="F346" s="17" t="inlineStr">
        <x:is>
          <x:t xml:space="preserve">Semantic compression</x:t>
        </x:is>
      </x:c>
      <x:c r="G346" s="17" t="inlineStr">
        <x:is>
          <x:t xml:space="preserve">Muted</x:t>
        </x:is>
      </x:c>
      <x:c r="H346" s="17" t="inlineStr">
        <x:is>
          <x:t xml:space="preserve">Use mobile portrait playback</x:t>
        </x:is>
      </x:c>
      <x:c r="I346" s="17" t="inlineStr">
        <x:is>
          <x:t xml:space="preserve"/>
        </x:is>
      </x:c>
    </x:row>
    <x:row r="347">
      <x:c r="A347" s="16" t="inlineStr">
        <x:is>
          <x:t xml:space="preserve">P029</x:t>
        </x:is>
      </x:c>
      <x:c r="B347" s="16" t="n">
        <x:v>5</x:v>
      </x:c>
      <x:c r="C347" s="16" t="n">
        <x:v>7</x:v>
      </x:c>
      <x:c r="D347" s="16" t="inlineStr">
        <x:is>
          <x:t xml:space="preserve">V06</x:t>
        </x:is>
      </x:c>
      <x:c r="E347" s="16" t="inlineStr">
        <x:is>
          <x:t xml:space="preserve">Overload</x:t>
        </x:is>
      </x:c>
      <x:c r="F347" s="16" t="inlineStr">
        <x:is>
          <x:t xml:space="preserve">BCC</x:t>
        </x:is>
      </x:c>
      <x:c r="G347" s="16" t="inlineStr">
        <x:is>
          <x:t xml:space="preserve">Muted</x:t>
        </x:is>
      </x:c>
      <x:c r="H347" s="16" t="inlineStr">
        <x:is>
          <x:t xml:space="preserve">Use mobile portrait playback</x:t>
        </x:is>
      </x:c>
      <x:c r="I347" s="16" t="inlineStr">
        <x:is>
          <x:t xml:space="preserve"/>
        </x:is>
      </x:c>
    </x:row>
    <x:row r="348">
      <x:c r="A348" s="17" t="inlineStr">
        <x:is>
          <x:t xml:space="preserve">P029</x:t>
        </x:is>
      </x:c>
      <x:c r="B348" s="17" t="n">
        <x:v>5</x:v>
      </x:c>
      <x:c r="C348" s="17" t="n">
        <x:v>8</x:v>
      </x:c>
      <x:c r="D348" s="17" t="inlineStr">
        <x:is>
          <x:t xml:space="preserve">V03</x:t>
        </x:is>
      </x:c>
      <x:c r="E348" s="17" t="inlineStr">
        <x:is>
          <x:t xml:space="preserve">Fitness</x:t>
        </x:is>
      </x:c>
      <x:c r="F348" s="17" t="inlineStr">
        <x:is>
          <x:t xml:space="preserve">Full transcript</x:t>
        </x:is>
      </x:c>
      <x:c r="G348" s="17" t="inlineStr">
        <x:is>
          <x:t xml:space="preserve">Muted</x:t>
        </x:is>
      </x:c>
      <x:c r="H348" s="17" t="inlineStr">
        <x:is>
          <x:t xml:space="preserve">Use mobile portrait playback</x:t>
        </x:is>
      </x:c>
      <x:c r="I348" s="17" t="inlineStr">
        <x:is>
          <x:t xml:space="preserve"/>
        </x:is>
      </x:c>
    </x:row>
    <x:row r="349">
      <x:c r="A349" s="16" t="inlineStr">
        <x:is>
          <x:t xml:space="preserve">P029</x:t>
        </x:is>
      </x:c>
      <x:c r="B349" s="16" t="n">
        <x:v>5</x:v>
      </x:c>
      <x:c r="C349" s="16" t="n">
        <x:v>9</x:v>
      </x:c>
      <x:c r="D349" s="16" t="inlineStr">
        <x:is>
          <x:t xml:space="preserve">V09</x:t>
        </x:is>
      </x:c>
      <x:c r="E349" s="16" t="inlineStr">
        <x:is>
          <x:t xml:space="preserve">Sleep habit</x:t>
        </x:is>
      </x:c>
      <x:c r="F349" s="16" t="inlineStr">
        <x:is>
          <x:t xml:space="preserve">Full transcript</x:t>
        </x:is>
      </x:c>
      <x:c r="G349" s="16" t="inlineStr">
        <x:is>
          <x:t xml:space="preserve">Muted</x:t>
        </x:is>
      </x:c>
      <x:c r="H349" s="16" t="inlineStr">
        <x:is>
          <x:t xml:space="preserve">Use mobile portrait playback</x:t>
        </x:is>
      </x:c>
      <x:c r="I349" s="16" t="inlineStr">
        <x:is>
          <x:t xml:space="preserve"/>
        </x:is>
      </x:c>
    </x:row>
    <x:row r="350">
      <x:c r="A350" s="17" t="inlineStr">
        <x:is>
          <x:t xml:space="preserve">P029</x:t>
        </x:is>
      </x:c>
      <x:c r="B350" s="17" t="n">
        <x:v>5</x:v>
      </x:c>
      <x:c r="C350" s="17" t="n">
        <x:v>10</x:v>
      </x:c>
      <x:c r="D350" s="17" t="inlineStr">
        <x:is>
          <x:t xml:space="preserve">V12</x:t>
        </x:is>
      </x:c>
      <x:c r="E350" s="17" t="inlineStr">
        <x:is>
          <x:t xml:space="preserve">Time management</x:t>
        </x:is>
      </x:c>
      <x:c r="F350" s="17" t="inlineStr">
        <x:is>
          <x:t xml:space="preserve">BCC</x:t>
        </x:is>
      </x:c>
      <x:c r="G350" s="17" t="inlineStr">
        <x:is>
          <x:t xml:space="preserve">Muted</x:t>
        </x:is>
      </x:c>
      <x:c r="H350" s="17" t="inlineStr">
        <x:is>
          <x:t xml:space="preserve">Use mobile portrait playback</x:t>
        </x:is>
      </x:c>
      <x:c r="I350" s="17" t="inlineStr">
        <x:is>
          <x:t xml:space="preserve"/>
        </x:is>
      </x:c>
    </x:row>
    <x:row r="351">
      <x:c r="A351" s="16" t="inlineStr">
        <x:is>
          <x:t xml:space="preserve">P029</x:t>
        </x:is>
      </x:c>
      <x:c r="B351" s="16" t="n">
        <x:v>5</x:v>
      </x:c>
      <x:c r="C351" s="16" t="n">
        <x:v>11</x:v>
      </x:c>
      <x:c r="D351" s="16" t="inlineStr">
        <x:is>
          <x:t xml:space="preserve">V05</x:t>
        </x:is>
      </x:c>
      <x:c r="E351" s="16" t="inlineStr">
        <x:is>
          <x:t xml:space="preserve">Tutorial</x:t>
        </x:is>
      </x:c>
      <x:c r="F351" s="16" t="inlineStr">
        <x:is>
          <x:t xml:space="preserve">Semantic compression</x:t>
        </x:is>
      </x:c>
      <x:c r="G351" s="16" t="inlineStr">
        <x:is>
          <x:t xml:space="preserve">Muted</x:t>
        </x:is>
      </x:c>
      <x:c r="H351" s="16" t="inlineStr">
        <x:is>
          <x:t xml:space="preserve">Use mobile portrait playback</x:t>
        </x:is>
      </x:c>
      <x:c r="I351" s="16" t="inlineStr">
        <x:is>
          <x:t xml:space="preserve"/>
        </x:is>
      </x:c>
    </x:row>
    <x:row r="352">
      <x:c r="A352" s="17" t="inlineStr">
        <x:is>
          <x:t xml:space="preserve">P029</x:t>
        </x:is>
      </x:c>
      <x:c r="B352" s="17" t="n">
        <x:v>5</x:v>
      </x:c>
      <x:c r="C352" s="17" t="n">
        <x:v>12</x:v>
      </x:c>
      <x:c r="D352" s="17" t="inlineStr">
        <x:is>
          <x:t xml:space="preserve">V10</x:t>
        </x:is>
      </x:c>
      <x:c r="E352" s="17" t="inlineStr">
        <x:is>
          <x:t xml:space="preserve">Product demo</x:t>
        </x:is>
      </x:c>
      <x:c r="F352" s="17" t="inlineStr">
        <x:is>
          <x:t xml:space="preserve">Keyword highlight</x:t>
        </x:is>
      </x:c>
      <x:c r="G352" s="17" t="inlineStr">
        <x:is>
          <x:t xml:space="preserve">Muted</x:t>
        </x:is>
      </x:c>
      <x:c r="H352" s="17" t="inlineStr">
        <x:is>
          <x:t xml:space="preserve">Use mobile portrait playback</x:t>
        </x:is>
      </x:c>
      <x:c r="I352" s="17" t="inlineStr">
        <x:is>
          <x:t xml:space="preserve"/>
        </x:is>
      </x:c>
    </x:row>
    <x:row r="353">
      <x:c r="A353" s="16" t="inlineStr">
        <x:is>
          <x:t xml:space="preserve">P030</x:t>
        </x:is>
      </x:c>
      <x:c r="B353" s="16" t="n">
        <x:v>5</x:v>
      </x:c>
      <x:c r="C353" s="16" t="n">
        <x:v>1</x:v>
      </x:c>
      <x:c r="D353" s="16" t="inlineStr">
        <x:is>
          <x:t xml:space="preserve">V09</x:t>
        </x:is>
      </x:c>
      <x:c r="E353" s="16" t="inlineStr">
        <x:is>
          <x:t xml:space="preserve">Sleep habit</x:t>
        </x:is>
      </x:c>
      <x:c r="F353" s="16" t="inlineStr">
        <x:is>
          <x:t xml:space="preserve">Keyword highlight</x:t>
        </x:is>
      </x:c>
      <x:c r="G353" s="16" t="inlineStr">
        <x:is>
          <x:t xml:space="preserve">Muted</x:t>
        </x:is>
      </x:c>
      <x:c r="H353" s="16" t="inlineStr">
        <x:is>
          <x:t xml:space="preserve">Use mobile portrait playback</x:t>
        </x:is>
      </x:c>
      <x:c r="I353" s="16" t="inlineStr">
        <x:is>
          <x:t xml:space="preserve"/>
        </x:is>
      </x:c>
    </x:row>
    <x:row r="354">
      <x:c r="A354" s="17" t="inlineStr">
        <x:is>
          <x:t xml:space="preserve">P030</x:t>
        </x:is>
      </x:c>
      <x:c r="B354" s="17" t="n">
        <x:v>5</x:v>
      </x:c>
      <x:c r="C354" s="17" t="n">
        <x:v>2</x:v>
      </x:c>
      <x:c r="D354" s="17" t="inlineStr">
        <x:is>
          <x:t xml:space="preserve">V06</x:t>
        </x:is>
      </x:c>
      <x:c r="E354" s="17" t="inlineStr">
        <x:is>
          <x:t xml:space="preserve">Overload</x:t>
        </x:is>
      </x:c>
      <x:c r="F354" s="17" t="inlineStr">
        <x:is>
          <x:t xml:space="preserve">BCC+</x:t>
        </x:is>
      </x:c>
      <x:c r="G354" s="17" t="inlineStr">
        <x:is>
          <x:t xml:space="preserve">Muted</x:t>
        </x:is>
      </x:c>
      <x:c r="H354" s="17" t="inlineStr">
        <x:is>
          <x:t xml:space="preserve">Use mobile portrait playback</x:t>
        </x:is>
      </x:c>
      <x:c r="I354" s="17" t="inlineStr">
        <x:is>
          <x:t xml:space="preserve"/>
        </x:is>
      </x:c>
    </x:row>
    <x:row r="355">
      <x:c r="A355" s="16" t="inlineStr">
        <x:is>
          <x:t xml:space="preserve">P030</x:t>
        </x:is>
      </x:c>
      <x:c r="B355" s="16" t="n">
        <x:v>5</x:v>
      </x:c>
      <x:c r="C355" s="16" t="n">
        <x:v>3</x:v>
      </x:c>
      <x:c r="D355" s="16" t="inlineStr">
        <x:is>
          <x:t xml:space="preserve">V02</x:t>
        </x:is>
      </x:c>
      <x:c r="E355" s="16" t="inlineStr">
        <x:is>
          <x:t xml:space="preserve">Study</x:t>
        </x:is>
      </x:c>
      <x:c r="F355" s="16" t="inlineStr">
        <x:is>
          <x:t xml:space="preserve">Full transcript</x:t>
        </x:is>
      </x:c>
      <x:c r="G355" s="16" t="inlineStr">
        <x:is>
          <x:t xml:space="preserve">Muted</x:t>
        </x:is>
      </x:c>
      <x:c r="H355" s="16" t="inlineStr">
        <x:is>
          <x:t xml:space="preserve">Use mobile portrait playback</x:t>
        </x:is>
      </x:c>
      <x:c r="I355" s="16" t="inlineStr">
        <x:is>
          <x:t xml:space="preserve"/>
        </x:is>
      </x:c>
    </x:row>
    <x:row r="356">
      <x:c r="A356" s="17" t="inlineStr">
        <x:is>
          <x:t xml:space="preserve">P030</x:t>
        </x:is>
      </x:c>
      <x:c r="B356" s="17" t="n">
        <x:v>5</x:v>
      </x:c>
      <x:c r="C356" s="17" t="n">
        <x:v>4</x:v>
      </x:c>
      <x:c r="D356" s="17" t="inlineStr">
        <x:is>
          <x:t xml:space="preserve">V12</x:t>
        </x:is>
      </x:c>
      <x:c r="E356" s="17" t="inlineStr">
        <x:is>
          <x:t xml:space="preserve">Time management</x:t>
        </x:is>
      </x:c>
      <x:c r="F356" s="17" t="inlineStr">
        <x:is>
          <x:t xml:space="preserve">BCC+</x:t>
        </x:is>
      </x:c>
      <x:c r="G356" s="17" t="inlineStr">
        <x:is>
          <x:t xml:space="preserve">Muted</x:t>
        </x:is>
      </x:c>
      <x:c r="H356" s="17" t="inlineStr">
        <x:is>
          <x:t xml:space="preserve">Use mobile portrait playback</x:t>
        </x:is>
      </x:c>
      <x:c r="I356" s="17" t="inlineStr">
        <x:is>
          <x:t xml:space="preserve"/>
        </x:is>
      </x:c>
    </x:row>
    <x:row r="357">
      <x:c r="A357" s="16" t="inlineStr">
        <x:is>
          <x:t xml:space="preserve">P030</x:t>
        </x:is>
      </x:c>
      <x:c r="B357" s="16" t="n">
        <x:v>5</x:v>
      </x:c>
      <x:c r="C357" s="16" t="n">
        <x:v>5</x:v>
      </x:c>
      <x:c r="D357" s="16" t="inlineStr">
        <x:is>
          <x:t xml:space="preserve">V11</x:t>
        </x:is>
      </x:c>
      <x:c r="E357" s="16" t="inlineStr">
        <x:is>
          <x:t xml:space="preserve">Creator strategy</x:t>
        </x:is>
      </x:c>
      <x:c r="F357" s="16" t="inlineStr">
        <x:is>
          <x:t xml:space="preserve">BCC</x:t>
        </x:is>
      </x:c>
      <x:c r="G357" s="16" t="inlineStr">
        <x:is>
          <x:t xml:space="preserve">Muted</x:t>
        </x:is>
      </x:c>
      <x:c r="H357" s="16" t="inlineStr">
        <x:is>
          <x:t xml:space="preserve">Use mobile portrait playback</x:t>
        </x:is>
      </x:c>
      <x:c r="I357" s="16" t="inlineStr">
        <x:is>
          <x:t xml:space="preserve"/>
        </x:is>
      </x:c>
    </x:row>
    <x:row r="358">
      <x:c r="A358" s="17" t="inlineStr">
        <x:is>
          <x:t xml:space="preserve">P030</x:t>
        </x:is>
      </x:c>
      <x:c r="B358" s="17" t="n">
        <x:v>5</x:v>
      </x:c>
      <x:c r="C358" s="17" t="n">
        <x:v>6</x:v>
      </x:c>
      <x:c r="D358" s="17" t="inlineStr">
        <x:is>
          <x:t xml:space="preserve">V05</x:t>
        </x:is>
      </x:c>
      <x:c r="E358" s="17" t="inlineStr">
        <x:is>
          <x:t xml:space="preserve">Tutorial</x:t>
        </x:is>
      </x:c>
      <x:c r="F358" s="17" t="inlineStr">
        <x:is>
          <x:t xml:space="preserve">BCC</x:t>
        </x:is>
      </x:c>
      <x:c r="G358" s="17" t="inlineStr">
        <x:is>
          <x:t xml:space="preserve">Muted</x:t>
        </x:is>
      </x:c>
      <x:c r="H358" s="17" t="inlineStr">
        <x:is>
          <x:t xml:space="preserve">Use mobile portrait playback</x:t>
        </x:is>
      </x:c>
      <x:c r="I358" s="17" t="inlineStr">
        <x:is>
          <x:t xml:space="preserve"/>
        </x:is>
      </x:c>
    </x:row>
    <x:row r="359">
      <x:c r="A359" s="16" t="inlineStr">
        <x:is>
          <x:t xml:space="preserve">P030</x:t>
        </x:is>
      </x:c>
      <x:c r="B359" s="16" t="n">
        <x:v>5</x:v>
      </x:c>
      <x:c r="C359" s="16" t="n">
        <x:v>7</x:v>
      </x:c>
      <x:c r="D359" s="16" t="inlineStr">
        <x:is>
          <x:t xml:space="preserve">V08</x:t>
        </x:is>
      </x:c>
      <x:c r="E359" s="16" t="inlineStr">
        <x:is>
          <x:t xml:space="preserve">Coding</x:t>
        </x:is>
      </x:c>
      <x:c r="F359" s="16" t="inlineStr">
        <x:is>
          <x:t xml:space="preserve">Full transcript</x:t>
        </x:is>
      </x:c>
      <x:c r="G359" s="16" t="inlineStr">
        <x:is>
          <x:t xml:space="preserve">Muted</x:t>
        </x:is>
      </x:c>
      <x:c r="H359" s="16" t="inlineStr">
        <x:is>
          <x:t xml:space="preserve">Use mobile portrait playback</x:t>
        </x:is>
      </x:c>
      <x:c r="I359" s="16" t="inlineStr">
        <x:is>
          <x:t xml:space="preserve"/>
        </x:is>
      </x:c>
    </x:row>
    <x:row r="360">
      <x:c r="A360" s="17" t="inlineStr">
        <x:is>
          <x:t xml:space="preserve">P030</x:t>
        </x:is>
      </x:c>
      <x:c r="B360" s="17" t="n">
        <x:v>5</x:v>
      </x:c>
      <x:c r="C360" s="17" t="n">
        <x:v>8</x:v>
      </x:c>
      <x:c r="D360" s="17" t="inlineStr">
        <x:is>
          <x:t xml:space="preserve">V04</x:t>
        </x:is>
      </x:c>
      <x:c r="E360" s="17" t="inlineStr">
        <x:is>
          <x:t xml:space="preserve">Finance</x:t>
        </x:is>
      </x:c>
      <x:c r="F360" s="17" t="inlineStr">
        <x:is>
          <x:t xml:space="preserve">Semantic compression</x:t>
        </x:is>
      </x:c>
      <x:c r="G360" s="17" t="inlineStr">
        <x:is>
          <x:t xml:space="preserve">Muted</x:t>
        </x:is>
      </x:c>
      <x:c r="H360" s="17" t="inlineStr">
        <x:is>
          <x:t xml:space="preserve">Use mobile portrait playback</x:t>
        </x:is>
      </x:c>
      <x:c r="I360" s="17" t="inlineStr">
        <x:is>
          <x:t xml:space="preserve"/>
        </x:is>
      </x:c>
    </x:row>
    <x:row r="361">
      <x:c r="A361" s="16" t="inlineStr">
        <x:is>
          <x:t xml:space="preserve">P030</x:t>
        </x:is>
      </x:c>
      <x:c r="B361" s="16" t="n">
        <x:v>5</x:v>
      </x:c>
      <x:c r="C361" s="16" t="n">
        <x:v>9</x:v>
      </x:c>
      <x:c r="D361" s="16" t="inlineStr">
        <x:is>
          <x:t xml:space="preserve">V03</x:t>
        </x:is>
      </x:c>
      <x:c r="E361" s="16" t="inlineStr">
        <x:is>
          <x:t xml:space="preserve">Fitness</x:t>
        </x:is>
      </x:c>
      <x:c r="F361" s="16" t="inlineStr">
        <x:is>
          <x:t xml:space="preserve">Keyword highlight</x:t>
        </x:is>
      </x:c>
      <x:c r="G361" s="16" t="inlineStr">
        <x:is>
          <x:t xml:space="preserve">Muted</x:t>
        </x:is>
      </x:c>
      <x:c r="H361" s="16" t="inlineStr">
        <x:is>
          <x:t xml:space="preserve">Use mobile portrait playback</x:t>
        </x:is>
      </x:c>
      <x:c r="I361" s="16" t="inlineStr">
        <x:is>
          <x:t xml:space="preserve"/>
        </x:is>
      </x:c>
    </x:row>
    <x:row r="362">
      <x:c r="A362" s="17" t="inlineStr">
        <x:is>
          <x:t xml:space="preserve">P030</x:t>
        </x:is>
      </x:c>
      <x:c r="B362" s="17" t="n">
        <x:v>5</x:v>
      </x:c>
      <x:c r="C362" s="17" t="n">
        <x:v>10</x:v>
      </x:c>
      <x:c r="D362" s="17" t="inlineStr">
        <x:is>
          <x:t xml:space="preserve">V10</x:t>
        </x:is>
      </x:c>
      <x:c r="E362" s="17" t="inlineStr">
        <x:is>
          <x:t xml:space="preserve">Product demo</x:t>
        </x:is>
      </x:c>
      <x:c r="F362" s="17" t="inlineStr">
        <x:is>
          <x:t xml:space="preserve">Semantic compression</x:t>
        </x:is>
      </x:c>
      <x:c r="G362" s="17" t="inlineStr">
        <x:is>
          <x:t xml:space="preserve">Muted</x:t>
        </x:is>
      </x:c>
      <x:c r="H362" s="17" t="inlineStr">
        <x:is>
          <x:t xml:space="preserve">Use mobile portrait playback</x:t>
        </x:is>
      </x:c>
      <x:c r="I362" s="17" t="inlineStr">
        <x:is>
          <x:t xml:space="preserve"/>
        </x:is>
      </x:c>
    </x:row>
    <x:row r="363">
      <x:c r="A363" s="16" t="inlineStr">
        <x:is>
          <x:t xml:space="preserve">P030</x:t>
        </x:is>
      </x:c>
      <x:c r="B363" s="16" t="n">
        <x:v>5</x:v>
      </x:c>
      <x:c r="C363" s="16" t="n">
        <x:v>11</x:v>
      </x:c>
      <x:c r="D363" s="16" t="inlineStr">
        <x:is>
          <x:t xml:space="preserve">V07</x:t>
        </x:is>
      </x:c>
      <x:c r="E363" s="16" t="inlineStr">
        <x:is>
          <x:t xml:space="preserve">Business</x:t>
        </x:is>
      </x:c>
      <x:c r="F363" s="16" t="inlineStr">
        <x:is>
          <x:t xml:space="preserve">Heavy bionic</x:t>
        </x:is>
      </x:c>
      <x:c r="G363" s="16" t="inlineStr">
        <x:is>
          <x:t xml:space="preserve">Muted</x:t>
        </x:is>
      </x:c>
      <x:c r="H363" s="16" t="inlineStr">
        <x:is>
          <x:t xml:space="preserve">Use mobile portrait playback</x:t>
        </x:is>
      </x:c>
      <x:c r="I363" s="16" t="inlineStr">
        <x:is>
          <x:t xml:space="preserve"/>
        </x:is>
      </x:c>
    </x:row>
    <x:row r="364">
      <x:c r="A364" s="17" t="inlineStr">
        <x:is>
          <x:t xml:space="preserve">P030</x:t>
        </x:is>
      </x:c>
      <x:c r="B364" s="17" t="n">
        <x:v>5</x:v>
      </x:c>
      <x:c r="C364" s="17" t="n">
        <x:v>12</x:v>
      </x:c>
      <x:c r="D364" s="17" t="inlineStr">
        <x:is>
          <x:t xml:space="preserve">V01</x:t>
        </x:is>
      </x:c>
      <x:c r="E364" s="17" t="inlineStr">
        <x:is>
          <x:t xml:space="preserve">Productivity</x:t>
        </x:is>
      </x:c>
      <x:c r="F364" s="17" t="inlineStr">
        <x:is>
          <x:t xml:space="preserve">Heavy bionic</x:t>
        </x:is>
      </x:c>
      <x:c r="G364" s="17" t="inlineStr">
        <x:is>
          <x:t xml:space="preserve">Muted</x:t>
        </x:is>
      </x:c>
      <x:c r="H364" s="17" t="inlineStr">
        <x:is>
          <x:t xml:space="preserve">Use mobile portrait playback</x:t>
        </x:is>
      </x:c>
      <x:c r="I364" s="17" t="inlineStr">
        <x:is>
          <x:t xml:space="preserve"/>
        </x:is>
      </x:c>
    </x:row>
    <x:row r="365">
      <x:c r="A365" s="16" t="inlineStr">
        <x:is>
          <x:t xml:space="preserve">P031</x:t>
        </x:is>
      </x:c>
      <x:c r="B365" s="16" t="n">
        <x:v>6</x:v>
      </x:c>
      <x:c r="C365" s="16" t="n">
        <x:v>1</x:v>
      </x:c>
      <x:c r="D365" s="16" t="inlineStr">
        <x:is>
          <x:t xml:space="preserve">V04</x:t>
        </x:is>
      </x:c>
      <x:c r="E365" s="16" t="inlineStr">
        <x:is>
          <x:t xml:space="preserve">Finance</x:t>
        </x:is>
      </x:c>
      <x:c r="F365" s="16" t="inlineStr">
        <x:is>
          <x:t xml:space="preserve">BCC</x:t>
        </x:is>
      </x:c>
      <x:c r="G365" s="16" t="inlineStr">
        <x:is>
          <x:t xml:space="preserve">Audio-on</x:t>
        </x:is>
      </x:c>
      <x:c r="H365" s="16" t="inlineStr">
        <x:is>
          <x:t xml:space="preserve">Use mobile portrait playback</x:t>
        </x:is>
      </x:c>
      <x:c r="I365" s="16" t="inlineStr">
        <x:is>
          <x:t xml:space="preserve"/>
        </x:is>
      </x:c>
    </x:row>
    <x:row r="366">
      <x:c r="A366" s="17" t="inlineStr">
        <x:is>
          <x:t xml:space="preserve">P031</x:t>
        </x:is>
      </x:c>
      <x:c r="B366" s="17" t="n">
        <x:v>6</x:v>
      </x:c>
      <x:c r="C366" s="17" t="n">
        <x:v>2</x:v>
      </x:c>
      <x:c r="D366" s="17" t="inlineStr">
        <x:is>
          <x:t xml:space="preserve">V05</x:t>
        </x:is>
      </x:c>
      <x:c r="E366" s="17" t="inlineStr">
        <x:is>
          <x:t xml:space="preserve">Tutorial</x:t>
        </x:is>
      </x:c>
      <x:c r="F366" s="17" t="inlineStr">
        <x:is>
          <x:t xml:space="preserve">BCC+</x:t>
        </x:is>
      </x:c>
      <x:c r="G366" s="17" t="inlineStr">
        <x:is>
          <x:t xml:space="preserve">Audio-on</x:t>
        </x:is>
      </x:c>
      <x:c r="H366" s="17" t="inlineStr">
        <x:is>
          <x:t xml:space="preserve">Use mobile portrait playback</x:t>
        </x:is>
      </x:c>
      <x:c r="I366" s="17" t="inlineStr">
        <x:is>
          <x:t xml:space="preserve"/>
        </x:is>
      </x:c>
    </x:row>
    <x:row r="367">
      <x:c r="A367" s="16" t="inlineStr">
        <x:is>
          <x:t xml:space="preserve">P031</x:t>
        </x:is>
      </x:c>
      <x:c r="B367" s="16" t="n">
        <x:v>6</x:v>
      </x:c>
      <x:c r="C367" s="16" t="n">
        <x:v>3</x:v>
      </x:c>
      <x:c r="D367" s="16" t="inlineStr">
        <x:is>
          <x:t xml:space="preserve">V02</x:t>
        </x:is>
      </x:c>
      <x:c r="E367" s="16" t="inlineStr">
        <x:is>
          <x:t xml:space="preserve">Study</x:t>
        </x:is>
      </x:c>
      <x:c r="F367" s="16" t="inlineStr">
        <x:is>
          <x:t xml:space="preserve">Keyword highlight</x:t>
        </x:is>
      </x:c>
      <x:c r="G367" s="16" t="inlineStr">
        <x:is>
          <x:t xml:space="preserve">Audio-on</x:t>
        </x:is>
      </x:c>
      <x:c r="H367" s="16" t="inlineStr">
        <x:is>
          <x:t xml:space="preserve">Use mobile portrait playback</x:t>
        </x:is>
      </x:c>
      <x:c r="I367" s="16" t="inlineStr">
        <x:is>
          <x:t xml:space="preserve"/>
        </x:is>
      </x:c>
    </x:row>
    <x:row r="368">
      <x:c r="A368" s="17" t="inlineStr">
        <x:is>
          <x:t xml:space="preserve">P031</x:t>
        </x:is>
      </x:c>
      <x:c r="B368" s="17" t="n">
        <x:v>6</x:v>
      </x:c>
      <x:c r="C368" s="17" t="n">
        <x:v>4</x:v>
      </x:c>
      <x:c r="D368" s="17" t="inlineStr">
        <x:is>
          <x:t xml:space="preserve">V08</x:t>
        </x:is>
      </x:c>
      <x:c r="E368" s="17" t="inlineStr">
        <x:is>
          <x:t xml:space="preserve">Coding</x:t>
        </x:is>
      </x:c>
      <x:c r="F368" s="17" t="inlineStr">
        <x:is>
          <x:t xml:space="preserve">Keyword highlight</x:t>
        </x:is>
      </x:c>
      <x:c r="G368" s="17" t="inlineStr">
        <x:is>
          <x:t xml:space="preserve">Audio-on</x:t>
        </x:is>
      </x:c>
      <x:c r="H368" s="17" t="inlineStr">
        <x:is>
          <x:t xml:space="preserve">Use mobile portrait playback</x:t>
        </x:is>
      </x:c>
      <x:c r="I368" s="17" t="inlineStr">
        <x:is>
          <x:t xml:space="preserve"/>
        </x:is>
      </x:c>
    </x:row>
    <x:row r="369">
      <x:c r="A369" s="16" t="inlineStr">
        <x:is>
          <x:t xml:space="preserve">P031</x:t>
        </x:is>
      </x:c>
      <x:c r="B369" s="16" t="n">
        <x:v>6</x:v>
      </x:c>
      <x:c r="C369" s="16" t="n">
        <x:v>5</x:v>
      </x:c>
      <x:c r="D369" s="16" t="inlineStr">
        <x:is>
          <x:t xml:space="preserve">V06</x:t>
        </x:is>
      </x:c>
      <x:c r="E369" s="16" t="inlineStr">
        <x:is>
          <x:t xml:space="preserve">Overload</x:t>
        </x:is>
      </x:c>
      <x:c r="F369" s="16" t="inlineStr">
        <x:is>
          <x:t xml:space="preserve">Heavy bionic</x:t>
        </x:is>
      </x:c>
      <x:c r="G369" s="16" t="inlineStr">
        <x:is>
          <x:t xml:space="preserve">Audio-on</x:t>
        </x:is>
      </x:c>
      <x:c r="H369" s="16" t="inlineStr">
        <x:is>
          <x:t xml:space="preserve">Use mobile portrait playback</x:t>
        </x:is>
      </x:c>
      <x:c r="I369" s="16" t="inlineStr">
        <x:is>
          <x:t xml:space="preserve"/>
        </x:is>
      </x:c>
    </x:row>
    <x:row r="370">
      <x:c r="A370" s="17" t="inlineStr">
        <x:is>
          <x:t xml:space="preserve">P031</x:t>
        </x:is>
      </x:c>
      <x:c r="B370" s="17" t="n">
        <x:v>6</x:v>
      </x:c>
      <x:c r="C370" s="17" t="n">
        <x:v>6</x:v>
      </x:c>
      <x:c r="D370" s="17" t="inlineStr">
        <x:is>
          <x:t xml:space="preserve">V03</x:t>
        </x:is>
      </x:c>
      <x:c r="E370" s="17" t="inlineStr">
        <x:is>
          <x:t xml:space="preserve">Fitness</x:t>
        </x:is>
      </x:c>
      <x:c r="F370" s="17" t="inlineStr">
        <x:is>
          <x:t xml:space="preserve">Semantic compression</x:t>
        </x:is>
      </x:c>
      <x:c r="G370" s="17" t="inlineStr">
        <x:is>
          <x:t xml:space="preserve">Audio-on</x:t>
        </x:is>
      </x:c>
      <x:c r="H370" s="17" t="inlineStr">
        <x:is>
          <x:t xml:space="preserve">Use mobile portrait playback</x:t>
        </x:is>
      </x:c>
      <x:c r="I370" s="17" t="inlineStr">
        <x:is>
          <x:t xml:space="preserve"/>
        </x:is>
      </x:c>
    </x:row>
    <x:row r="371">
      <x:c r="A371" s="16" t="inlineStr">
        <x:is>
          <x:t xml:space="preserve">P031</x:t>
        </x:is>
      </x:c>
      <x:c r="B371" s="16" t="n">
        <x:v>6</x:v>
      </x:c>
      <x:c r="C371" s="16" t="n">
        <x:v>7</x:v>
      </x:c>
      <x:c r="D371" s="16" t="inlineStr">
        <x:is>
          <x:t xml:space="preserve">V07</x:t>
        </x:is>
      </x:c>
      <x:c r="E371" s="16" t="inlineStr">
        <x:is>
          <x:t xml:space="preserve">Business</x:t>
        </x:is>
      </x:c>
      <x:c r="F371" s="16" t="inlineStr">
        <x:is>
          <x:t xml:space="preserve">Full transcript</x:t>
        </x:is>
      </x:c>
      <x:c r="G371" s="16" t="inlineStr">
        <x:is>
          <x:t xml:space="preserve">Audio-on</x:t>
        </x:is>
      </x:c>
      <x:c r="H371" s="16" t="inlineStr">
        <x:is>
          <x:t xml:space="preserve">Use mobile portrait playback</x:t>
        </x:is>
      </x:c>
      <x:c r="I371" s="16" t="inlineStr">
        <x:is>
          <x:t xml:space="preserve"/>
        </x:is>
      </x:c>
    </x:row>
    <x:row r="372">
      <x:c r="A372" s="17" t="inlineStr">
        <x:is>
          <x:t xml:space="preserve">P031</x:t>
        </x:is>
      </x:c>
      <x:c r="B372" s="17" t="n">
        <x:v>6</x:v>
      </x:c>
      <x:c r="C372" s="17" t="n">
        <x:v>8</x:v>
      </x:c>
      <x:c r="D372" s="17" t="inlineStr">
        <x:is>
          <x:t xml:space="preserve">V11</x:t>
        </x:is>
      </x:c>
      <x:c r="E372" s="17" t="inlineStr">
        <x:is>
          <x:t xml:space="preserve">Creator strategy</x:t>
        </x:is>
      </x:c>
      <x:c r="F372" s="17" t="inlineStr">
        <x:is>
          <x:t xml:space="preserve">BCC+</x:t>
        </x:is>
      </x:c>
      <x:c r="G372" s="17" t="inlineStr">
        <x:is>
          <x:t xml:space="preserve">Audio-on</x:t>
        </x:is>
      </x:c>
      <x:c r="H372" s="17" t="inlineStr">
        <x:is>
          <x:t xml:space="preserve">Use mobile portrait playback</x:t>
        </x:is>
      </x:c>
      <x:c r="I372" s="17" t="inlineStr">
        <x:is>
          <x:t xml:space="preserve"/>
        </x:is>
      </x:c>
    </x:row>
    <x:row r="373">
      <x:c r="A373" s="16" t="inlineStr">
        <x:is>
          <x:t xml:space="preserve">P031</x:t>
        </x:is>
      </x:c>
      <x:c r="B373" s="16" t="n">
        <x:v>6</x:v>
      </x:c>
      <x:c r="C373" s="16" t="n">
        <x:v>9</x:v>
      </x:c>
      <x:c r="D373" s="16" t="inlineStr">
        <x:is>
          <x:t xml:space="preserve">V01</x:t>
        </x:is>
      </x:c>
      <x:c r="E373" s="16" t="inlineStr">
        <x:is>
          <x:t xml:space="preserve">Productivity</x:t>
        </x:is>
      </x:c>
      <x:c r="F373" s="16" t="inlineStr">
        <x:is>
          <x:t xml:space="preserve">Full transcript</x:t>
        </x:is>
      </x:c>
      <x:c r="G373" s="16" t="inlineStr">
        <x:is>
          <x:t xml:space="preserve">Audio-on</x:t>
        </x:is>
      </x:c>
      <x:c r="H373" s="16" t="inlineStr">
        <x:is>
          <x:t xml:space="preserve">Use mobile portrait playback</x:t>
        </x:is>
      </x:c>
      <x:c r="I373" s="16" t="inlineStr">
        <x:is>
          <x:t xml:space="preserve"/>
        </x:is>
      </x:c>
    </x:row>
    <x:row r="374">
      <x:c r="A374" s="17" t="inlineStr">
        <x:is>
          <x:t xml:space="preserve">P031</x:t>
        </x:is>
      </x:c>
      <x:c r="B374" s="17" t="n">
        <x:v>6</x:v>
      </x:c>
      <x:c r="C374" s="17" t="n">
        <x:v>10</x:v>
      </x:c>
      <x:c r="D374" s="17" t="inlineStr">
        <x:is>
          <x:t xml:space="preserve">V09</x:t>
        </x:is>
      </x:c>
      <x:c r="E374" s="17" t="inlineStr">
        <x:is>
          <x:t xml:space="preserve">Sleep habit</x:t>
        </x:is>
      </x:c>
      <x:c r="F374" s="17" t="inlineStr">
        <x:is>
          <x:t xml:space="preserve">Semantic compression</x:t>
        </x:is>
      </x:c>
      <x:c r="G374" s="17" t="inlineStr">
        <x:is>
          <x:t xml:space="preserve">Audio-on</x:t>
        </x:is>
      </x:c>
      <x:c r="H374" s="17" t="inlineStr">
        <x:is>
          <x:t xml:space="preserve">Use mobile portrait playback</x:t>
        </x:is>
      </x:c>
      <x:c r="I374" s="17" t="inlineStr">
        <x:is>
          <x:t xml:space="preserve"/>
        </x:is>
      </x:c>
    </x:row>
    <x:row r="375">
      <x:c r="A375" s="16" t="inlineStr">
        <x:is>
          <x:t xml:space="preserve">P031</x:t>
        </x:is>
      </x:c>
      <x:c r="B375" s="16" t="n">
        <x:v>6</x:v>
      </x:c>
      <x:c r="C375" s="16" t="n">
        <x:v>11</x:v>
      </x:c>
      <x:c r="D375" s="16" t="inlineStr">
        <x:is>
          <x:t xml:space="preserve">V10</x:t>
        </x:is>
      </x:c>
      <x:c r="E375" s="16" t="inlineStr">
        <x:is>
          <x:t xml:space="preserve">Product demo</x:t>
        </x:is>
      </x:c>
      <x:c r="F375" s="16" t="inlineStr">
        <x:is>
          <x:t xml:space="preserve">BCC</x:t>
        </x:is>
      </x:c>
      <x:c r="G375" s="16" t="inlineStr">
        <x:is>
          <x:t xml:space="preserve">Audio-on</x:t>
        </x:is>
      </x:c>
      <x:c r="H375" s="16" t="inlineStr">
        <x:is>
          <x:t xml:space="preserve">Use mobile portrait playback</x:t>
        </x:is>
      </x:c>
      <x:c r="I375" s="16" t="inlineStr">
        <x:is>
          <x:t xml:space="preserve"/>
        </x:is>
      </x:c>
    </x:row>
    <x:row r="376">
      <x:c r="A376" s="17" t="inlineStr">
        <x:is>
          <x:t xml:space="preserve">P031</x:t>
        </x:is>
      </x:c>
      <x:c r="B376" s="17" t="n">
        <x:v>6</x:v>
      </x:c>
      <x:c r="C376" s="17" t="n">
        <x:v>12</x:v>
      </x:c>
      <x:c r="D376" s="17" t="inlineStr">
        <x:is>
          <x:t xml:space="preserve">V12</x:t>
        </x:is>
      </x:c>
      <x:c r="E376" s="17" t="inlineStr">
        <x:is>
          <x:t xml:space="preserve">Time management</x:t>
        </x:is>
      </x:c>
      <x:c r="F376" s="17" t="inlineStr">
        <x:is>
          <x:t xml:space="preserve">Heavy bionic</x:t>
        </x:is>
      </x:c>
      <x:c r="G376" s="17" t="inlineStr">
        <x:is>
          <x:t xml:space="preserve">Audio-on</x:t>
        </x:is>
      </x:c>
      <x:c r="H376" s="17" t="inlineStr">
        <x:is>
          <x:t xml:space="preserve">Use mobile portrait playback</x:t>
        </x:is>
      </x:c>
      <x:c r="I376" s="17" t="inlineStr">
        <x:is>
          <x:t xml:space="preserve"/>
        </x:is>
      </x:c>
    </x:row>
    <x:row r="377">
      <x:c r="A377" s="16" t="inlineStr">
        <x:is>
          <x:t xml:space="preserve">P032</x:t>
        </x:is>
      </x:c>
      <x:c r="B377" s="16" t="n">
        <x:v>6</x:v>
      </x:c>
      <x:c r="C377" s="16" t="n">
        <x:v>1</x:v>
      </x:c>
      <x:c r="D377" s="16" t="inlineStr">
        <x:is>
          <x:t xml:space="preserve">V06</x:t>
        </x:is>
      </x:c>
      <x:c r="E377" s="16" t="inlineStr">
        <x:is>
          <x:t xml:space="preserve">Overload</x:t>
        </x:is>
      </x:c>
      <x:c r="F377" s="16" t="inlineStr">
        <x:is>
          <x:t xml:space="preserve">Full transcript</x:t>
        </x:is>
      </x:c>
      <x:c r="G377" s="16" t="inlineStr">
        <x:is>
          <x:t xml:space="preserve">Audio-on</x:t>
        </x:is>
      </x:c>
      <x:c r="H377" s="16" t="inlineStr">
        <x:is>
          <x:t xml:space="preserve">Use mobile portrait playback</x:t>
        </x:is>
      </x:c>
      <x:c r="I377" s="16" t="inlineStr">
        <x:is>
          <x:t xml:space="preserve"/>
        </x:is>
      </x:c>
    </x:row>
    <x:row r="378">
      <x:c r="A378" s="17" t="inlineStr">
        <x:is>
          <x:t xml:space="preserve">P032</x:t>
        </x:is>
      </x:c>
      <x:c r="B378" s="17" t="n">
        <x:v>6</x:v>
      </x:c>
      <x:c r="C378" s="17" t="n">
        <x:v>2</x:v>
      </x:c>
      <x:c r="D378" s="17" t="inlineStr">
        <x:is>
          <x:t xml:space="preserve">V01</x:t>
        </x:is>
      </x:c>
      <x:c r="E378" s="17" t="inlineStr">
        <x:is>
          <x:t xml:space="preserve">Productivity</x:t>
        </x:is>
      </x:c>
      <x:c r="F378" s="17" t="inlineStr">
        <x:is>
          <x:t xml:space="preserve">Keyword highlight</x:t>
        </x:is>
      </x:c>
      <x:c r="G378" s="17" t="inlineStr">
        <x:is>
          <x:t xml:space="preserve">Audio-on</x:t>
        </x:is>
      </x:c>
      <x:c r="H378" s="17" t="inlineStr">
        <x:is>
          <x:t xml:space="preserve">Use mobile portrait playback</x:t>
        </x:is>
      </x:c>
      <x:c r="I378" s="17" t="inlineStr">
        <x:is>
          <x:t xml:space="preserve"/>
        </x:is>
      </x:c>
    </x:row>
    <x:row r="379">
      <x:c r="A379" s="16" t="inlineStr">
        <x:is>
          <x:t xml:space="preserve">P032</x:t>
        </x:is>
      </x:c>
      <x:c r="B379" s="16" t="n">
        <x:v>6</x:v>
      </x:c>
      <x:c r="C379" s="16" t="n">
        <x:v>3</x:v>
      </x:c>
      <x:c r="D379" s="16" t="inlineStr">
        <x:is>
          <x:t xml:space="preserve">V05</x:t>
        </x:is>
      </x:c>
      <x:c r="E379" s="16" t="inlineStr">
        <x:is>
          <x:t xml:space="preserve">Tutorial</x:t>
        </x:is>
      </x:c>
      <x:c r="F379" s="16" t="inlineStr">
        <x:is>
          <x:t xml:space="preserve">Heavy bionic</x:t>
        </x:is>
      </x:c>
      <x:c r="G379" s="16" t="inlineStr">
        <x:is>
          <x:t xml:space="preserve">Audio-on</x:t>
        </x:is>
      </x:c>
      <x:c r="H379" s="16" t="inlineStr">
        <x:is>
          <x:t xml:space="preserve">Use mobile portrait playback</x:t>
        </x:is>
      </x:c>
      <x:c r="I379" s="16" t="inlineStr">
        <x:is>
          <x:t xml:space="preserve"/>
        </x:is>
      </x:c>
    </x:row>
    <x:row r="380">
      <x:c r="A380" s="17" t="inlineStr">
        <x:is>
          <x:t xml:space="preserve">P032</x:t>
        </x:is>
      </x:c>
      <x:c r="B380" s="17" t="n">
        <x:v>6</x:v>
      </x:c>
      <x:c r="C380" s="17" t="n">
        <x:v>4</x:v>
      </x:c>
      <x:c r="D380" s="17" t="inlineStr">
        <x:is>
          <x:t xml:space="preserve">V10</x:t>
        </x:is>
      </x:c>
      <x:c r="E380" s="17" t="inlineStr">
        <x:is>
          <x:t xml:space="preserve">Product demo</x:t>
        </x:is>
      </x:c>
      <x:c r="F380" s="17" t="inlineStr">
        <x:is>
          <x:t xml:space="preserve">BCC+</x:t>
        </x:is>
      </x:c>
      <x:c r="G380" s="17" t="inlineStr">
        <x:is>
          <x:t xml:space="preserve">Audio-on</x:t>
        </x:is>
      </x:c>
      <x:c r="H380" s="17" t="inlineStr">
        <x:is>
          <x:t xml:space="preserve">Use mobile portrait playback</x:t>
        </x:is>
      </x:c>
      <x:c r="I380" s="17" t="inlineStr">
        <x:is>
          <x:t xml:space="preserve"/>
        </x:is>
      </x:c>
    </x:row>
    <x:row r="381">
      <x:c r="A381" s="16" t="inlineStr">
        <x:is>
          <x:t xml:space="preserve">P032</x:t>
        </x:is>
      </x:c>
      <x:c r="B381" s="16" t="n">
        <x:v>6</x:v>
      </x:c>
      <x:c r="C381" s="16" t="n">
        <x:v>5</x:v>
      </x:c>
      <x:c r="D381" s="16" t="inlineStr">
        <x:is>
          <x:t xml:space="preserve">V04</x:t>
        </x:is>
      </x:c>
      <x:c r="E381" s="16" t="inlineStr">
        <x:is>
          <x:t xml:space="preserve">Finance</x:t>
        </x:is>
      </x:c>
      <x:c r="F381" s="16" t="inlineStr">
        <x:is>
          <x:t xml:space="preserve">BCC+</x:t>
        </x:is>
      </x:c>
      <x:c r="G381" s="16" t="inlineStr">
        <x:is>
          <x:t xml:space="preserve">Audio-on</x:t>
        </x:is>
      </x:c>
      <x:c r="H381" s="16" t="inlineStr">
        <x:is>
          <x:t xml:space="preserve">Use mobile portrait playback</x:t>
        </x:is>
      </x:c>
      <x:c r="I381" s="16" t="inlineStr">
        <x:is>
          <x:t xml:space="preserve"/>
        </x:is>
      </x:c>
    </x:row>
    <x:row r="382">
      <x:c r="A382" s="17" t="inlineStr">
        <x:is>
          <x:t xml:space="preserve">P032</x:t>
        </x:is>
      </x:c>
      <x:c r="B382" s="17" t="n">
        <x:v>6</x:v>
      </x:c>
      <x:c r="C382" s="17" t="n">
        <x:v>6</x:v>
      </x:c>
      <x:c r="D382" s="17" t="inlineStr">
        <x:is>
          <x:t xml:space="preserve">V02</x:t>
        </x:is>
      </x:c>
      <x:c r="E382" s="17" t="inlineStr">
        <x:is>
          <x:t xml:space="preserve">Study</x:t>
        </x:is>
      </x:c>
      <x:c r="F382" s="17" t="inlineStr">
        <x:is>
          <x:t xml:space="preserve">Semantic compression</x:t>
        </x:is>
      </x:c>
      <x:c r="G382" s="17" t="inlineStr">
        <x:is>
          <x:t xml:space="preserve">Audio-on</x:t>
        </x:is>
      </x:c>
      <x:c r="H382" s="17" t="inlineStr">
        <x:is>
          <x:t xml:space="preserve">Use mobile portrait playback</x:t>
        </x:is>
      </x:c>
      <x:c r="I382" s="17" t="inlineStr">
        <x:is>
          <x:t xml:space="preserve"/>
        </x:is>
      </x:c>
    </x:row>
    <x:row r="383">
      <x:c r="A383" s="16" t="inlineStr">
        <x:is>
          <x:t xml:space="preserve">P032</x:t>
        </x:is>
      </x:c>
      <x:c r="B383" s="16" t="n">
        <x:v>6</x:v>
      </x:c>
      <x:c r="C383" s="16" t="n">
        <x:v>7</x:v>
      </x:c>
      <x:c r="D383" s="16" t="inlineStr">
        <x:is>
          <x:t xml:space="preserve">V08</x:t>
        </x:is>
      </x:c>
      <x:c r="E383" s="16" t="inlineStr">
        <x:is>
          <x:t xml:space="preserve">Coding</x:t>
        </x:is>
      </x:c>
      <x:c r="F383" s="16" t="inlineStr">
        <x:is>
          <x:t xml:space="preserve">Semantic compression</x:t>
        </x:is>
      </x:c>
      <x:c r="G383" s="16" t="inlineStr">
        <x:is>
          <x:t xml:space="preserve">Audio-on</x:t>
        </x:is>
      </x:c>
      <x:c r="H383" s="16" t="inlineStr">
        <x:is>
          <x:t xml:space="preserve">Use mobile portrait playback</x:t>
        </x:is>
      </x:c>
      <x:c r="I383" s="16" t="inlineStr">
        <x:is>
          <x:t xml:space="preserve"/>
        </x:is>
      </x:c>
    </x:row>
    <x:row r="384">
      <x:c r="A384" s="17" t="inlineStr">
        <x:is>
          <x:t xml:space="preserve">P032</x:t>
        </x:is>
      </x:c>
      <x:c r="B384" s="17" t="n">
        <x:v>6</x:v>
      </x:c>
      <x:c r="C384" s="17" t="n">
        <x:v>8</x:v>
      </x:c>
      <x:c r="D384" s="17" t="inlineStr">
        <x:is>
          <x:t xml:space="preserve">V03</x:t>
        </x:is>
      </x:c>
      <x:c r="E384" s="17" t="inlineStr">
        <x:is>
          <x:t xml:space="preserve">Fitness</x:t>
        </x:is>
      </x:c>
      <x:c r="F384" s="17" t="inlineStr">
        <x:is>
          <x:t xml:space="preserve">BCC</x:t>
        </x:is>
      </x:c>
      <x:c r="G384" s="17" t="inlineStr">
        <x:is>
          <x:t xml:space="preserve">Audio-on</x:t>
        </x:is>
      </x:c>
      <x:c r="H384" s="17" t="inlineStr">
        <x:is>
          <x:t xml:space="preserve">Use mobile portrait playback</x:t>
        </x:is>
      </x:c>
      <x:c r="I384" s="17" t="inlineStr">
        <x:is>
          <x:t xml:space="preserve"/>
        </x:is>
      </x:c>
    </x:row>
    <x:row r="385">
      <x:c r="A385" s="16" t="inlineStr">
        <x:is>
          <x:t xml:space="preserve">P032</x:t>
        </x:is>
      </x:c>
      <x:c r="B385" s="16" t="n">
        <x:v>6</x:v>
      </x:c>
      <x:c r="C385" s="16" t="n">
        <x:v>9</x:v>
      </x:c>
      <x:c r="D385" s="16" t="inlineStr">
        <x:is>
          <x:t xml:space="preserve">V12</x:t>
        </x:is>
      </x:c>
      <x:c r="E385" s="16" t="inlineStr">
        <x:is>
          <x:t xml:space="preserve">Time management</x:t>
        </x:is>
      </x:c>
      <x:c r="F385" s="16" t="inlineStr">
        <x:is>
          <x:t xml:space="preserve">Full transcript</x:t>
        </x:is>
      </x:c>
      <x:c r="G385" s="16" t="inlineStr">
        <x:is>
          <x:t xml:space="preserve">Audio-on</x:t>
        </x:is>
      </x:c>
      <x:c r="H385" s="16" t="inlineStr">
        <x:is>
          <x:t xml:space="preserve">Use mobile portrait playback</x:t>
        </x:is>
      </x:c>
      <x:c r="I385" s="16" t="inlineStr">
        <x:is>
          <x:t xml:space="preserve"/>
        </x:is>
      </x:c>
    </x:row>
    <x:row r="386">
      <x:c r="A386" s="17" t="inlineStr">
        <x:is>
          <x:t xml:space="preserve">P032</x:t>
        </x:is>
      </x:c>
      <x:c r="B386" s="17" t="n">
        <x:v>6</x:v>
      </x:c>
      <x:c r="C386" s="17" t="n">
        <x:v>10</x:v>
      </x:c>
      <x:c r="D386" s="17" t="inlineStr">
        <x:is>
          <x:t xml:space="preserve">V09</x:t>
        </x:is>
      </x:c>
      <x:c r="E386" s="17" t="inlineStr">
        <x:is>
          <x:t xml:space="preserve">Sleep habit</x:t>
        </x:is>
      </x:c>
      <x:c r="F386" s="17" t="inlineStr">
        <x:is>
          <x:t xml:space="preserve">BCC</x:t>
        </x:is>
      </x:c>
      <x:c r="G386" s="17" t="inlineStr">
        <x:is>
          <x:t xml:space="preserve">Audio-on</x:t>
        </x:is>
      </x:c>
      <x:c r="H386" s="17" t="inlineStr">
        <x:is>
          <x:t xml:space="preserve">Use mobile portrait playback</x:t>
        </x:is>
      </x:c>
      <x:c r="I386" s="17" t="inlineStr">
        <x:is>
          <x:t xml:space="preserve"/>
        </x:is>
      </x:c>
    </x:row>
    <x:row r="387">
      <x:c r="A387" s="16" t="inlineStr">
        <x:is>
          <x:t xml:space="preserve">P032</x:t>
        </x:is>
      </x:c>
      <x:c r="B387" s="16" t="n">
        <x:v>6</x:v>
      </x:c>
      <x:c r="C387" s="16" t="n">
        <x:v>11</x:v>
      </x:c>
      <x:c r="D387" s="16" t="inlineStr">
        <x:is>
          <x:t xml:space="preserve">V11</x:t>
        </x:is>
      </x:c>
      <x:c r="E387" s="16" t="inlineStr">
        <x:is>
          <x:t xml:space="preserve">Creator strategy</x:t>
        </x:is>
      </x:c>
      <x:c r="F387" s="16" t="inlineStr">
        <x:is>
          <x:t xml:space="preserve">Heavy bionic</x:t>
        </x:is>
      </x:c>
      <x:c r="G387" s="16" t="inlineStr">
        <x:is>
          <x:t xml:space="preserve">Audio-on</x:t>
        </x:is>
      </x:c>
      <x:c r="H387" s="16" t="inlineStr">
        <x:is>
          <x:t xml:space="preserve">Use mobile portrait playback</x:t>
        </x:is>
      </x:c>
      <x:c r="I387" s="16" t="inlineStr">
        <x:is>
          <x:t xml:space="preserve"/>
        </x:is>
      </x:c>
    </x:row>
    <x:row r="388">
      <x:c r="A388" s="17" t="inlineStr">
        <x:is>
          <x:t xml:space="preserve">P032</x:t>
        </x:is>
      </x:c>
      <x:c r="B388" s="17" t="n">
        <x:v>6</x:v>
      </x:c>
      <x:c r="C388" s="17" t="n">
        <x:v>12</x:v>
      </x:c>
      <x:c r="D388" s="17" t="inlineStr">
        <x:is>
          <x:t xml:space="preserve">V07</x:t>
        </x:is>
      </x:c>
      <x:c r="E388" s="17" t="inlineStr">
        <x:is>
          <x:t xml:space="preserve">Business</x:t>
        </x:is>
      </x:c>
      <x:c r="F388" s="17" t="inlineStr">
        <x:is>
          <x:t xml:space="preserve">Keyword highlight</x:t>
        </x:is>
      </x:c>
      <x:c r="G388" s="17" t="inlineStr">
        <x:is>
          <x:t xml:space="preserve">Audio-on</x:t>
        </x:is>
      </x:c>
      <x:c r="H388" s="17" t="inlineStr">
        <x:is>
          <x:t xml:space="preserve">Use mobile portrait playback</x:t>
        </x:is>
      </x:c>
      <x:c r="I388" s="17" t="inlineStr">
        <x:is>
          <x:t xml:space="preserve"/>
        </x:is>
      </x:c>
    </x:row>
    <x:row r="389">
      <x:c r="A389" s="16" t="inlineStr">
        <x:is>
          <x:t xml:space="preserve">P033</x:t>
        </x:is>
      </x:c>
      <x:c r="B389" s="16" t="n">
        <x:v>6</x:v>
      </x:c>
      <x:c r="C389" s="16" t="n">
        <x:v>1</x:v>
      </x:c>
      <x:c r="D389" s="16" t="inlineStr">
        <x:is>
          <x:t xml:space="preserve">V12</x:t>
        </x:is>
      </x:c>
      <x:c r="E389" s="16" t="inlineStr">
        <x:is>
          <x:t xml:space="preserve">Time management</x:t>
        </x:is>
      </x:c>
      <x:c r="F389" s="16" t="inlineStr">
        <x:is>
          <x:t xml:space="preserve">Keyword highlight</x:t>
        </x:is>
      </x:c>
      <x:c r="G389" s="16" t="inlineStr">
        <x:is>
          <x:t xml:space="preserve">Audio-on</x:t>
        </x:is>
      </x:c>
      <x:c r="H389" s="16" t="inlineStr">
        <x:is>
          <x:t xml:space="preserve">Use mobile portrait playback</x:t>
        </x:is>
      </x:c>
      <x:c r="I389" s="16" t="inlineStr">
        <x:is>
          <x:t xml:space="preserve"/>
        </x:is>
      </x:c>
    </x:row>
    <x:row r="390">
      <x:c r="A390" s="17" t="inlineStr">
        <x:is>
          <x:t xml:space="preserve">P033</x:t>
        </x:is>
      </x:c>
      <x:c r="B390" s="17" t="n">
        <x:v>6</x:v>
      </x:c>
      <x:c r="C390" s="17" t="n">
        <x:v>2</x:v>
      </x:c>
      <x:c r="D390" s="17" t="inlineStr">
        <x:is>
          <x:t xml:space="preserve">V03</x:t>
        </x:is>
      </x:c>
      <x:c r="E390" s="17" t="inlineStr">
        <x:is>
          <x:t xml:space="preserve">Fitness</x:t>
        </x:is>
      </x:c>
      <x:c r="F390" s="17" t="inlineStr">
        <x:is>
          <x:t xml:space="preserve">BCC+</x:t>
        </x:is>
      </x:c>
      <x:c r="G390" s="17" t="inlineStr">
        <x:is>
          <x:t xml:space="preserve">Audio-on</x:t>
        </x:is>
      </x:c>
      <x:c r="H390" s="17" t="inlineStr">
        <x:is>
          <x:t xml:space="preserve">Use mobile portrait playback</x:t>
        </x:is>
      </x:c>
      <x:c r="I390" s="17" t="inlineStr">
        <x:is>
          <x:t xml:space="preserve"/>
        </x:is>
      </x:c>
    </x:row>
    <x:row r="391">
      <x:c r="A391" s="16" t="inlineStr">
        <x:is>
          <x:t xml:space="preserve">P033</x:t>
        </x:is>
      </x:c>
      <x:c r="B391" s="16" t="n">
        <x:v>6</x:v>
      </x:c>
      <x:c r="C391" s="16" t="n">
        <x:v>3</x:v>
      </x:c>
      <x:c r="D391" s="16" t="inlineStr">
        <x:is>
          <x:t xml:space="preserve">V10</x:t>
        </x:is>
      </x:c>
      <x:c r="E391" s="16" t="inlineStr">
        <x:is>
          <x:t xml:space="preserve">Product demo</x:t>
        </x:is>
      </x:c>
      <x:c r="F391" s="16" t="inlineStr">
        <x:is>
          <x:t xml:space="preserve">Heavy bionic</x:t>
        </x:is>
      </x:c>
      <x:c r="G391" s="16" t="inlineStr">
        <x:is>
          <x:t xml:space="preserve">Audio-on</x:t>
        </x:is>
      </x:c>
      <x:c r="H391" s="16" t="inlineStr">
        <x:is>
          <x:t xml:space="preserve">Use mobile portrait playback</x:t>
        </x:is>
      </x:c>
      <x:c r="I391" s="16" t="inlineStr">
        <x:is>
          <x:t xml:space="preserve"/>
        </x:is>
      </x:c>
    </x:row>
    <x:row r="392">
      <x:c r="A392" s="17" t="inlineStr">
        <x:is>
          <x:t xml:space="preserve">P033</x:t>
        </x:is>
      </x:c>
      <x:c r="B392" s="17" t="n">
        <x:v>6</x:v>
      </x:c>
      <x:c r="C392" s="17" t="n">
        <x:v>4</x:v>
      </x:c>
      <x:c r="D392" s="17" t="inlineStr">
        <x:is>
          <x:t xml:space="preserve">V07</x:t>
        </x:is>
      </x:c>
      <x:c r="E392" s="17" t="inlineStr">
        <x:is>
          <x:t xml:space="preserve">Business</x:t>
        </x:is>
      </x:c>
      <x:c r="F392" s="17" t="inlineStr">
        <x:is>
          <x:t xml:space="preserve">Semantic compression</x:t>
        </x:is>
      </x:c>
      <x:c r="G392" s="17" t="inlineStr">
        <x:is>
          <x:t xml:space="preserve">Audio-on</x:t>
        </x:is>
      </x:c>
      <x:c r="H392" s="17" t="inlineStr">
        <x:is>
          <x:t xml:space="preserve">Use mobile portrait playback</x:t>
        </x:is>
      </x:c>
      <x:c r="I392" s="17" t="inlineStr">
        <x:is>
          <x:t xml:space="preserve"/>
        </x:is>
      </x:c>
    </x:row>
    <x:row r="393">
      <x:c r="A393" s="16" t="inlineStr">
        <x:is>
          <x:t xml:space="preserve">P033</x:t>
        </x:is>
      </x:c>
      <x:c r="B393" s="16" t="n">
        <x:v>6</x:v>
      </x:c>
      <x:c r="C393" s="16" t="n">
        <x:v>5</x:v>
      </x:c>
      <x:c r="D393" s="16" t="inlineStr">
        <x:is>
          <x:t xml:space="preserve">V09</x:t>
        </x:is>
      </x:c>
      <x:c r="E393" s="16" t="inlineStr">
        <x:is>
          <x:t xml:space="preserve">Sleep habit</x:t>
        </x:is>
      </x:c>
      <x:c r="F393" s="16" t="inlineStr">
        <x:is>
          <x:t xml:space="preserve">BCC+</x:t>
        </x:is>
      </x:c>
      <x:c r="G393" s="16" t="inlineStr">
        <x:is>
          <x:t xml:space="preserve">Audio-on</x:t>
        </x:is>
      </x:c>
      <x:c r="H393" s="16" t="inlineStr">
        <x:is>
          <x:t xml:space="preserve">Use mobile portrait playback</x:t>
        </x:is>
      </x:c>
      <x:c r="I393" s="16" t="inlineStr">
        <x:is>
          <x:t xml:space="preserve"/>
        </x:is>
      </x:c>
    </x:row>
    <x:row r="394">
      <x:c r="A394" s="17" t="inlineStr">
        <x:is>
          <x:t xml:space="preserve">P033</x:t>
        </x:is>
      </x:c>
      <x:c r="B394" s="17" t="n">
        <x:v>6</x:v>
      </x:c>
      <x:c r="C394" s="17" t="n">
        <x:v>6</x:v>
      </x:c>
      <x:c r="D394" s="17" t="inlineStr">
        <x:is>
          <x:t xml:space="preserve">V01</x:t>
        </x:is>
      </x:c>
      <x:c r="E394" s="17" t="inlineStr">
        <x:is>
          <x:t xml:space="preserve">Productivity</x:t>
        </x:is>
      </x:c>
      <x:c r="F394" s="17" t="inlineStr">
        <x:is>
          <x:t xml:space="preserve">Semantic compression</x:t>
        </x:is>
      </x:c>
      <x:c r="G394" s="17" t="inlineStr">
        <x:is>
          <x:t xml:space="preserve">Audio-on</x:t>
        </x:is>
      </x:c>
      <x:c r="H394" s="17" t="inlineStr">
        <x:is>
          <x:t xml:space="preserve">Use mobile portrait playback</x:t>
        </x:is>
      </x:c>
      <x:c r="I394" s="17" t="inlineStr">
        <x:is>
          <x:t xml:space="preserve"/>
        </x:is>
      </x:c>
    </x:row>
    <x:row r="395">
      <x:c r="A395" s="16" t="inlineStr">
        <x:is>
          <x:t xml:space="preserve">P033</x:t>
        </x:is>
      </x:c>
      <x:c r="B395" s="16" t="n">
        <x:v>6</x:v>
      </x:c>
      <x:c r="C395" s="16" t="n">
        <x:v>7</x:v>
      </x:c>
      <x:c r="D395" s="16" t="inlineStr">
        <x:is>
          <x:t xml:space="preserve">V06</x:t>
        </x:is>
      </x:c>
      <x:c r="E395" s="16" t="inlineStr">
        <x:is>
          <x:t xml:space="preserve">Overload</x:t>
        </x:is>
      </x:c>
      <x:c r="F395" s="16" t="inlineStr">
        <x:is>
          <x:t xml:space="preserve">Keyword highlight</x:t>
        </x:is>
      </x:c>
      <x:c r="G395" s="16" t="inlineStr">
        <x:is>
          <x:t xml:space="preserve">Audio-on</x:t>
        </x:is>
      </x:c>
      <x:c r="H395" s="16" t="inlineStr">
        <x:is>
          <x:t xml:space="preserve">Use mobile portrait playback</x:t>
        </x:is>
      </x:c>
      <x:c r="I395" s="16" t="inlineStr">
        <x:is>
          <x:t xml:space="preserve"/>
        </x:is>
      </x:c>
    </x:row>
    <x:row r="396">
      <x:c r="A396" s="17" t="inlineStr">
        <x:is>
          <x:t xml:space="preserve">P033</x:t>
        </x:is>
      </x:c>
      <x:c r="B396" s="17" t="n">
        <x:v>6</x:v>
      </x:c>
      <x:c r="C396" s="17" t="n">
        <x:v>8</x:v>
      </x:c>
      <x:c r="D396" s="17" t="inlineStr">
        <x:is>
          <x:t xml:space="preserve">V02</x:t>
        </x:is>
      </x:c>
      <x:c r="E396" s="17" t="inlineStr">
        <x:is>
          <x:t xml:space="preserve">Study</x:t>
        </x:is>
      </x:c>
      <x:c r="F396" s="17" t="inlineStr">
        <x:is>
          <x:t xml:space="preserve">BCC</x:t>
        </x:is>
      </x:c>
      <x:c r="G396" s="17" t="inlineStr">
        <x:is>
          <x:t xml:space="preserve">Audio-on</x:t>
        </x:is>
      </x:c>
      <x:c r="H396" s="17" t="inlineStr">
        <x:is>
          <x:t xml:space="preserve">Use mobile portrait playback</x:t>
        </x:is>
      </x:c>
      <x:c r="I396" s="17" t="inlineStr">
        <x:is>
          <x:t xml:space="preserve"/>
        </x:is>
      </x:c>
    </x:row>
    <x:row r="397">
      <x:c r="A397" s="16" t="inlineStr">
        <x:is>
          <x:t xml:space="preserve">P033</x:t>
        </x:is>
      </x:c>
      <x:c r="B397" s="16" t="n">
        <x:v>6</x:v>
      </x:c>
      <x:c r="C397" s="16" t="n">
        <x:v>9</x:v>
      </x:c>
      <x:c r="D397" s="16" t="inlineStr">
        <x:is>
          <x:t xml:space="preserve">V08</x:t>
        </x:is>
      </x:c>
      <x:c r="E397" s="16" t="inlineStr">
        <x:is>
          <x:t xml:space="preserve">Coding</x:t>
        </x:is>
      </x:c>
      <x:c r="F397" s="16" t="inlineStr">
        <x:is>
          <x:t xml:space="preserve">BCC</x:t>
        </x:is>
      </x:c>
      <x:c r="G397" s="16" t="inlineStr">
        <x:is>
          <x:t xml:space="preserve">Audio-on</x:t>
        </x:is>
      </x:c>
      <x:c r="H397" s="16" t="inlineStr">
        <x:is>
          <x:t xml:space="preserve">Use mobile portrait playback</x:t>
        </x:is>
      </x:c>
      <x:c r="I397" s="16" t="inlineStr">
        <x:is>
          <x:t xml:space="preserve"/>
        </x:is>
      </x:c>
    </x:row>
    <x:row r="398">
      <x:c r="A398" s="17" t="inlineStr">
        <x:is>
          <x:t xml:space="preserve">P033</x:t>
        </x:is>
      </x:c>
      <x:c r="B398" s="17" t="n">
        <x:v>6</x:v>
      </x:c>
      <x:c r="C398" s="17" t="n">
        <x:v>10</x:v>
      </x:c>
      <x:c r="D398" s="17" t="inlineStr">
        <x:is>
          <x:t xml:space="preserve">V05</x:t>
        </x:is>
      </x:c>
      <x:c r="E398" s="17" t="inlineStr">
        <x:is>
          <x:t xml:space="preserve">Tutorial</x:t>
        </x:is>
      </x:c>
      <x:c r="F398" s="17" t="inlineStr">
        <x:is>
          <x:t xml:space="preserve">Full transcript</x:t>
        </x:is>
      </x:c>
      <x:c r="G398" s="17" t="inlineStr">
        <x:is>
          <x:t xml:space="preserve">Audio-on</x:t>
        </x:is>
      </x:c>
      <x:c r="H398" s="17" t="inlineStr">
        <x:is>
          <x:t xml:space="preserve">Use mobile portrait playback</x:t>
        </x:is>
      </x:c>
      <x:c r="I398" s="17" t="inlineStr">
        <x:is>
          <x:t xml:space="preserve"/>
        </x:is>
      </x:c>
    </x:row>
    <x:row r="399">
      <x:c r="A399" s="16" t="inlineStr">
        <x:is>
          <x:t xml:space="preserve">P033</x:t>
        </x:is>
      </x:c>
      <x:c r="B399" s="16" t="n">
        <x:v>6</x:v>
      </x:c>
      <x:c r="C399" s="16" t="n">
        <x:v>11</x:v>
      </x:c>
      <x:c r="D399" s="16" t="inlineStr">
        <x:is>
          <x:t xml:space="preserve">V04</x:t>
        </x:is>
      </x:c>
      <x:c r="E399" s="16" t="inlineStr">
        <x:is>
          <x:t xml:space="preserve">Finance</x:t>
        </x:is>
      </x:c>
      <x:c r="F399" s="16" t="inlineStr">
        <x:is>
          <x:t xml:space="preserve">Heavy bionic</x:t>
        </x:is>
      </x:c>
      <x:c r="G399" s="16" t="inlineStr">
        <x:is>
          <x:t xml:space="preserve">Audio-on</x:t>
        </x:is>
      </x:c>
      <x:c r="H399" s="16" t="inlineStr">
        <x:is>
          <x:t xml:space="preserve">Use mobile portrait playback</x:t>
        </x:is>
      </x:c>
      <x:c r="I399" s="16" t="inlineStr">
        <x:is>
          <x:t xml:space="preserve"/>
        </x:is>
      </x:c>
    </x:row>
    <x:row r="400">
      <x:c r="A400" s="17" t="inlineStr">
        <x:is>
          <x:t xml:space="preserve">P033</x:t>
        </x:is>
      </x:c>
      <x:c r="B400" s="17" t="n">
        <x:v>6</x:v>
      </x:c>
      <x:c r="C400" s="17" t="n">
        <x:v>12</x:v>
      </x:c>
      <x:c r="D400" s="17" t="inlineStr">
        <x:is>
          <x:t xml:space="preserve">V11</x:t>
        </x:is>
      </x:c>
      <x:c r="E400" s="17" t="inlineStr">
        <x:is>
          <x:t xml:space="preserve">Creator strategy</x:t>
        </x:is>
      </x:c>
      <x:c r="F400" s="17" t="inlineStr">
        <x:is>
          <x:t xml:space="preserve">Full transcript</x:t>
        </x:is>
      </x:c>
      <x:c r="G400" s="17" t="inlineStr">
        <x:is>
          <x:t xml:space="preserve">Audio-on</x:t>
        </x:is>
      </x:c>
      <x:c r="H400" s="17" t="inlineStr">
        <x:is>
          <x:t xml:space="preserve">Use mobile portrait playback</x:t>
        </x:is>
      </x:c>
      <x:c r="I400" s="17" t="inlineStr">
        <x:is>
          <x:t xml:space="preserve"/>
        </x:is>
      </x:c>
    </x:row>
    <x:row r="401">
      <x:c r="A401" s="16" t="inlineStr">
        <x:is>
          <x:t xml:space="preserve">P034</x:t>
        </x:is>
      </x:c>
      <x:c r="B401" s="16" t="n">
        <x:v>6</x:v>
      </x:c>
      <x:c r="C401" s="16" t="n">
        <x:v>1</x:v>
      </x:c>
      <x:c r="D401" s="16" t="inlineStr">
        <x:is>
          <x:t xml:space="preserve">V05</x:t>
        </x:is>
      </x:c>
      <x:c r="E401" s="16" t="inlineStr">
        <x:is>
          <x:t xml:space="preserve">Tutorial</x:t>
        </x:is>
      </x:c>
      <x:c r="F401" s="16" t="inlineStr">
        <x:is>
          <x:t xml:space="preserve">Keyword highlight</x:t>
        </x:is>
      </x:c>
      <x:c r="G401" s="16" t="inlineStr">
        <x:is>
          <x:t xml:space="preserve">Audio-on</x:t>
        </x:is>
      </x:c>
      <x:c r="H401" s="16" t="inlineStr">
        <x:is>
          <x:t xml:space="preserve">Use mobile portrait playback</x:t>
        </x:is>
      </x:c>
      <x:c r="I401" s="16" t="inlineStr">
        <x:is>
          <x:t xml:space="preserve"/>
        </x:is>
      </x:c>
    </x:row>
    <x:row r="402">
      <x:c r="A402" s="17" t="inlineStr">
        <x:is>
          <x:t xml:space="preserve">P034</x:t>
        </x:is>
      </x:c>
      <x:c r="B402" s="17" t="n">
        <x:v>6</x:v>
      </x:c>
      <x:c r="C402" s="17" t="n">
        <x:v>2</x:v>
      </x:c>
      <x:c r="D402" s="17" t="inlineStr">
        <x:is>
          <x:t xml:space="preserve">V03</x:t>
        </x:is>
      </x:c>
      <x:c r="E402" s="17" t="inlineStr">
        <x:is>
          <x:t xml:space="preserve">Fitness</x:t>
        </x:is>
      </x:c>
      <x:c r="F402" s="17" t="inlineStr">
        <x:is>
          <x:t xml:space="preserve">Heavy bionic</x:t>
        </x:is>
      </x:c>
      <x:c r="G402" s="17" t="inlineStr">
        <x:is>
          <x:t xml:space="preserve">Audio-on</x:t>
        </x:is>
      </x:c>
      <x:c r="H402" s="17" t="inlineStr">
        <x:is>
          <x:t xml:space="preserve">Use mobile portrait playback</x:t>
        </x:is>
      </x:c>
      <x:c r="I402" s="17" t="inlineStr">
        <x:is>
          <x:t xml:space="preserve"/>
        </x:is>
      </x:c>
    </x:row>
    <x:row r="403">
      <x:c r="A403" s="16" t="inlineStr">
        <x:is>
          <x:t xml:space="preserve">P034</x:t>
        </x:is>
      </x:c>
      <x:c r="B403" s="16" t="n">
        <x:v>6</x:v>
      </x:c>
      <x:c r="C403" s="16" t="n">
        <x:v>3</x:v>
      </x:c>
      <x:c r="D403" s="16" t="inlineStr">
        <x:is>
          <x:t xml:space="preserve">V06</x:t>
        </x:is>
      </x:c>
      <x:c r="E403" s="16" t="inlineStr">
        <x:is>
          <x:t xml:space="preserve">Overload</x:t>
        </x:is>
      </x:c>
      <x:c r="F403" s="16" t="inlineStr">
        <x:is>
          <x:t xml:space="preserve">Semantic compression</x:t>
        </x:is>
      </x:c>
      <x:c r="G403" s="16" t="inlineStr">
        <x:is>
          <x:t xml:space="preserve">Audio-on</x:t>
        </x:is>
      </x:c>
      <x:c r="H403" s="16" t="inlineStr">
        <x:is>
          <x:t xml:space="preserve">Use mobile portrait playback</x:t>
        </x:is>
      </x:c>
      <x:c r="I403" s="16" t="inlineStr">
        <x:is>
          <x:t xml:space="preserve"/>
        </x:is>
      </x:c>
    </x:row>
    <x:row r="404">
      <x:c r="A404" s="17" t="inlineStr">
        <x:is>
          <x:t xml:space="preserve">P034</x:t>
        </x:is>
      </x:c>
      <x:c r="B404" s="17" t="n">
        <x:v>6</x:v>
      </x:c>
      <x:c r="C404" s="17" t="n">
        <x:v>4</x:v>
      </x:c>
      <x:c r="D404" s="17" t="inlineStr">
        <x:is>
          <x:t xml:space="preserve">V07</x:t>
        </x:is>
      </x:c>
      <x:c r="E404" s="17" t="inlineStr">
        <x:is>
          <x:t xml:space="preserve">Business</x:t>
        </x:is>
      </x:c>
      <x:c r="F404" s="17" t="inlineStr">
        <x:is>
          <x:t xml:space="preserve">BCC</x:t>
        </x:is>
      </x:c>
      <x:c r="G404" s="17" t="inlineStr">
        <x:is>
          <x:t xml:space="preserve">Audio-on</x:t>
        </x:is>
      </x:c>
      <x:c r="H404" s="17" t="inlineStr">
        <x:is>
          <x:t xml:space="preserve">Use mobile portrait playback</x:t>
        </x:is>
      </x:c>
      <x:c r="I404" s="17" t="inlineStr">
        <x:is>
          <x:t xml:space="preserve"/>
        </x:is>
      </x:c>
    </x:row>
    <x:row r="405">
      <x:c r="A405" s="16" t="inlineStr">
        <x:is>
          <x:t xml:space="preserve">P034</x:t>
        </x:is>
      </x:c>
      <x:c r="B405" s="16" t="n">
        <x:v>6</x:v>
      </x:c>
      <x:c r="C405" s="16" t="n">
        <x:v>5</x:v>
      </x:c>
      <x:c r="D405" s="16" t="inlineStr">
        <x:is>
          <x:t xml:space="preserve">V08</x:t>
        </x:is>
      </x:c>
      <x:c r="E405" s="16" t="inlineStr">
        <x:is>
          <x:t xml:space="preserve">Coding</x:t>
        </x:is>
      </x:c>
      <x:c r="F405" s="16" t="inlineStr">
        <x:is>
          <x:t xml:space="preserve">BCC+</x:t>
        </x:is>
      </x:c>
      <x:c r="G405" s="16" t="inlineStr">
        <x:is>
          <x:t xml:space="preserve">Audio-on</x:t>
        </x:is>
      </x:c>
      <x:c r="H405" s="16" t="inlineStr">
        <x:is>
          <x:t xml:space="preserve">Use mobile portrait playback</x:t>
        </x:is>
      </x:c>
      <x:c r="I405" s="16" t="inlineStr">
        <x:is>
          <x:t xml:space="preserve"/>
        </x:is>
      </x:c>
    </x:row>
    <x:row r="406">
      <x:c r="A406" s="17" t="inlineStr">
        <x:is>
          <x:t xml:space="preserve">P034</x:t>
        </x:is>
      </x:c>
      <x:c r="B406" s="17" t="n">
        <x:v>6</x:v>
      </x:c>
      <x:c r="C406" s="17" t="n">
        <x:v>6</x:v>
      </x:c>
      <x:c r="D406" s="17" t="inlineStr">
        <x:is>
          <x:t xml:space="preserve">V12</x:t>
        </x:is>
      </x:c>
      <x:c r="E406" s="17" t="inlineStr">
        <x:is>
          <x:t xml:space="preserve">Time management</x:t>
        </x:is>
      </x:c>
      <x:c r="F406" s="17" t="inlineStr">
        <x:is>
          <x:t xml:space="preserve">Semantic compression</x:t>
        </x:is>
      </x:c>
      <x:c r="G406" s="17" t="inlineStr">
        <x:is>
          <x:t xml:space="preserve">Audio-on</x:t>
        </x:is>
      </x:c>
      <x:c r="H406" s="17" t="inlineStr">
        <x:is>
          <x:t xml:space="preserve">Use mobile portrait playback</x:t>
        </x:is>
      </x:c>
      <x:c r="I406" s="17" t="inlineStr">
        <x:is>
          <x:t xml:space="preserve"/>
        </x:is>
      </x:c>
    </x:row>
    <x:row r="407">
      <x:c r="A407" s="16" t="inlineStr">
        <x:is>
          <x:t xml:space="preserve">P034</x:t>
        </x:is>
      </x:c>
      <x:c r="B407" s="16" t="n">
        <x:v>6</x:v>
      </x:c>
      <x:c r="C407" s="16" t="n">
        <x:v>7</x:v>
      </x:c>
      <x:c r="D407" s="16" t="inlineStr">
        <x:is>
          <x:t xml:space="preserve">V04</x:t>
        </x:is>
      </x:c>
      <x:c r="E407" s="16" t="inlineStr">
        <x:is>
          <x:t xml:space="preserve">Finance</x:t>
        </x:is>
      </x:c>
      <x:c r="F407" s="16" t="inlineStr">
        <x:is>
          <x:t xml:space="preserve">Full transcript</x:t>
        </x:is>
      </x:c>
      <x:c r="G407" s="16" t="inlineStr">
        <x:is>
          <x:t xml:space="preserve">Audio-on</x:t>
        </x:is>
      </x:c>
      <x:c r="H407" s="16" t="inlineStr">
        <x:is>
          <x:t xml:space="preserve">Use mobile portrait playback</x:t>
        </x:is>
      </x:c>
      <x:c r="I407" s="16" t="inlineStr">
        <x:is>
          <x:t xml:space="preserve"/>
        </x:is>
      </x:c>
    </x:row>
    <x:row r="408">
      <x:c r="A408" s="17" t="inlineStr">
        <x:is>
          <x:t xml:space="preserve">P034</x:t>
        </x:is>
      </x:c>
      <x:c r="B408" s="17" t="n">
        <x:v>6</x:v>
      </x:c>
      <x:c r="C408" s="17" t="n">
        <x:v>8</x:v>
      </x:c>
      <x:c r="D408" s="17" t="inlineStr">
        <x:is>
          <x:t xml:space="preserve">V09</x:t>
        </x:is>
      </x:c>
      <x:c r="E408" s="17" t="inlineStr">
        <x:is>
          <x:t xml:space="preserve">Sleep habit</x:t>
        </x:is>
      </x:c>
      <x:c r="F408" s="17" t="inlineStr">
        <x:is>
          <x:t xml:space="preserve">Heavy bionic</x:t>
        </x:is>
      </x:c>
      <x:c r="G408" s="17" t="inlineStr">
        <x:is>
          <x:t xml:space="preserve">Audio-on</x:t>
        </x:is>
      </x:c>
      <x:c r="H408" s="17" t="inlineStr">
        <x:is>
          <x:t xml:space="preserve">Use mobile portrait playback</x:t>
        </x:is>
      </x:c>
      <x:c r="I408" s="17" t="inlineStr">
        <x:is>
          <x:t xml:space="preserve"/>
        </x:is>
      </x:c>
    </x:row>
    <x:row r="409">
      <x:c r="A409" s="16" t="inlineStr">
        <x:is>
          <x:t xml:space="preserve">P034</x:t>
        </x:is>
      </x:c>
      <x:c r="B409" s="16" t="n">
        <x:v>6</x:v>
      </x:c>
      <x:c r="C409" s="16" t="n">
        <x:v>9</x:v>
      </x:c>
      <x:c r="D409" s="16" t="inlineStr">
        <x:is>
          <x:t xml:space="preserve">V10</x:t>
        </x:is>
      </x:c>
      <x:c r="E409" s="16" t="inlineStr">
        <x:is>
          <x:t xml:space="preserve">Product demo</x:t>
        </x:is>
      </x:c>
      <x:c r="F409" s="16" t="inlineStr">
        <x:is>
          <x:t xml:space="preserve">Full transcript</x:t>
        </x:is>
      </x:c>
      <x:c r="G409" s="16" t="inlineStr">
        <x:is>
          <x:t xml:space="preserve">Audio-on</x:t>
        </x:is>
      </x:c>
      <x:c r="H409" s="16" t="inlineStr">
        <x:is>
          <x:t xml:space="preserve">Use mobile portrait playback</x:t>
        </x:is>
      </x:c>
      <x:c r="I409" s="16" t="inlineStr">
        <x:is>
          <x:t xml:space="preserve"/>
        </x:is>
      </x:c>
    </x:row>
    <x:row r="410">
      <x:c r="A410" s="17" t="inlineStr">
        <x:is>
          <x:t xml:space="preserve">P034</x:t>
        </x:is>
      </x:c>
      <x:c r="B410" s="17" t="n">
        <x:v>6</x:v>
      </x:c>
      <x:c r="C410" s="17" t="n">
        <x:v>10</x:v>
      </x:c>
      <x:c r="D410" s="17" t="inlineStr">
        <x:is>
          <x:t xml:space="preserve">V02</x:t>
        </x:is>
      </x:c>
      <x:c r="E410" s="17" t="inlineStr">
        <x:is>
          <x:t xml:space="preserve">Study</x:t>
        </x:is>
      </x:c>
      <x:c r="F410" s="17" t="inlineStr">
        <x:is>
          <x:t xml:space="preserve">BCC+</x:t>
        </x:is>
      </x:c>
      <x:c r="G410" s="17" t="inlineStr">
        <x:is>
          <x:t xml:space="preserve">Audio-on</x:t>
        </x:is>
      </x:c>
      <x:c r="H410" s="17" t="inlineStr">
        <x:is>
          <x:t xml:space="preserve">Use mobile portrait playback</x:t>
        </x:is>
      </x:c>
      <x:c r="I410" s="17" t="inlineStr">
        <x:is>
          <x:t xml:space="preserve"/>
        </x:is>
      </x:c>
    </x:row>
    <x:row r="411">
      <x:c r="A411" s="16" t="inlineStr">
        <x:is>
          <x:t xml:space="preserve">P034</x:t>
        </x:is>
      </x:c>
      <x:c r="B411" s="16" t="n">
        <x:v>6</x:v>
      </x:c>
      <x:c r="C411" s="16" t="n">
        <x:v>11</x:v>
      </x:c>
      <x:c r="D411" s="16" t="inlineStr">
        <x:is>
          <x:t xml:space="preserve">V11</x:t>
        </x:is>
      </x:c>
      <x:c r="E411" s="16" t="inlineStr">
        <x:is>
          <x:t xml:space="preserve">Creator strategy</x:t>
        </x:is>
      </x:c>
      <x:c r="F411" s="16" t="inlineStr">
        <x:is>
          <x:t xml:space="preserve">Keyword highlight</x:t>
        </x:is>
      </x:c>
      <x:c r="G411" s="16" t="inlineStr">
        <x:is>
          <x:t xml:space="preserve">Audio-on</x:t>
        </x:is>
      </x:c>
      <x:c r="H411" s="16" t="inlineStr">
        <x:is>
          <x:t xml:space="preserve">Use mobile portrait playback</x:t>
        </x:is>
      </x:c>
      <x:c r="I411" s="16" t="inlineStr">
        <x:is>
          <x:t xml:space="preserve"/>
        </x:is>
      </x:c>
    </x:row>
    <x:row r="412">
      <x:c r="A412" s="17" t="inlineStr">
        <x:is>
          <x:t xml:space="preserve">P034</x:t>
        </x:is>
      </x:c>
      <x:c r="B412" s="17" t="n">
        <x:v>6</x:v>
      </x:c>
      <x:c r="C412" s="17" t="n">
        <x:v>12</x:v>
      </x:c>
      <x:c r="D412" s="17" t="inlineStr">
        <x:is>
          <x:t xml:space="preserve">V01</x:t>
        </x:is>
      </x:c>
      <x:c r="E412" s="17" t="inlineStr">
        <x:is>
          <x:t xml:space="preserve">Productivity</x:t>
        </x:is>
      </x:c>
      <x:c r="F412" s="17" t="inlineStr">
        <x:is>
          <x:t xml:space="preserve">BCC</x:t>
        </x:is>
      </x:c>
      <x:c r="G412" s="17" t="inlineStr">
        <x:is>
          <x:t xml:space="preserve">Audio-on</x:t>
        </x:is>
      </x:c>
      <x:c r="H412" s="17" t="inlineStr">
        <x:is>
          <x:t xml:space="preserve">Use mobile portrait playback</x:t>
        </x:is>
      </x:c>
      <x:c r="I412" s="17" t="inlineStr">
        <x:is>
          <x:t xml:space="preserve"/>
        </x:is>
      </x:c>
    </x:row>
    <x:row r="413">
      <x:c r="A413" s="16" t="inlineStr">
        <x:is>
          <x:t xml:space="preserve">P035</x:t>
        </x:is>
      </x:c>
      <x:c r="B413" s="16" t="n">
        <x:v>6</x:v>
      </x:c>
      <x:c r="C413" s="16" t="n">
        <x:v>1</x:v>
      </x:c>
      <x:c r="D413" s="16" t="inlineStr">
        <x:is>
          <x:t xml:space="preserve">V02</x:t>
        </x:is>
      </x:c>
      <x:c r="E413" s="16" t="inlineStr">
        <x:is>
          <x:t xml:space="preserve">Study</x:t>
        </x:is>
      </x:c>
      <x:c r="F413" s="16" t="inlineStr">
        <x:is>
          <x:t xml:space="preserve">Heavy bionic</x:t>
        </x:is>
      </x:c>
      <x:c r="G413" s="16" t="inlineStr">
        <x:is>
          <x:t xml:space="preserve">Audio-on</x:t>
        </x:is>
      </x:c>
      <x:c r="H413" s="16" t="inlineStr">
        <x:is>
          <x:t xml:space="preserve">Use mobile portrait playback</x:t>
        </x:is>
      </x:c>
      <x:c r="I413" s="16" t="inlineStr">
        <x:is>
          <x:t xml:space="preserve"/>
        </x:is>
      </x:c>
    </x:row>
    <x:row r="414">
      <x:c r="A414" s="17" t="inlineStr">
        <x:is>
          <x:t xml:space="preserve">P035</x:t>
        </x:is>
      </x:c>
      <x:c r="B414" s="17" t="n">
        <x:v>6</x:v>
      </x:c>
      <x:c r="C414" s="17" t="n">
        <x:v>2</x:v>
      </x:c>
      <x:c r="D414" s="17" t="inlineStr">
        <x:is>
          <x:t xml:space="preserve">V09</x:t>
        </x:is>
      </x:c>
      <x:c r="E414" s="17" t="inlineStr">
        <x:is>
          <x:t xml:space="preserve">Sleep habit</x:t>
        </x:is>
      </x:c>
      <x:c r="F414" s="17" t="inlineStr">
        <x:is>
          <x:t xml:space="preserve">Full transcript</x:t>
        </x:is>
      </x:c>
      <x:c r="G414" s="17" t="inlineStr">
        <x:is>
          <x:t xml:space="preserve">Audio-on</x:t>
        </x:is>
      </x:c>
      <x:c r="H414" s="17" t="inlineStr">
        <x:is>
          <x:t xml:space="preserve">Use mobile portrait playback</x:t>
        </x:is>
      </x:c>
      <x:c r="I414" s="17" t="inlineStr">
        <x:is>
          <x:t xml:space="preserve"/>
        </x:is>
      </x:c>
    </x:row>
    <x:row r="415">
      <x:c r="A415" s="16" t="inlineStr">
        <x:is>
          <x:t xml:space="preserve">P035</x:t>
        </x:is>
      </x:c>
      <x:c r="B415" s="16" t="n">
        <x:v>6</x:v>
      </x:c>
      <x:c r="C415" s="16" t="n">
        <x:v>3</x:v>
      </x:c>
      <x:c r="D415" s="16" t="inlineStr">
        <x:is>
          <x:t xml:space="preserve">V12</x:t>
        </x:is>
      </x:c>
      <x:c r="E415" s="16" t="inlineStr">
        <x:is>
          <x:t xml:space="preserve">Time management</x:t>
        </x:is>
      </x:c>
      <x:c r="F415" s="16" t="inlineStr">
        <x:is>
          <x:t xml:space="preserve">BCC</x:t>
        </x:is>
      </x:c>
      <x:c r="G415" s="16" t="inlineStr">
        <x:is>
          <x:t xml:space="preserve">Audio-on</x:t>
        </x:is>
      </x:c>
      <x:c r="H415" s="16" t="inlineStr">
        <x:is>
          <x:t xml:space="preserve">Use mobile portrait playback</x:t>
        </x:is>
      </x:c>
      <x:c r="I415" s="16" t="inlineStr">
        <x:is>
          <x:t xml:space="preserve"/>
        </x:is>
      </x:c>
    </x:row>
    <x:row r="416">
      <x:c r="A416" s="17" t="inlineStr">
        <x:is>
          <x:t xml:space="preserve">P035</x:t>
        </x:is>
      </x:c>
      <x:c r="B416" s="17" t="n">
        <x:v>6</x:v>
      </x:c>
      <x:c r="C416" s="17" t="n">
        <x:v>4</x:v>
      </x:c>
      <x:c r="D416" s="17" t="inlineStr">
        <x:is>
          <x:t xml:space="preserve">V06</x:t>
        </x:is>
      </x:c>
      <x:c r="E416" s="17" t="inlineStr">
        <x:is>
          <x:t xml:space="preserve">Overload</x:t>
        </x:is>
      </x:c>
      <x:c r="F416" s="17" t="inlineStr">
        <x:is>
          <x:t xml:space="preserve">BCC</x:t>
        </x:is>
      </x:c>
      <x:c r="G416" s="17" t="inlineStr">
        <x:is>
          <x:t xml:space="preserve">Audio-on</x:t>
        </x:is>
      </x:c>
      <x:c r="H416" s="17" t="inlineStr">
        <x:is>
          <x:t xml:space="preserve">Use mobile portrait playback</x:t>
        </x:is>
      </x:c>
      <x:c r="I416" s="17" t="inlineStr">
        <x:is>
          <x:t xml:space="preserve"/>
        </x:is>
      </x:c>
    </x:row>
    <x:row r="417">
      <x:c r="A417" s="16" t="inlineStr">
        <x:is>
          <x:t xml:space="preserve">P035</x:t>
        </x:is>
      </x:c>
      <x:c r="B417" s="16" t="n">
        <x:v>6</x:v>
      </x:c>
      <x:c r="C417" s="16" t="n">
        <x:v>5</x:v>
      </x:c>
      <x:c r="D417" s="16" t="inlineStr">
        <x:is>
          <x:t xml:space="preserve">V04</x:t>
        </x:is>
      </x:c>
      <x:c r="E417" s="16" t="inlineStr">
        <x:is>
          <x:t xml:space="preserve">Finance</x:t>
        </x:is>
      </x:c>
      <x:c r="F417" s="16" t="inlineStr">
        <x:is>
          <x:t xml:space="preserve">Keyword highlight</x:t>
        </x:is>
      </x:c>
      <x:c r="G417" s="16" t="inlineStr">
        <x:is>
          <x:t xml:space="preserve">Audio-on</x:t>
        </x:is>
      </x:c>
      <x:c r="H417" s="16" t="inlineStr">
        <x:is>
          <x:t xml:space="preserve">Use mobile portrait playback</x:t>
        </x:is>
      </x:c>
      <x:c r="I417" s="16" t="inlineStr">
        <x:is>
          <x:t xml:space="preserve"/>
        </x:is>
      </x:c>
    </x:row>
    <x:row r="418">
      <x:c r="A418" s="17" t="inlineStr">
        <x:is>
          <x:t xml:space="preserve">P035</x:t>
        </x:is>
      </x:c>
      <x:c r="B418" s="17" t="n">
        <x:v>6</x:v>
      </x:c>
      <x:c r="C418" s="17" t="n">
        <x:v>6</x:v>
      </x:c>
      <x:c r="D418" s="17" t="inlineStr">
        <x:is>
          <x:t xml:space="preserve">V07</x:t>
        </x:is>
      </x:c>
      <x:c r="E418" s="17" t="inlineStr">
        <x:is>
          <x:t xml:space="preserve">Business</x:t>
        </x:is>
      </x:c>
      <x:c r="F418" s="17" t="inlineStr">
        <x:is>
          <x:t xml:space="preserve">BCC+</x:t>
        </x:is>
      </x:c>
      <x:c r="G418" s="17" t="inlineStr">
        <x:is>
          <x:t xml:space="preserve">Audio-on</x:t>
        </x:is>
      </x:c>
      <x:c r="H418" s="17" t="inlineStr">
        <x:is>
          <x:t xml:space="preserve">Use mobile portrait playback</x:t>
        </x:is>
      </x:c>
      <x:c r="I418" s="17" t="inlineStr">
        <x:is>
          <x:t xml:space="preserve"/>
        </x:is>
      </x:c>
    </x:row>
    <x:row r="419">
      <x:c r="A419" s="16" t="inlineStr">
        <x:is>
          <x:t xml:space="preserve">P035</x:t>
        </x:is>
      </x:c>
      <x:c r="B419" s="16" t="n">
        <x:v>6</x:v>
      </x:c>
      <x:c r="C419" s="16" t="n">
        <x:v>7</x:v>
      </x:c>
      <x:c r="D419" s="16" t="inlineStr">
        <x:is>
          <x:t xml:space="preserve">V01</x:t>
        </x:is>
      </x:c>
      <x:c r="E419" s="16" t="inlineStr">
        <x:is>
          <x:t xml:space="preserve">Productivity</x:t>
        </x:is>
      </x:c>
      <x:c r="F419" s="16" t="inlineStr">
        <x:is>
          <x:t xml:space="preserve">BCC+</x:t>
        </x:is>
      </x:c>
      <x:c r="G419" s="16" t="inlineStr">
        <x:is>
          <x:t xml:space="preserve">Audio-on</x:t>
        </x:is>
      </x:c>
      <x:c r="H419" s="16" t="inlineStr">
        <x:is>
          <x:t xml:space="preserve">Use mobile portrait playback</x:t>
        </x:is>
      </x:c>
      <x:c r="I419" s="16" t="inlineStr">
        <x:is>
          <x:t xml:space="preserve"/>
        </x:is>
      </x:c>
    </x:row>
    <x:row r="420">
      <x:c r="A420" s="17" t="inlineStr">
        <x:is>
          <x:t xml:space="preserve">P035</x:t>
        </x:is>
      </x:c>
      <x:c r="B420" s="17" t="n">
        <x:v>6</x:v>
      </x:c>
      <x:c r="C420" s="17" t="n">
        <x:v>8</x:v>
      </x:c>
      <x:c r="D420" s="17" t="inlineStr">
        <x:is>
          <x:t xml:space="preserve">V10</x:t>
        </x:is>
      </x:c>
      <x:c r="E420" s="17" t="inlineStr">
        <x:is>
          <x:t xml:space="preserve">Product demo</x:t>
        </x:is>
      </x:c>
      <x:c r="F420" s="17" t="inlineStr">
        <x:is>
          <x:t xml:space="preserve">Keyword highlight</x:t>
        </x:is>
      </x:c>
      <x:c r="G420" s="17" t="inlineStr">
        <x:is>
          <x:t xml:space="preserve">Audio-on</x:t>
        </x:is>
      </x:c>
      <x:c r="H420" s="17" t="inlineStr">
        <x:is>
          <x:t xml:space="preserve">Use mobile portrait playback</x:t>
        </x:is>
      </x:c>
      <x:c r="I420" s="17" t="inlineStr">
        <x:is>
          <x:t xml:space="preserve"/>
        </x:is>
      </x:c>
    </x:row>
    <x:row r="421">
      <x:c r="A421" s="16" t="inlineStr">
        <x:is>
          <x:t xml:space="preserve">P035</x:t>
        </x:is>
      </x:c>
      <x:c r="B421" s="16" t="n">
        <x:v>6</x:v>
      </x:c>
      <x:c r="C421" s="16" t="n">
        <x:v>9</x:v>
      </x:c>
      <x:c r="D421" s="16" t="inlineStr">
        <x:is>
          <x:t xml:space="preserve">V05</x:t>
        </x:is>
      </x:c>
      <x:c r="E421" s="16" t="inlineStr">
        <x:is>
          <x:t xml:space="preserve">Tutorial</x:t>
        </x:is>
      </x:c>
      <x:c r="F421" s="16" t="inlineStr">
        <x:is>
          <x:t xml:space="preserve">Semantic compression</x:t>
        </x:is>
      </x:c>
      <x:c r="G421" s="16" t="inlineStr">
        <x:is>
          <x:t xml:space="preserve">Audio-on</x:t>
        </x:is>
      </x:c>
      <x:c r="H421" s="16" t="inlineStr">
        <x:is>
          <x:t xml:space="preserve">Use mobile portrait playback</x:t>
        </x:is>
      </x:c>
      <x:c r="I421" s="16" t="inlineStr">
        <x:is>
          <x:t xml:space="preserve"/>
        </x:is>
      </x:c>
    </x:row>
    <x:row r="422">
      <x:c r="A422" s="17" t="inlineStr">
        <x:is>
          <x:t xml:space="preserve">P035</x:t>
        </x:is>
      </x:c>
      <x:c r="B422" s="17" t="n">
        <x:v>6</x:v>
      </x:c>
      <x:c r="C422" s="17" t="n">
        <x:v>10</x:v>
      </x:c>
      <x:c r="D422" s="17" t="inlineStr">
        <x:is>
          <x:t xml:space="preserve">V03</x:t>
        </x:is>
      </x:c>
      <x:c r="E422" s="17" t="inlineStr">
        <x:is>
          <x:t xml:space="preserve">Fitness</x:t>
        </x:is>
      </x:c>
      <x:c r="F422" s="17" t="inlineStr">
        <x:is>
          <x:t xml:space="preserve">Full transcript</x:t>
        </x:is>
      </x:c>
      <x:c r="G422" s="17" t="inlineStr">
        <x:is>
          <x:t xml:space="preserve">Audio-on</x:t>
        </x:is>
      </x:c>
      <x:c r="H422" s="17" t="inlineStr">
        <x:is>
          <x:t xml:space="preserve">Use mobile portrait playback</x:t>
        </x:is>
      </x:c>
      <x:c r="I422" s="17" t="inlineStr">
        <x:is>
          <x:t xml:space="preserve"/>
        </x:is>
      </x:c>
    </x:row>
    <x:row r="423">
      <x:c r="A423" s="16" t="inlineStr">
        <x:is>
          <x:t xml:space="preserve">P035</x:t>
        </x:is>
      </x:c>
      <x:c r="B423" s="16" t="n">
        <x:v>6</x:v>
      </x:c>
      <x:c r="C423" s="16" t="n">
        <x:v>11</x:v>
      </x:c>
      <x:c r="D423" s="16" t="inlineStr">
        <x:is>
          <x:t xml:space="preserve">V08</x:t>
        </x:is>
      </x:c>
      <x:c r="E423" s="16" t="inlineStr">
        <x:is>
          <x:t xml:space="preserve">Coding</x:t>
        </x:is>
      </x:c>
      <x:c r="F423" s="16" t="inlineStr">
        <x:is>
          <x:t xml:space="preserve">Heavy bionic</x:t>
        </x:is>
      </x:c>
      <x:c r="G423" s="16" t="inlineStr">
        <x:is>
          <x:t xml:space="preserve">Audio-on</x:t>
        </x:is>
      </x:c>
      <x:c r="H423" s="16" t="inlineStr">
        <x:is>
          <x:t xml:space="preserve">Use mobile portrait playback</x:t>
        </x:is>
      </x:c>
      <x:c r="I423" s="16" t="inlineStr">
        <x:is>
          <x:t xml:space="preserve"/>
        </x:is>
      </x:c>
    </x:row>
    <x:row r="424">
      <x:c r="A424" s="17" t="inlineStr">
        <x:is>
          <x:t xml:space="preserve">P035</x:t>
        </x:is>
      </x:c>
      <x:c r="B424" s="17" t="n">
        <x:v>6</x:v>
      </x:c>
      <x:c r="C424" s="17" t="n">
        <x:v>12</x:v>
      </x:c>
      <x:c r="D424" s="17" t="inlineStr">
        <x:is>
          <x:t xml:space="preserve">V11</x:t>
        </x:is>
      </x:c>
      <x:c r="E424" s="17" t="inlineStr">
        <x:is>
          <x:t xml:space="preserve">Creator strategy</x:t>
        </x:is>
      </x:c>
      <x:c r="F424" s="17" t="inlineStr">
        <x:is>
          <x:t xml:space="preserve">Semantic compression</x:t>
        </x:is>
      </x:c>
      <x:c r="G424" s="17" t="inlineStr">
        <x:is>
          <x:t xml:space="preserve">Audio-on</x:t>
        </x:is>
      </x:c>
      <x:c r="H424" s="17" t="inlineStr">
        <x:is>
          <x:t xml:space="preserve">Use mobile portrait playback</x:t>
        </x:is>
      </x:c>
      <x:c r="I424" s="17" t="inlineStr">
        <x:is>
          <x:t xml:space="preserve"/>
        </x:is>
      </x:c>
    </x:row>
    <x:row r="425">
      <x:c r="A425" s="16" t="inlineStr">
        <x:is>
          <x:t xml:space="preserve">P036</x:t>
        </x:is>
      </x:c>
      <x:c r="B425" s="16" t="n">
        <x:v>6</x:v>
      </x:c>
      <x:c r="C425" s="16" t="n">
        <x:v>1</x:v>
      </x:c>
      <x:c r="D425" s="16" t="inlineStr">
        <x:is>
          <x:t xml:space="preserve">V06</x:t>
        </x:is>
      </x:c>
      <x:c r="E425" s="16" t="inlineStr">
        <x:is>
          <x:t xml:space="preserve">Overload</x:t>
        </x:is>
      </x:c>
      <x:c r="F425" s="16" t="inlineStr">
        <x:is>
          <x:t xml:space="preserve">BCC+</x:t>
        </x:is>
      </x:c>
      <x:c r="G425" s="16" t="inlineStr">
        <x:is>
          <x:t xml:space="preserve">Audio-on</x:t>
        </x:is>
      </x:c>
      <x:c r="H425" s="16" t="inlineStr">
        <x:is>
          <x:t xml:space="preserve">Use mobile portrait playback</x:t>
        </x:is>
      </x:c>
      <x:c r="I425" s="16" t="inlineStr">
        <x:is>
          <x:t xml:space="preserve"/>
        </x:is>
      </x:c>
    </x:row>
    <x:row r="426">
      <x:c r="A426" s="17" t="inlineStr">
        <x:is>
          <x:t xml:space="preserve">P036</x:t>
        </x:is>
      </x:c>
      <x:c r="B426" s="17" t="n">
        <x:v>6</x:v>
      </x:c>
      <x:c r="C426" s="17" t="n">
        <x:v>2</x:v>
      </x:c>
      <x:c r="D426" s="17" t="inlineStr">
        <x:is>
          <x:t xml:space="preserve">V05</x:t>
        </x:is>
      </x:c>
      <x:c r="E426" s="17" t="inlineStr">
        <x:is>
          <x:t xml:space="preserve">Tutorial</x:t>
        </x:is>
      </x:c>
      <x:c r="F426" s="17" t="inlineStr">
        <x:is>
          <x:t xml:space="preserve">BCC</x:t>
        </x:is>
      </x:c>
      <x:c r="G426" s="17" t="inlineStr">
        <x:is>
          <x:t xml:space="preserve">Audio-on</x:t>
        </x:is>
      </x:c>
      <x:c r="H426" s="17" t="inlineStr">
        <x:is>
          <x:t xml:space="preserve">Use mobile portrait playback</x:t>
        </x:is>
      </x:c>
      <x:c r="I426" s="17" t="inlineStr">
        <x:is>
          <x:t xml:space="preserve"/>
        </x:is>
      </x:c>
    </x:row>
    <x:row r="427">
      <x:c r="A427" s="16" t="inlineStr">
        <x:is>
          <x:t xml:space="preserve">P036</x:t>
        </x:is>
      </x:c>
      <x:c r="B427" s="16" t="n">
        <x:v>6</x:v>
      </x:c>
      <x:c r="C427" s="16" t="n">
        <x:v>3</x:v>
      </x:c>
      <x:c r="D427" s="16" t="inlineStr">
        <x:is>
          <x:t xml:space="preserve">V12</x:t>
        </x:is>
      </x:c>
      <x:c r="E427" s="16" t="inlineStr">
        <x:is>
          <x:t xml:space="preserve">Time management</x:t>
        </x:is>
      </x:c>
      <x:c r="F427" s="16" t="inlineStr">
        <x:is>
          <x:t xml:space="preserve">BCC+</x:t>
        </x:is>
      </x:c>
      <x:c r="G427" s="16" t="inlineStr">
        <x:is>
          <x:t xml:space="preserve">Audio-on</x:t>
        </x:is>
      </x:c>
      <x:c r="H427" s="16" t="inlineStr">
        <x:is>
          <x:t xml:space="preserve">Use mobile portrait playback</x:t>
        </x:is>
      </x:c>
      <x:c r="I427" s="16" t="inlineStr">
        <x:is>
          <x:t xml:space="preserve"/>
        </x:is>
      </x:c>
    </x:row>
    <x:row r="428">
      <x:c r="A428" s="17" t="inlineStr">
        <x:is>
          <x:t xml:space="preserve">P036</x:t>
        </x:is>
      </x:c>
      <x:c r="B428" s="17" t="n">
        <x:v>6</x:v>
      </x:c>
      <x:c r="C428" s="17" t="n">
        <x:v>4</x:v>
      </x:c>
      <x:c r="D428" s="17" t="inlineStr">
        <x:is>
          <x:t xml:space="preserve">V09</x:t>
        </x:is>
      </x:c>
      <x:c r="E428" s="17" t="inlineStr">
        <x:is>
          <x:t xml:space="preserve">Sleep habit</x:t>
        </x:is>
      </x:c>
      <x:c r="F428" s="17" t="inlineStr">
        <x:is>
          <x:t xml:space="preserve">Keyword highlight</x:t>
        </x:is>
      </x:c>
      <x:c r="G428" s="17" t="inlineStr">
        <x:is>
          <x:t xml:space="preserve">Audio-on</x:t>
        </x:is>
      </x:c>
      <x:c r="H428" s="17" t="inlineStr">
        <x:is>
          <x:t xml:space="preserve">Use mobile portrait playback</x:t>
        </x:is>
      </x:c>
      <x:c r="I428" s="17" t="inlineStr">
        <x:is>
          <x:t xml:space="preserve"/>
        </x:is>
      </x:c>
    </x:row>
    <x:row r="429">
      <x:c r="A429" s="16" t="inlineStr">
        <x:is>
          <x:t xml:space="preserve">P036</x:t>
        </x:is>
      </x:c>
      <x:c r="B429" s="16" t="n">
        <x:v>6</x:v>
      </x:c>
      <x:c r="C429" s="16" t="n">
        <x:v>5</x:v>
      </x:c>
      <x:c r="D429" s="16" t="inlineStr">
        <x:is>
          <x:t xml:space="preserve">V04</x:t>
        </x:is>
      </x:c>
      <x:c r="E429" s="16" t="inlineStr">
        <x:is>
          <x:t xml:space="preserve">Finance</x:t>
        </x:is>
      </x:c>
      <x:c r="F429" s="16" t="inlineStr">
        <x:is>
          <x:t xml:space="preserve">Semantic compression</x:t>
        </x:is>
      </x:c>
      <x:c r="G429" s="16" t="inlineStr">
        <x:is>
          <x:t xml:space="preserve">Audio-on</x:t>
        </x:is>
      </x:c>
      <x:c r="H429" s="16" t="inlineStr">
        <x:is>
          <x:t xml:space="preserve">Use mobile portrait playback</x:t>
        </x:is>
      </x:c>
      <x:c r="I429" s="16" t="inlineStr">
        <x:is>
          <x:t xml:space="preserve"/>
        </x:is>
      </x:c>
    </x:row>
    <x:row r="430">
      <x:c r="A430" s="17" t="inlineStr">
        <x:is>
          <x:t xml:space="preserve">P036</x:t>
        </x:is>
      </x:c>
      <x:c r="B430" s="17" t="n">
        <x:v>6</x:v>
      </x:c>
      <x:c r="C430" s="17" t="n">
        <x:v>6</x:v>
      </x:c>
      <x:c r="D430" s="17" t="inlineStr">
        <x:is>
          <x:t xml:space="preserve">V03</x:t>
        </x:is>
      </x:c>
      <x:c r="E430" s="17" t="inlineStr">
        <x:is>
          <x:t xml:space="preserve">Fitness</x:t>
        </x:is>
      </x:c>
      <x:c r="F430" s="17" t="inlineStr">
        <x:is>
          <x:t xml:space="preserve">Keyword highlight</x:t>
        </x:is>
      </x:c>
      <x:c r="G430" s="17" t="inlineStr">
        <x:is>
          <x:t xml:space="preserve">Audio-on</x:t>
        </x:is>
      </x:c>
      <x:c r="H430" s="17" t="inlineStr">
        <x:is>
          <x:t xml:space="preserve">Use mobile portrait playback</x:t>
        </x:is>
      </x:c>
      <x:c r="I430" s="17" t="inlineStr">
        <x:is>
          <x:t xml:space="preserve"/>
        </x:is>
      </x:c>
    </x:row>
    <x:row r="431">
      <x:c r="A431" s="16" t="inlineStr">
        <x:is>
          <x:t xml:space="preserve">P036</x:t>
        </x:is>
      </x:c>
      <x:c r="B431" s="16" t="n">
        <x:v>6</x:v>
      </x:c>
      <x:c r="C431" s="16" t="n">
        <x:v>7</x:v>
      </x:c>
      <x:c r="D431" s="16" t="inlineStr">
        <x:is>
          <x:t xml:space="preserve">V08</x:t>
        </x:is>
      </x:c>
      <x:c r="E431" s="16" t="inlineStr">
        <x:is>
          <x:t xml:space="preserve">Coding</x:t>
        </x:is>
      </x:c>
      <x:c r="F431" s="16" t="inlineStr">
        <x:is>
          <x:t xml:space="preserve">Full transcript</x:t>
        </x:is>
      </x:c>
      <x:c r="G431" s="16" t="inlineStr">
        <x:is>
          <x:t xml:space="preserve">Audio-on</x:t>
        </x:is>
      </x:c>
      <x:c r="H431" s="16" t="inlineStr">
        <x:is>
          <x:t xml:space="preserve">Use mobile portrait playback</x:t>
        </x:is>
      </x:c>
      <x:c r="I431" s="16" t="inlineStr">
        <x:is>
          <x:t xml:space="preserve"/>
        </x:is>
      </x:c>
    </x:row>
    <x:row r="432">
      <x:c r="A432" s="17" t="inlineStr">
        <x:is>
          <x:t xml:space="preserve">P036</x:t>
        </x:is>
      </x:c>
      <x:c r="B432" s="17" t="n">
        <x:v>6</x:v>
      </x:c>
      <x:c r="C432" s="17" t="n">
        <x:v>8</x:v>
      </x:c>
      <x:c r="D432" s="17" t="inlineStr">
        <x:is>
          <x:t xml:space="preserve">V01</x:t>
        </x:is>
      </x:c>
      <x:c r="E432" s="17" t="inlineStr">
        <x:is>
          <x:t xml:space="preserve">Productivity</x:t>
        </x:is>
      </x:c>
      <x:c r="F432" s="17" t="inlineStr">
        <x:is>
          <x:t xml:space="preserve">Heavy bionic</x:t>
        </x:is>
      </x:c>
      <x:c r="G432" s="17" t="inlineStr">
        <x:is>
          <x:t xml:space="preserve">Audio-on</x:t>
        </x:is>
      </x:c>
      <x:c r="H432" s="17" t="inlineStr">
        <x:is>
          <x:t xml:space="preserve">Use mobile portrait playback</x:t>
        </x:is>
      </x:c>
      <x:c r="I432" s="17" t="inlineStr">
        <x:is>
          <x:t xml:space="preserve"/>
        </x:is>
      </x:c>
    </x:row>
    <x:row r="433">
      <x:c r="A433" s="16" t="inlineStr">
        <x:is>
          <x:t xml:space="preserve">P036</x:t>
        </x:is>
      </x:c>
      <x:c r="B433" s="16" t="n">
        <x:v>6</x:v>
      </x:c>
      <x:c r="C433" s="16" t="n">
        <x:v>9</x:v>
      </x:c>
      <x:c r="D433" s="16" t="inlineStr">
        <x:is>
          <x:t xml:space="preserve">V10</x:t>
        </x:is>
      </x:c>
      <x:c r="E433" s="16" t="inlineStr">
        <x:is>
          <x:t xml:space="preserve">Product demo</x:t>
        </x:is>
      </x:c>
      <x:c r="F433" s="16" t="inlineStr">
        <x:is>
          <x:t xml:space="preserve">Semantic compression</x:t>
        </x:is>
      </x:c>
      <x:c r="G433" s="16" t="inlineStr">
        <x:is>
          <x:t xml:space="preserve">Audio-on</x:t>
        </x:is>
      </x:c>
      <x:c r="H433" s="16" t="inlineStr">
        <x:is>
          <x:t xml:space="preserve">Use mobile portrait playback</x:t>
        </x:is>
      </x:c>
      <x:c r="I433" s="16" t="inlineStr">
        <x:is>
          <x:t xml:space="preserve"/>
        </x:is>
      </x:c>
    </x:row>
    <x:row r="434">
      <x:c r="A434" s="17" t="inlineStr">
        <x:is>
          <x:t xml:space="preserve">P036</x:t>
        </x:is>
      </x:c>
      <x:c r="B434" s="17" t="n">
        <x:v>6</x:v>
      </x:c>
      <x:c r="C434" s="17" t="n">
        <x:v>10</x:v>
      </x:c>
      <x:c r="D434" s="17" t="inlineStr">
        <x:is>
          <x:t xml:space="preserve">V02</x:t>
        </x:is>
      </x:c>
      <x:c r="E434" s="17" t="inlineStr">
        <x:is>
          <x:t xml:space="preserve">Study</x:t>
        </x:is>
      </x:c>
      <x:c r="F434" s="17" t="inlineStr">
        <x:is>
          <x:t xml:space="preserve">Full transcript</x:t>
        </x:is>
      </x:c>
      <x:c r="G434" s="17" t="inlineStr">
        <x:is>
          <x:t xml:space="preserve">Audio-on</x:t>
        </x:is>
      </x:c>
      <x:c r="H434" s="17" t="inlineStr">
        <x:is>
          <x:t xml:space="preserve">Use mobile portrait playback</x:t>
        </x:is>
      </x:c>
      <x:c r="I434" s="17" t="inlineStr">
        <x:is>
          <x:t xml:space="preserve"/>
        </x:is>
      </x:c>
    </x:row>
    <x:row r="435">
      <x:c r="A435" s="16" t="inlineStr">
        <x:is>
          <x:t xml:space="preserve">P036</x:t>
        </x:is>
      </x:c>
      <x:c r="B435" s="16" t="n">
        <x:v>6</x:v>
      </x:c>
      <x:c r="C435" s="16" t="n">
        <x:v>11</x:v>
      </x:c>
      <x:c r="D435" s="16" t="inlineStr">
        <x:is>
          <x:t xml:space="preserve">V11</x:t>
        </x:is>
      </x:c>
      <x:c r="E435" s="16" t="inlineStr">
        <x:is>
          <x:t xml:space="preserve">Creator strategy</x:t>
        </x:is>
      </x:c>
      <x:c r="F435" s="16" t="inlineStr">
        <x:is>
          <x:t xml:space="preserve">BCC</x:t>
        </x:is>
      </x:c>
      <x:c r="G435" s="16" t="inlineStr">
        <x:is>
          <x:t xml:space="preserve">Audio-on</x:t>
        </x:is>
      </x:c>
      <x:c r="H435" s="16" t="inlineStr">
        <x:is>
          <x:t xml:space="preserve">Use mobile portrait playback</x:t>
        </x:is>
      </x:c>
      <x:c r="I435" s="16" t="inlineStr">
        <x:is>
          <x:t xml:space="preserve"/>
        </x:is>
      </x:c>
    </x:row>
    <x:row r="436">
      <x:c r="A436" s="17" t="inlineStr">
        <x:is>
          <x:t xml:space="preserve">P036</x:t>
        </x:is>
      </x:c>
      <x:c r="B436" s="17" t="n">
        <x:v>6</x:v>
      </x:c>
      <x:c r="C436" s="17" t="n">
        <x:v>12</x:v>
      </x:c>
      <x:c r="D436" s="17" t="inlineStr">
        <x:is>
          <x:t xml:space="preserve">V07</x:t>
        </x:is>
      </x:c>
      <x:c r="E436" s="17" t="inlineStr">
        <x:is>
          <x:t xml:space="preserve">Business</x:t>
        </x:is>
      </x:c>
      <x:c r="F436" s="17" t="inlineStr">
        <x:is>
          <x:t xml:space="preserve">Heavy bionic</x:t>
        </x:is>
      </x:c>
      <x:c r="G436" s="17" t="inlineStr">
        <x:is>
          <x:t xml:space="preserve">Audio-on</x:t>
        </x:is>
      </x:c>
      <x:c r="H436" s="17" t="inlineStr">
        <x:is>
          <x:t xml:space="preserve">Use mobile portrait playback</x:t>
        </x:is>
      </x:c>
      <x:c r="I436" s="17" t="inlineStr">
        <x:is>
          <x:t xml:space="preserve"/>
        </x:is>
      </x:c>
    </x:row>
    <x:row r="437">
      <x:c r="A437" s="16" t="inlineStr">
        <x:is>
          <x:t xml:space="preserve">P037</x:t>
        </x:is>
      </x:c>
      <x:c r="B437" s="16" t="n">
        <x:v>7</x:v>
      </x:c>
      <x:c r="C437" s="16" t="n">
        <x:v>1</x:v>
      </x:c>
      <x:c r="D437" s="16" t="inlineStr">
        <x:is>
          <x:t xml:space="preserve">V04</x:t>
        </x:is>
      </x:c>
      <x:c r="E437" s="16" t="inlineStr">
        <x:is>
          <x:t xml:space="preserve">Finance</x:t>
        </x:is>
      </x:c>
      <x:c r="F437" s="16" t="inlineStr">
        <x:is>
          <x:t xml:space="preserve">BCC</x:t>
        </x:is>
      </x:c>
      <x:c r="G437" s="16" t="inlineStr">
        <x:is>
          <x:t xml:space="preserve">Muted</x:t>
        </x:is>
      </x:c>
      <x:c r="H437" s="16" t="inlineStr">
        <x:is>
          <x:t xml:space="preserve">Use mobile portrait playback</x:t>
        </x:is>
      </x:c>
      <x:c r="I437" s="16" t="inlineStr">
        <x:is>
          <x:t xml:space="preserve"/>
        </x:is>
      </x:c>
    </x:row>
    <x:row r="438">
      <x:c r="A438" s="17" t="inlineStr">
        <x:is>
          <x:t xml:space="preserve">P037</x:t>
        </x:is>
      </x:c>
      <x:c r="B438" s="17" t="n">
        <x:v>7</x:v>
      </x:c>
      <x:c r="C438" s="17" t="n">
        <x:v>2</x:v>
      </x:c>
      <x:c r="D438" s="17" t="inlineStr">
        <x:is>
          <x:t xml:space="preserve">V07</x:t>
        </x:is>
      </x:c>
      <x:c r="E438" s="17" t="inlineStr">
        <x:is>
          <x:t xml:space="preserve">Business</x:t>
        </x:is>
      </x:c>
      <x:c r="F438" s="17" t="inlineStr">
        <x:is>
          <x:t xml:space="preserve">Full transcript</x:t>
        </x:is>
      </x:c>
      <x:c r="G438" s="17" t="inlineStr">
        <x:is>
          <x:t xml:space="preserve">Muted</x:t>
        </x:is>
      </x:c>
      <x:c r="H438" s="17" t="inlineStr">
        <x:is>
          <x:t xml:space="preserve">Use mobile portrait playback</x:t>
        </x:is>
      </x:c>
      <x:c r="I438" s="17" t="inlineStr">
        <x:is>
          <x:t xml:space="preserve"/>
        </x:is>
      </x:c>
    </x:row>
    <x:row r="439">
      <x:c r="A439" s="16" t="inlineStr">
        <x:is>
          <x:t xml:space="preserve">P037</x:t>
        </x:is>
      </x:c>
      <x:c r="B439" s="16" t="n">
        <x:v>7</x:v>
      </x:c>
      <x:c r="C439" s="16" t="n">
        <x:v>3</x:v>
      </x:c>
      <x:c r="D439" s="16" t="inlineStr">
        <x:is>
          <x:t xml:space="preserve">V05</x:t>
        </x:is>
      </x:c>
      <x:c r="E439" s="16" t="inlineStr">
        <x:is>
          <x:t xml:space="preserve">Tutorial</x:t>
        </x:is>
      </x:c>
      <x:c r="F439" s="16" t="inlineStr">
        <x:is>
          <x:t xml:space="preserve">BCC+</x:t>
        </x:is>
      </x:c>
      <x:c r="G439" s="16" t="inlineStr">
        <x:is>
          <x:t xml:space="preserve">Muted</x:t>
        </x:is>
      </x:c>
      <x:c r="H439" s="16" t="inlineStr">
        <x:is>
          <x:t xml:space="preserve">Use mobile portrait playback</x:t>
        </x:is>
      </x:c>
      <x:c r="I439" s="16" t="inlineStr">
        <x:is>
          <x:t xml:space="preserve"/>
        </x:is>
      </x:c>
    </x:row>
    <x:row r="440">
      <x:c r="A440" s="17" t="inlineStr">
        <x:is>
          <x:t xml:space="preserve">P037</x:t>
        </x:is>
      </x:c>
      <x:c r="B440" s="17" t="n">
        <x:v>7</x:v>
      </x:c>
      <x:c r="C440" s="17" t="n">
        <x:v>4</x:v>
      </x:c>
      <x:c r="D440" s="17" t="inlineStr">
        <x:is>
          <x:t xml:space="preserve">V09</x:t>
        </x:is>
      </x:c>
      <x:c r="E440" s="17" t="inlineStr">
        <x:is>
          <x:t xml:space="preserve">Sleep habit</x:t>
        </x:is>
      </x:c>
      <x:c r="F440" s="17" t="inlineStr">
        <x:is>
          <x:t xml:space="preserve">Semantic compression</x:t>
        </x:is>
      </x:c>
      <x:c r="G440" s="17" t="inlineStr">
        <x:is>
          <x:t xml:space="preserve">Muted</x:t>
        </x:is>
      </x:c>
      <x:c r="H440" s="17" t="inlineStr">
        <x:is>
          <x:t xml:space="preserve">Use mobile portrait playback</x:t>
        </x:is>
      </x:c>
      <x:c r="I440" s="17" t="inlineStr">
        <x:is>
          <x:t xml:space="preserve"/>
        </x:is>
      </x:c>
    </x:row>
    <x:row r="441">
      <x:c r="A441" s="16" t="inlineStr">
        <x:is>
          <x:t xml:space="preserve">P037</x:t>
        </x:is>
      </x:c>
      <x:c r="B441" s="16" t="n">
        <x:v>7</x:v>
      </x:c>
      <x:c r="C441" s="16" t="n">
        <x:v>5</x:v>
      </x:c>
      <x:c r="D441" s="16" t="inlineStr">
        <x:is>
          <x:t xml:space="preserve">V06</x:t>
        </x:is>
      </x:c>
      <x:c r="E441" s="16" t="inlineStr">
        <x:is>
          <x:t xml:space="preserve">Overload</x:t>
        </x:is>
      </x:c>
      <x:c r="F441" s="16" t="inlineStr">
        <x:is>
          <x:t xml:space="preserve">Heavy bionic</x:t>
        </x:is>
      </x:c>
      <x:c r="G441" s="16" t="inlineStr">
        <x:is>
          <x:t xml:space="preserve">Muted</x:t>
        </x:is>
      </x:c>
      <x:c r="H441" s="16" t="inlineStr">
        <x:is>
          <x:t xml:space="preserve">Use mobile portrait playback</x:t>
        </x:is>
      </x:c>
      <x:c r="I441" s="16" t="inlineStr">
        <x:is>
          <x:t xml:space="preserve"/>
        </x:is>
      </x:c>
    </x:row>
    <x:row r="442">
      <x:c r="A442" s="17" t="inlineStr">
        <x:is>
          <x:t xml:space="preserve">P037</x:t>
        </x:is>
      </x:c>
      <x:c r="B442" s="17" t="n">
        <x:v>7</x:v>
      </x:c>
      <x:c r="C442" s="17" t="n">
        <x:v>6</x:v>
      </x:c>
      <x:c r="D442" s="17" t="inlineStr">
        <x:is>
          <x:t xml:space="preserve">V03</x:t>
        </x:is>
      </x:c>
      <x:c r="E442" s="17" t="inlineStr">
        <x:is>
          <x:t xml:space="preserve">Fitness</x:t>
        </x:is>
      </x:c>
      <x:c r="F442" s="17" t="inlineStr">
        <x:is>
          <x:t xml:space="preserve">Semantic compression</x:t>
        </x:is>
      </x:c>
      <x:c r="G442" s="17" t="inlineStr">
        <x:is>
          <x:t xml:space="preserve">Muted</x:t>
        </x:is>
      </x:c>
      <x:c r="H442" s="17" t="inlineStr">
        <x:is>
          <x:t xml:space="preserve">Use mobile portrait playback</x:t>
        </x:is>
      </x:c>
      <x:c r="I442" s="17" t="inlineStr">
        <x:is>
          <x:t xml:space="preserve"/>
        </x:is>
      </x:c>
    </x:row>
    <x:row r="443">
      <x:c r="A443" s="16" t="inlineStr">
        <x:is>
          <x:t xml:space="preserve">P037</x:t>
        </x:is>
      </x:c>
      <x:c r="B443" s="16" t="n">
        <x:v>7</x:v>
      </x:c>
      <x:c r="C443" s="16" t="n">
        <x:v>7</x:v>
      </x:c>
      <x:c r="D443" s="16" t="inlineStr">
        <x:is>
          <x:t xml:space="preserve">V10</x:t>
        </x:is>
      </x:c>
      <x:c r="E443" s="16" t="inlineStr">
        <x:is>
          <x:t xml:space="preserve">Product demo</x:t>
        </x:is>
      </x:c>
      <x:c r="F443" s="16" t="inlineStr">
        <x:is>
          <x:t xml:space="preserve">BCC</x:t>
        </x:is>
      </x:c>
      <x:c r="G443" s="16" t="inlineStr">
        <x:is>
          <x:t xml:space="preserve">Muted</x:t>
        </x:is>
      </x:c>
      <x:c r="H443" s="16" t="inlineStr">
        <x:is>
          <x:t xml:space="preserve">Use mobile portrait playback</x:t>
        </x:is>
      </x:c>
      <x:c r="I443" s="16" t="inlineStr">
        <x:is>
          <x:t xml:space="preserve"/>
        </x:is>
      </x:c>
    </x:row>
    <x:row r="444">
      <x:c r="A444" s="17" t="inlineStr">
        <x:is>
          <x:t xml:space="preserve">P037</x:t>
        </x:is>
      </x:c>
      <x:c r="B444" s="17" t="n">
        <x:v>7</x:v>
      </x:c>
      <x:c r="C444" s="17" t="n">
        <x:v>8</x:v>
      </x:c>
      <x:c r="D444" s="17" t="inlineStr">
        <x:is>
          <x:t xml:space="preserve">V01</x:t>
        </x:is>
      </x:c>
      <x:c r="E444" s="17" t="inlineStr">
        <x:is>
          <x:t xml:space="preserve">Productivity</x:t>
        </x:is>
      </x:c>
      <x:c r="F444" s="17" t="inlineStr">
        <x:is>
          <x:t xml:space="preserve">Full transcript</x:t>
        </x:is>
      </x:c>
      <x:c r="G444" s="17" t="inlineStr">
        <x:is>
          <x:t xml:space="preserve">Muted</x:t>
        </x:is>
      </x:c>
      <x:c r="H444" s="17" t="inlineStr">
        <x:is>
          <x:t xml:space="preserve">Use mobile portrait playback</x:t>
        </x:is>
      </x:c>
      <x:c r="I444" s="17" t="inlineStr">
        <x:is>
          <x:t xml:space="preserve"/>
        </x:is>
      </x:c>
    </x:row>
    <x:row r="445">
      <x:c r="A445" s="16" t="inlineStr">
        <x:is>
          <x:t xml:space="preserve">P037</x:t>
        </x:is>
      </x:c>
      <x:c r="B445" s="16" t="n">
        <x:v>7</x:v>
      </x:c>
      <x:c r="C445" s="16" t="n">
        <x:v>9</x:v>
      </x:c>
      <x:c r="D445" s="16" t="inlineStr">
        <x:is>
          <x:t xml:space="preserve">V12</x:t>
        </x:is>
      </x:c>
      <x:c r="E445" s="16" t="inlineStr">
        <x:is>
          <x:t xml:space="preserve">Time management</x:t>
        </x:is>
      </x:c>
      <x:c r="F445" s="16" t="inlineStr">
        <x:is>
          <x:t xml:space="preserve">Heavy bionic</x:t>
        </x:is>
      </x:c>
      <x:c r="G445" s="16" t="inlineStr">
        <x:is>
          <x:t xml:space="preserve">Muted</x:t>
        </x:is>
      </x:c>
      <x:c r="H445" s="16" t="inlineStr">
        <x:is>
          <x:t xml:space="preserve">Use mobile portrait playback</x:t>
        </x:is>
      </x:c>
      <x:c r="I445" s="16" t="inlineStr">
        <x:is>
          <x:t xml:space="preserve"/>
        </x:is>
      </x:c>
    </x:row>
    <x:row r="446">
      <x:c r="A446" s="17" t="inlineStr">
        <x:is>
          <x:t xml:space="preserve">P037</x:t>
        </x:is>
      </x:c>
      <x:c r="B446" s="17" t="n">
        <x:v>7</x:v>
      </x:c>
      <x:c r="C446" s="17" t="n">
        <x:v>10</x:v>
      </x:c>
      <x:c r="D446" s="17" t="inlineStr">
        <x:is>
          <x:t xml:space="preserve">V11</x:t>
        </x:is>
      </x:c>
      <x:c r="E446" s="17" t="inlineStr">
        <x:is>
          <x:t xml:space="preserve">Creator strategy</x:t>
        </x:is>
      </x:c>
      <x:c r="F446" s="17" t="inlineStr">
        <x:is>
          <x:t xml:space="preserve">BCC+</x:t>
        </x:is>
      </x:c>
      <x:c r="G446" s="17" t="inlineStr">
        <x:is>
          <x:t xml:space="preserve">Muted</x:t>
        </x:is>
      </x:c>
      <x:c r="H446" s="17" t="inlineStr">
        <x:is>
          <x:t xml:space="preserve">Use mobile portrait playback</x:t>
        </x:is>
      </x:c>
      <x:c r="I446" s="17" t="inlineStr">
        <x:is>
          <x:t xml:space="preserve"/>
        </x:is>
      </x:c>
    </x:row>
    <x:row r="447">
      <x:c r="A447" s="16" t="inlineStr">
        <x:is>
          <x:t xml:space="preserve">P037</x:t>
        </x:is>
      </x:c>
      <x:c r="B447" s="16" t="n">
        <x:v>7</x:v>
      </x:c>
      <x:c r="C447" s="16" t="n">
        <x:v>11</x:v>
      </x:c>
      <x:c r="D447" s="16" t="inlineStr">
        <x:is>
          <x:t xml:space="preserve">V08</x:t>
        </x:is>
      </x:c>
      <x:c r="E447" s="16" t="inlineStr">
        <x:is>
          <x:t xml:space="preserve">Coding</x:t>
        </x:is>
      </x:c>
      <x:c r="F447" s="16" t="inlineStr">
        <x:is>
          <x:t xml:space="preserve">Keyword highlight</x:t>
        </x:is>
      </x:c>
      <x:c r="G447" s="16" t="inlineStr">
        <x:is>
          <x:t xml:space="preserve">Muted</x:t>
        </x:is>
      </x:c>
      <x:c r="H447" s="16" t="inlineStr">
        <x:is>
          <x:t xml:space="preserve">Use mobile portrait playback</x:t>
        </x:is>
      </x:c>
      <x:c r="I447" s="16" t="inlineStr">
        <x:is>
          <x:t xml:space="preserve"/>
        </x:is>
      </x:c>
    </x:row>
    <x:row r="448">
      <x:c r="A448" s="17" t="inlineStr">
        <x:is>
          <x:t xml:space="preserve">P037</x:t>
        </x:is>
      </x:c>
      <x:c r="B448" s="17" t="n">
        <x:v>7</x:v>
      </x:c>
      <x:c r="C448" s="17" t="n">
        <x:v>12</x:v>
      </x:c>
      <x:c r="D448" s="17" t="inlineStr">
        <x:is>
          <x:t xml:space="preserve">V02</x:t>
        </x:is>
      </x:c>
      <x:c r="E448" s="17" t="inlineStr">
        <x:is>
          <x:t xml:space="preserve">Study</x:t>
        </x:is>
      </x:c>
      <x:c r="F448" s="17" t="inlineStr">
        <x:is>
          <x:t xml:space="preserve">Keyword highlight</x:t>
        </x:is>
      </x:c>
      <x:c r="G448" s="17" t="inlineStr">
        <x:is>
          <x:t xml:space="preserve">Muted</x:t>
        </x:is>
      </x:c>
      <x:c r="H448" s="17" t="inlineStr">
        <x:is>
          <x:t xml:space="preserve">Use mobile portrait playback</x:t>
        </x:is>
      </x:c>
      <x:c r="I448" s="17" t="inlineStr">
        <x:is>
          <x:t xml:space="preserve"/>
        </x:is>
      </x:c>
    </x:row>
    <x:row r="449">
      <x:c r="A449" s="16" t="inlineStr">
        <x:is>
          <x:t xml:space="preserve">P038</x:t>
        </x:is>
      </x:c>
      <x:c r="B449" s="16" t="n">
        <x:v>7</x:v>
      </x:c>
      <x:c r="C449" s="16" t="n">
        <x:v>1</x:v>
      </x:c>
      <x:c r="D449" s="16" t="inlineStr">
        <x:is>
          <x:t xml:space="preserve">V10</x:t>
        </x:is>
      </x:c>
      <x:c r="E449" s="16" t="inlineStr">
        <x:is>
          <x:t xml:space="preserve">Product demo</x:t>
        </x:is>
      </x:c>
      <x:c r="F449" s="16" t="inlineStr">
        <x:is>
          <x:t xml:space="preserve">BCC+</x:t>
        </x:is>
      </x:c>
      <x:c r="G449" s="16" t="inlineStr">
        <x:is>
          <x:t xml:space="preserve">Muted</x:t>
        </x:is>
      </x:c>
      <x:c r="H449" s="16" t="inlineStr">
        <x:is>
          <x:t xml:space="preserve">Use mobile portrait playback</x:t>
        </x:is>
      </x:c>
      <x:c r="I449" s="16" t="inlineStr">
        <x:is>
          <x:t xml:space="preserve"/>
        </x:is>
      </x:c>
    </x:row>
    <x:row r="450">
      <x:c r="A450" s="17" t="inlineStr">
        <x:is>
          <x:t xml:space="preserve">P038</x:t>
        </x:is>
      </x:c>
      <x:c r="B450" s="17" t="n">
        <x:v>7</x:v>
      </x:c>
      <x:c r="C450" s="17" t="n">
        <x:v>2</x:v>
      </x:c>
      <x:c r="D450" s="17" t="inlineStr">
        <x:is>
          <x:t xml:space="preserve">V08</x:t>
        </x:is>
      </x:c>
      <x:c r="E450" s="17" t="inlineStr">
        <x:is>
          <x:t xml:space="preserve">Coding</x:t>
        </x:is>
      </x:c>
      <x:c r="F450" s="17" t="inlineStr">
        <x:is>
          <x:t xml:space="preserve">Semantic compression</x:t>
        </x:is>
      </x:c>
      <x:c r="G450" s="17" t="inlineStr">
        <x:is>
          <x:t xml:space="preserve">Muted</x:t>
        </x:is>
      </x:c>
      <x:c r="H450" s="17" t="inlineStr">
        <x:is>
          <x:t xml:space="preserve">Use mobile portrait playback</x:t>
        </x:is>
      </x:c>
      <x:c r="I450" s="17" t="inlineStr">
        <x:is>
          <x:t xml:space="preserve"/>
        </x:is>
      </x:c>
    </x:row>
    <x:row r="451">
      <x:c r="A451" s="16" t="inlineStr">
        <x:is>
          <x:t xml:space="preserve">P038</x:t>
        </x:is>
      </x:c>
      <x:c r="B451" s="16" t="n">
        <x:v>7</x:v>
      </x:c>
      <x:c r="C451" s="16" t="n">
        <x:v>3</x:v>
      </x:c>
      <x:c r="D451" s="16" t="inlineStr">
        <x:is>
          <x:t xml:space="preserve">V07</x:t>
        </x:is>
      </x:c>
      <x:c r="E451" s="16" t="inlineStr">
        <x:is>
          <x:t xml:space="preserve">Business</x:t>
        </x:is>
      </x:c>
      <x:c r="F451" s="16" t="inlineStr">
        <x:is>
          <x:t xml:space="preserve">Keyword highlight</x:t>
        </x:is>
      </x:c>
      <x:c r="G451" s="16" t="inlineStr">
        <x:is>
          <x:t xml:space="preserve">Muted</x:t>
        </x:is>
      </x:c>
      <x:c r="H451" s="16" t="inlineStr">
        <x:is>
          <x:t xml:space="preserve">Use mobile portrait playback</x:t>
        </x:is>
      </x:c>
      <x:c r="I451" s="16" t="inlineStr">
        <x:is>
          <x:t xml:space="preserve"/>
        </x:is>
      </x:c>
    </x:row>
    <x:row r="452">
      <x:c r="A452" s="17" t="inlineStr">
        <x:is>
          <x:t xml:space="preserve">P038</x:t>
        </x:is>
      </x:c>
      <x:c r="B452" s="17" t="n">
        <x:v>7</x:v>
      </x:c>
      <x:c r="C452" s="17" t="n">
        <x:v>4</x:v>
      </x:c>
      <x:c r="D452" s="17" t="inlineStr">
        <x:is>
          <x:t xml:space="preserve">V06</x:t>
        </x:is>
      </x:c>
      <x:c r="E452" s="17" t="inlineStr">
        <x:is>
          <x:t xml:space="preserve">Overload</x:t>
        </x:is>
      </x:c>
      <x:c r="F452" s="17" t="inlineStr">
        <x:is>
          <x:t xml:space="preserve">Full transcript</x:t>
        </x:is>
      </x:c>
      <x:c r="G452" s="17" t="inlineStr">
        <x:is>
          <x:t xml:space="preserve">Muted</x:t>
        </x:is>
      </x:c>
      <x:c r="H452" s="17" t="inlineStr">
        <x:is>
          <x:t xml:space="preserve">Use mobile portrait playback</x:t>
        </x:is>
      </x:c>
      <x:c r="I452" s="17" t="inlineStr">
        <x:is>
          <x:t xml:space="preserve"/>
        </x:is>
      </x:c>
    </x:row>
    <x:row r="453">
      <x:c r="A453" s="16" t="inlineStr">
        <x:is>
          <x:t xml:space="preserve">P038</x:t>
        </x:is>
      </x:c>
      <x:c r="B453" s="16" t="n">
        <x:v>7</x:v>
      </x:c>
      <x:c r="C453" s="16" t="n">
        <x:v>5</x:v>
      </x:c>
      <x:c r="D453" s="16" t="inlineStr">
        <x:is>
          <x:t xml:space="preserve">V01</x:t>
        </x:is>
      </x:c>
      <x:c r="E453" s="16" t="inlineStr">
        <x:is>
          <x:t xml:space="preserve">Productivity</x:t>
        </x:is>
      </x:c>
      <x:c r="F453" s="16" t="inlineStr">
        <x:is>
          <x:t xml:space="preserve">Keyword highlight</x:t>
        </x:is>
      </x:c>
      <x:c r="G453" s="16" t="inlineStr">
        <x:is>
          <x:t xml:space="preserve">Muted</x:t>
        </x:is>
      </x:c>
      <x:c r="H453" s="16" t="inlineStr">
        <x:is>
          <x:t xml:space="preserve">Use mobile portrait playback</x:t>
        </x:is>
      </x:c>
      <x:c r="I453" s="16" t="inlineStr">
        <x:is>
          <x:t xml:space="preserve"/>
        </x:is>
      </x:c>
    </x:row>
    <x:row r="454">
      <x:c r="A454" s="17" t="inlineStr">
        <x:is>
          <x:t xml:space="preserve">P038</x:t>
        </x:is>
      </x:c>
      <x:c r="B454" s="17" t="n">
        <x:v>7</x:v>
      </x:c>
      <x:c r="C454" s="17" t="n">
        <x:v>6</x:v>
      </x:c>
      <x:c r="D454" s="17" t="inlineStr">
        <x:is>
          <x:t xml:space="preserve">V04</x:t>
        </x:is>
      </x:c>
      <x:c r="E454" s="17" t="inlineStr">
        <x:is>
          <x:t xml:space="preserve">Finance</x:t>
        </x:is>
      </x:c>
      <x:c r="F454" s="17" t="inlineStr">
        <x:is>
          <x:t xml:space="preserve">BCC+</x:t>
        </x:is>
      </x:c>
      <x:c r="G454" s="17" t="inlineStr">
        <x:is>
          <x:t xml:space="preserve">Muted</x:t>
        </x:is>
      </x:c>
      <x:c r="H454" s="17" t="inlineStr">
        <x:is>
          <x:t xml:space="preserve">Use mobile portrait playback</x:t>
        </x:is>
      </x:c>
      <x:c r="I454" s="17" t="inlineStr">
        <x:is>
          <x:t xml:space="preserve"/>
        </x:is>
      </x:c>
    </x:row>
    <x:row r="455">
      <x:c r="A455" s="16" t="inlineStr">
        <x:is>
          <x:t xml:space="preserve">P038</x:t>
        </x:is>
      </x:c>
      <x:c r="B455" s="16" t="n">
        <x:v>7</x:v>
      </x:c>
      <x:c r="C455" s="16" t="n">
        <x:v>7</x:v>
      </x:c>
      <x:c r="D455" s="16" t="inlineStr">
        <x:is>
          <x:t xml:space="preserve">V09</x:t>
        </x:is>
      </x:c>
      <x:c r="E455" s="16" t="inlineStr">
        <x:is>
          <x:t xml:space="preserve">Sleep habit</x:t>
        </x:is>
      </x:c>
      <x:c r="F455" s="16" t="inlineStr">
        <x:is>
          <x:t xml:space="preserve">BCC</x:t>
        </x:is>
      </x:c>
      <x:c r="G455" s="16" t="inlineStr">
        <x:is>
          <x:t xml:space="preserve">Muted</x:t>
        </x:is>
      </x:c>
      <x:c r="H455" s="16" t="inlineStr">
        <x:is>
          <x:t xml:space="preserve">Use mobile portrait playback</x:t>
        </x:is>
      </x:c>
      <x:c r="I455" s="16" t="inlineStr">
        <x:is>
          <x:t xml:space="preserve"/>
        </x:is>
      </x:c>
    </x:row>
    <x:row r="456">
      <x:c r="A456" s="17" t="inlineStr">
        <x:is>
          <x:t xml:space="preserve">P038</x:t>
        </x:is>
      </x:c>
      <x:c r="B456" s="17" t="n">
        <x:v>7</x:v>
      </x:c>
      <x:c r="C456" s="17" t="n">
        <x:v>8</x:v>
      </x:c>
      <x:c r="D456" s="17" t="inlineStr">
        <x:is>
          <x:t xml:space="preserve">V11</x:t>
        </x:is>
      </x:c>
      <x:c r="E456" s="17" t="inlineStr">
        <x:is>
          <x:t xml:space="preserve">Creator strategy</x:t>
        </x:is>
      </x:c>
      <x:c r="F456" s="17" t="inlineStr">
        <x:is>
          <x:t xml:space="preserve">Heavy bionic</x:t>
        </x:is>
      </x:c>
      <x:c r="G456" s="17" t="inlineStr">
        <x:is>
          <x:t xml:space="preserve">Muted</x:t>
        </x:is>
      </x:c>
      <x:c r="H456" s="17" t="inlineStr">
        <x:is>
          <x:t xml:space="preserve">Use mobile portrait playback</x:t>
        </x:is>
      </x:c>
      <x:c r="I456" s="17" t="inlineStr">
        <x:is>
          <x:t xml:space="preserve"/>
        </x:is>
      </x:c>
    </x:row>
    <x:row r="457">
      <x:c r="A457" s="16" t="inlineStr">
        <x:is>
          <x:t xml:space="preserve">P038</x:t>
        </x:is>
      </x:c>
      <x:c r="B457" s="16" t="n">
        <x:v>7</x:v>
      </x:c>
      <x:c r="C457" s="16" t="n">
        <x:v>9</x:v>
      </x:c>
      <x:c r="D457" s="16" t="inlineStr">
        <x:is>
          <x:t xml:space="preserve">V03</x:t>
        </x:is>
      </x:c>
      <x:c r="E457" s="16" t="inlineStr">
        <x:is>
          <x:t xml:space="preserve">Fitness</x:t>
        </x:is>
      </x:c>
      <x:c r="F457" s="16" t="inlineStr">
        <x:is>
          <x:t xml:space="preserve">BCC</x:t>
        </x:is>
      </x:c>
      <x:c r="G457" s="16" t="inlineStr">
        <x:is>
          <x:t xml:space="preserve">Muted</x:t>
        </x:is>
      </x:c>
      <x:c r="H457" s="16" t="inlineStr">
        <x:is>
          <x:t xml:space="preserve">Use mobile portrait playback</x:t>
        </x:is>
      </x:c>
      <x:c r="I457" s="16" t="inlineStr">
        <x:is>
          <x:t xml:space="preserve"/>
        </x:is>
      </x:c>
    </x:row>
    <x:row r="458">
      <x:c r="A458" s="17" t="inlineStr">
        <x:is>
          <x:t xml:space="preserve">P038</x:t>
        </x:is>
      </x:c>
      <x:c r="B458" s="17" t="n">
        <x:v>7</x:v>
      </x:c>
      <x:c r="C458" s="17" t="n">
        <x:v>10</x:v>
      </x:c>
      <x:c r="D458" s="17" t="inlineStr">
        <x:is>
          <x:t xml:space="preserve">V05</x:t>
        </x:is>
      </x:c>
      <x:c r="E458" s="17" t="inlineStr">
        <x:is>
          <x:t xml:space="preserve">Tutorial</x:t>
        </x:is>
      </x:c>
      <x:c r="F458" s="17" t="inlineStr">
        <x:is>
          <x:t xml:space="preserve">Heavy bionic</x:t>
        </x:is>
      </x:c>
      <x:c r="G458" s="17" t="inlineStr">
        <x:is>
          <x:t xml:space="preserve">Muted</x:t>
        </x:is>
      </x:c>
      <x:c r="H458" s="17" t="inlineStr">
        <x:is>
          <x:t xml:space="preserve">Use mobile portrait playback</x:t>
        </x:is>
      </x:c>
      <x:c r="I458" s="17" t="inlineStr">
        <x:is>
          <x:t xml:space="preserve"/>
        </x:is>
      </x:c>
    </x:row>
    <x:row r="459">
      <x:c r="A459" s="16" t="inlineStr">
        <x:is>
          <x:t xml:space="preserve">P038</x:t>
        </x:is>
      </x:c>
      <x:c r="B459" s="16" t="n">
        <x:v>7</x:v>
      </x:c>
      <x:c r="C459" s="16" t="n">
        <x:v>11</x:v>
      </x:c>
      <x:c r="D459" s="16" t="inlineStr">
        <x:is>
          <x:t xml:space="preserve">V12</x:t>
        </x:is>
      </x:c>
      <x:c r="E459" s="16" t="inlineStr">
        <x:is>
          <x:t xml:space="preserve">Time management</x:t>
        </x:is>
      </x:c>
      <x:c r="F459" s="16" t="inlineStr">
        <x:is>
          <x:t xml:space="preserve">Full transcript</x:t>
        </x:is>
      </x:c>
      <x:c r="G459" s="16" t="inlineStr">
        <x:is>
          <x:t xml:space="preserve">Muted</x:t>
        </x:is>
      </x:c>
      <x:c r="H459" s="16" t="inlineStr">
        <x:is>
          <x:t xml:space="preserve">Use mobile portrait playback</x:t>
        </x:is>
      </x:c>
      <x:c r="I459" s="16" t="inlineStr">
        <x:is>
          <x:t xml:space="preserve"/>
        </x:is>
      </x:c>
    </x:row>
    <x:row r="460">
      <x:c r="A460" s="17" t="inlineStr">
        <x:is>
          <x:t xml:space="preserve">P038</x:t>
        </x:is>
      </x:c>
      <x:c r="B460" s="17" t="n">
        <x:v>7</x:v>
      </x:c>
      <x:c r="C460" s="17" t="n">
        <x:v>12</x:v>
      </x:c>
      <x:c r="D460" s="17" t="inlineStr">
        <x:is>
          <x:t xml:space="preserve">V02</x:t>
        </x:is>
      </x:c>
      <x:c r="E460" s="17" t="inlineStr">
        <x:is>
          <x:t xml:space="preserve">Study</x:t>
        </x:is>
      </x:c>
      <x:c r="F460" s="17" t="inlineStr">
        <x:is>
          <x:t xml:space="preserve">Semantic compression</x:t>
        </x:is>
      </x:c>
      <x:c r="G460" s="17" t="inlineStr">
        <x:is>
          <x:t xml:space="preserve">Muted</x:t>
        </x:is>
      </x:c>
      <x:c r="H460" s="17" t="inlineStr">
        <x:is>
          <x:t xml:space="preserve">Use mobile portrait playback</x:t>
        </x:is>
      </x:c>
      <x:c r="I460" s="17" t="inlineStr">
        <x:is>
          <x:t xml:space="preserve"/>
        </x:is>
      </x:c>
    </x:row>
    <x:row r="461">
      <x:c r="A461" s="16" t="inlineStr">
        <x:is>
          <x:t xml:space="preserve">P039</x:t>
        </x:is>
      </x:c>
      <x:c r="B461" s="16" t="n">
        <x:v>7</x:v>
      </x:c>
      <x:c r="C461" s="16" t="n">
        <x:v>1</x:v>
      </x:c>
      <x:c r="D461" s="16" t="inlineStr">
        <x:is>
          <x:t xml:space="preserve">V06</x:t>
        </x:is>
      </x:c>
      <x:c r="E461" s="16" t="inlineStr">
        <x:is>
          <x:t xml:space="preserve">Overload</x:t>
        </x:is>
      </x:c>
      <x:c r="F461" s="16" t="inlineStr">
        <x:is>
          <x:t xml:space="preserve">Keyword highlight</x:t>
        </x:is>
      </x:c>
      <x:c r="G461" s="16" t="inlineStr">
        <x:is>
          <x:t xml:space="preserve">Muted</x:t>
        </x:is>
      </x:c>
      <x:c r="H461" s="16" t="inlineStr">
        <x:is>
          <x:t xml:space="preserve">Use mobile portrait playback</x:t>
        </x:is>
      </x:c>
      <x:c r="I461" s="16" t="inlineStr">
        <x:is>
          <x:t xml:space="preserve"/>
        </x:is>
      </x:c>
    </x:row>
    <x:row r="462">
      <x:c r="A462" s="17" t="inlineStr">
        <x:is>
          <x:t xml:space="preserve">P039</x:t>
        </x:is>
      </x:c>
      <x:c r="B462" s="17" t="n">
        <x:v>7</x:v>
      </x:c>
      <x:c r="C462" s="17" t="n">
        <x:v>2</x:v>
      </x:c>
      <x:c r="D462" s="17" t="inlineStr">
        <x:is>
          <x:t xml:space="preserve">V10</x:t>
        </x:is>
      </x:c>
      <x:c r="E462" s="17" t="inlineStr">
        <x:is>
          <x:t xml:space="preserve">Product demo</x:t>
        </x:is>
      </x:c>
      <x:c r="F462" s="17" t="inlineStr">
        <x:is>
          <x:t xml:space="preserve">Heavy bionic</x:t>
        </x:is>
      </x:c>
      <x:c r="G462" s="17" t="inlineStr">
        <x:is>
          <x:t xml:space="preserve">Muted</x:t>
        </x:is>
      </x:c>
      <x:c r="H462" s="17" t="inlineStr">
        <x:is>
          <x:t xml:space="preserve">Use mobile portrait playback</x:t>
        </x:is>
      </x:c>
      <x:c r="I462" s="17" t="inlineStr">
        <x:is>
          <x:t xml:space="preserve"/>
        </x:is>
      </x:c>
    </x:row>
    <x:row r="463">
      <x:c r="A463" s="16" t="inlineStr">
        <x:is>
          <x:t xml:space="preserve">P039</x:t>
        </x:is>
      </x:c>
      <x:c r="B463" s="16" t="n">
        <x:v>7</x:v>
      </x:c>
      <x:c r="C463" s="16" t="n">
        <x:v>3</x:v>
      </x:c>
      <x:c r="D463" s="16" t="inlineStr">
        <x:is>
          <x:t xml:space="preserve">V05</x:t>
        </x:is>
      </x:c>
      <x:c r="E463" s="16" t="inlineStr">
        <x:is>
          <x:t xml:space="preserve">Tutorial</x:t>
        </x:is>
      </x:c>
      <x:c r="F463" s="16" t="inlineStr">
        <x:is>
          <x:t xml:space="preserve">Full transcript</x:t>
        </x:is>
      </x:c>
      <x:c r="G463" s="16" t="inlineStr">
        <x:is>
          <x:t xml:space="preserve">Muted</x:t>
        </x:is>
      </x:c>
      <x:c r="H463" s="16" t="inlineStr">
        <x:is>
          <x:t xml:space="preserve">Use mobile portrait playback</x:t>
        </x:is>
      </x:c>
      <x:c r="I463" s="16" t="inlineStr">
        <x:is>
          <x:t xml:space="preserve"/>
        </x:is>
      </x:c>
    </x:row>
    <x:row r="464">
      <x:c r="A464" s="17" t="inlineStr">
        <x:is>
          <x:t xml:space="preserve">P039</x:t>
        </x:is>
      </x:c>
      <x:c r="B464" s="17" t="n">
        <x:v>7</x:v>
      </x:c>
      <x:c r="C464" s="17" t="n">
        <x:v>4</x:v>
      </x:c>
      <x:c r="D464" s="17" t="inlineStr">
        <x:is>
          <x:t xml:space="preserve">V07</x:t>
        </x:is>
      </x:c>
      <x:c r="E464" s="17" t="inlineStr">
        <x:is>
          <x:t xml:space="preserve">Business</x:t>
        </x:is>
      </x:c>
      <x:c r="F464" s="17" t="inlineStr">
        <x:is>
          <x:t xml:space="preserve">Semantic compression</x:t>
        </x:is>
      </x:c>
      <x:c r="G464" s="17" t="inlineStr">
        <x:is>
          <x:t xml:space="preserve">Muted</x:t>
        </x:is>
      </x:c>
      <x:c r="H464" s="17" t="inlineStr">
        <x:is>
          <x:t xml:space="preserve">Use mobile portrait playback</x:t>
        </x:is>
      </x:c>
      <x:c r="I464" s="17" t="inlineStr">
        <x:is>
          <x:t xml:space="preserve"/>
        </x:is>
      </x:c>
    </x:row>
    <x:row r="465">
      <x:c r="A465" s="16" t="inlineStr">
        <x:is>
          <x:t xml:space="preserve">P039</x:t>
        </x:is>
      </x:c>
      <x:c r="B465" s="16" t="n">
        <x:v>7</x:v>
      </x:c>
      <x:c r="C465" s="16" t="n">
        <x:v>5</x:v>
      </x:c>
      <x:c r="D465" s="16" t="inlineStr">
        <x:is>
          <x:t xml:space="preserve">V09</x:t>
        </x:is>
      </x:c>
      <x:c r="E465" s="16" t="inlineStr">
        <x:is>
          <x:t xml:space="preserve">Sleep habit</x:t>
        </x:is>
      </x:c>
      <x:c r="F465" s="16" t="inlineStr">
        <x:is>
          <x:t xml:space="preserve">BCC+</x:t>
        </x:is>
      </x:c>
      <x:c r="G465" s="16" t="inlineStr">
        <x:is>
          <x:t xml:space="preserve">Muted</x:t>
        </x:is>
      </x:c>
      <x:c r="H465" s="16" t="inlineStr">
        <x:is>
          <x:t xml:space="preserve">Use mobile portrait playback</x:t>
        </x:is>
      </x:c>
      <x:c r="I465" s="16" t="inlineStr">
        <x:is>
          <x:t xml:space="preserve"/>
        </x:is>
      </x:c>
    </x:row>
    <x:row r="466">
      <x:c r="A466" s="17" t="inlineStr">
        <x:is>
          <x:t xml:space="preserve">P039</x:t>
        </x:is>
      </x:c>
      <x:c r="B466" s="17" t="n">
        <x:v>7</x:v>
      </x:c>
      <x:c r="C466" s="17" t="n">
        <x:v>6</x:v>
      </x:c>
      <x:c r="D466" s="17" t="inlineStr">
        <x:is>
          <x:t xml:space="preserve">V08</x:t>
        </x:is>
      </x:c>
      <x:c r="E466" s="17" t="inlineStr">
        <x:is>
          <x:t xml:space="preserve">Coding</x:t>
        </x:is>
      </x:c>
      <x:c r="F466" s="17" t="inlineStr">
        <x:is>
          <x:t xml:space="preserve">BCC</x:t>
        </x:is>
      </x:c>
      <x:c r="G466" s="17" t="inlineStr">
        <x:is>
          <x:t xml:space="preserve">Muted</x:t>
        </x:is>
      </x:c>
      <x:c r="H466" s="17" t="inlineStr">
        <x:is>
          <x:t xml:space="preserve">Use mobile portrait playback</x:t>
        </x:is>
      </x:c>
      <x:c r="I466" s="17" t="inlineStr">
        <x:is>
          <x:t xml:space="preserve"/>
        </x:is>
      </x:c>
    </x:row>
    <x:row r="467">
      <x:c r="A467" s="16" t="inlineStr">
        <x:is>
          <x:t xml:space="preserve">P039</x:t>
        </x:is>
      </x:c>
      <x:c r="B467" s="16" t="n">
        <x:v>7</x:v>
      </x:c>
      <x:c r="C467" s="16" t="n">
        <x:v>7</x:v>
      </x:c>
      <x:c r="D467" s="16" t="inlineStr">
        <x:is>
          <x:t xml:space="preserve">V01</x:t>
        </x:is>
      </x:c>
      <x:c r="E467" s="16" t="inlineStr">
        <x:is>
          <x:t xml:space="preserve">Productivity</x:t>
        </x:is>
      </x:c>
      <x:c r="F467" s="16" t="inlineStr">
        <x:is>
          <x:t xml:space="preserve">Semantic compression</x:t>
        </x:is>
      </x:c>
      <x:c r="G467" s="16" t="inlineStr">
        <x:is>
          <x:t xml:space="preserve">Muted</x:t>
        </x:is>
      </x:c>
      <x:c r="H467" s="16" t="inlineStr">
        <x:is>
          <x:t xml:space="preserve">Use mobile portrait playback</x:t>
        </x:is>
      </x:c>
      <x:c r="I467" s="16" t="inlineStr">
        <x:is>
          <x:t xml:space="preserve"/>
        </x:is>
      </x:c>
    </x:row>
    <x:row r="468">
      <x:c r="A468" s="17" t="inlineStr">
        <x:is>
          <x:t xml:space="preserve">P039</x:t>
        </x:is>
      </x:c>
      <x:c r="B468" s="17" t="n">
        <x:v>7</x:v>
      </x:c>
      <x:c r="C468" s="17" t="n">
        <x:v>8</x:v>
      </x:c>
      <x:c r="D468" s="17" t="inlineStr">
        <x:is>
          <x:t xml:space="preserve">V02</x:t>
        </x:is>
      </x:c>
      <x:c r="E468" s="17" t="inlineStr">
        <x:is>
          <x:t xml:space="preserve">Study</x:t>
        </x:is>
      </x:c>
      <x:c r="F468" s="17" t="inlineStr">
        <x:is>
          <x:t xml:space="preserve">BCC</x:t>
        </x:is>
      </x:c>
      <x:c r="G468" s="17" t="inlineStr">
        <x:is>
          <x:t xml:space="preserve">Muted</x:t>
        </x:is>
      </x:c>
      <x:c r="H468" s="17" t="inlineStr">
        <x:is>
          <x:t xml:space="preserve">Use mobile portrait playback</x:t>
        </x:is>
      </x:c>
      <x:c r="I468" s="17" t="inlineStr">
        <x:is>
          <x:t xml:space="preserve"/>
        </x:is>
      </x:c>
    </x:row>
    <x:row r="469">
      <x:c r="A469" s="16" t="inlineStr">
        <x:is>
          <x:t xml:space="preserve">P039</x:t>
        </x:is>
      </x:c>
      <x:c r="B469" s="16" t="n">
        <x:v>7</x:v>
      </x:c>
      <x:c r="C469" s="16" t="n">
        <x:v>9</x:v>
      </x:c>
      <x:c r="D469" s="16" t="inlineStr">
        <x:is>
          <x:t xml:space="preserve">V04</x:t>
        </x:is>
      </x:c>
      <x:c r="E469" s="16" t="inlineStr">
        <x:is>
          <x:t xml:space="preserve">Finance</x:t>
        </x:is>
      </x:c>
      <x:c r="F469" s="16" t="inlineStr">
        <x:is>
          <x:t xml:space="preserve">Heavy bionic</x:t>
        </x:is>
      </x:c>
      <x:c r="G469" s="16" t="inlineStr">
        <x:is>
          <x:t xml:space="preserve">Muted</x:t>
        </x:is>
      </x:c>
      <x:c r="H469" s="16" t="inlineStr">
        <x:is>
          <x:t xml:space="preserve">Use mobile portrait playback</x:t>
        </x:is>
      </x:c>
      <x:c r="I469" s="16" t="inlineStr">
        <x:is>
          <x:t xml:space="preserve"/>
        </x:is>
      </x:c>
    </x:row>
    <x:row r="470">
      <x:c r="A470" s="17" t="inlineStr">
        <x:is>
          <x:t xml:space="preserve">P039</x:t>
        </x:is>
      </x:c>
      <x:c r="B470" s="17" t="n">
        <x:v>7</x:v>
      </x:c>
      <x:c r="C470" s="17" t="n">
        <x:v>10</x:v>
      </x:c>
      <x:c r="D470" s="17" t="inlineStr">
        <x:is>
          <x:t xml:space="preserve">V03</x:t>
        </x:is>
      </x:c>
      <x:c r="E470" s="17" t="inlineStr">
        <x:is>
          <x:t xml:space="preserve">Fitness</x:t>
        </x:is>
      </x:c>
      <x:c r="F470" s="17" t="inlineStr">
        <x:is>
          <x:t xml:space="preserve">BCC+</x:t>
        </x:is>
      </x:c>
      <x:c r="G470" s="17" t="inlineStr">
        <x:is>
          <x:t xml:space="preserve">Muted</x:t>
        </x:is>
      </x:c>
      <x:c r="H470" s="17" t="inlineStr">
        <x:is>
          <x:t xml:space="preserve">Use mobile portrait playback</x:t>
        </x:is>
      </x:c>
      <x:c r="I470" s="17" t="inlineStr">
        <x:is>
          <x:t xml:space="preserve"/>
        </x:is>
      </x:c>
    </x:row>
    <x:row r="471">
      <x:c r="A471" s="16" t="inlineStr">
        <x:is>
          <x:t xml:space="preserve">P039</x:t>
        </x:is>
      </x:c>
      <x:c r="B471" s="16" t="n">
        <x:v>7</x:v>
      </x:c>
      <x:c r="C471" s="16" t="n">
        <x:v>11</x:v>
      </x:c>
      <x:c r="D471" s="16" t="inlineStr">
        <x:is>
          <x:t xml:space="preserve">V12</x:t>
        </x:is>
      </x:c>
      <x:c r="E471" s="16" t="inlineStr">
        <x:is>
          <x:t xml:space="preserve">Time management</x:t>
        </x:is>
      </x:c>
      <x:c r="F471" s="16" t="inlineStr">
        <x:is>
          <x:t xml:space="preserve">Keyword highlight</x:t>
        </x:is>
      </x:c>
      <x:c r="G471" s="16" t="inlineStr">
        <x:is>
          <x:t xml:space="preserve">Muted</x:t>
        </x:is>
      </x:c>
      <x:c r="H471" s="16" t="inlineStr">
        <x:is>
          <x:t xml:space="preserve">Use mobile portrait playback</x:t>
        </x:is>
      </x:c>
      <x:c r="I471" s="16" t="inlineStr">
        <x:is>
          <x:t xml:space="preserve"/>
        </x:is>
      </x:c>
    </x:row>
    <x:row r="472">
      <x:c r="A472" s="17" t="inlineStr">
        <x:is>
          <x:t xml:space="preserve">P039</x:t>
        </x:is>
      </x:c>
      <x:c r="B472" s="17" t="n">
        <x:v>7</x:v>
      </x:c>
      <x:c r="C472" s="17" t="n">
        <x:v>12</x:v>
      </x:c>
      <x:c r="D472" s="17" t="inlineStr">
        <x:is>
          <x:t xml:space="preserve">V11</x:t>
        </x:is>
      </x:c>
      <x:c r="E472" s="17" t="inlineStr">
        <x:is>
          <x:t xml:space="preserve">Creator strategy</x:t>
        </x:is>
      </x:c>
      <x:c r="F472" s="17" t="inlineStr">
        <x:is>
          <x:t xml:space="preserve">Full transcript</x:t>
        </x:is>
      </x:c>
      <x:c r="G472" s="17" t="inlineStr">
        <x:is>
          <x:t xml:space="preserve">Muted</x:t>
        </x:is>
      </x:c>
      <x:c r="H472" s="17" t="inlineStr">
        <x:is>
          <x:t xml:space="preserve">Use mobile portrait playback</x:t>
        </x:is>
      </x:c>
      <x:c r="I472" s="17" t="inlineStr">
        <x:is>
          <x:t xml:space="preserve"/>
        </x:is>
      </x:c>
    </x:row>
    <x:row r="473">
      <x:c r="A473" s="16" t="inlineStr">
        <x:is>
          <x:t xml:space="preserve">P040</x:t>
        </x:is>
      </x:c>
      <x:c r="B473" s="16" t="n">
        <x:v>7</x:v>
      </x:c>
      <x:c r="C473" s="16" t="n">
        <x:v>1</x:v>
      </x:c>
      <x:c r="D473" s="16" t="inlineStr">
        <x:is>
          <x:t xml:space="preserve">V12</x:t>
        </x:is>
      </x:c>
      <x:c r="E473" s="16" t="inlineStr">
        <x:is>
          <x:t xml:space="preserve">Time management</x:t>
        </x:is>
      </x:c>
      <x:c r="F473" s="16" t="inlineStr">
        <x:is>
          <x:t xml:space="preserve">Semantic compression</x:t>
        </x:is>
      </x:c>
      <x:c r="G473" s="16" t="inlineStr">
        <x:is>
          <x:t xml:space="preserve">Muted</x:t>
        </x:is>
      </x:c>
      <x:c r="H473" s="16" t="inlineStr">
        <x:is>
          <x:t xml:space="preserve">Use mobile portrait playback</x:t>
        </x:is>
      </x:c>
      <x:c r="I473" s="16" t="inlineStr">
        <x:is>
          <x:t xml:space="preserve"/>
        </x:is>
      </x:c>
    </x:row>
    <x:row r="474">
      <x:c r="A474" s="17" t="inlineStr">
        <x:is>
          <x:t xml:space="preserve">P040</x:t>
        </x:is>
      </x:c>
      <x:c r="B474" s="17" t="n">
        <x:v>7</x:v>
      </x:c>
      <x:c r="C474" s="17" t="n">
        <x:v>2</x:v>
      </x:c>
      <x:c r="D474" s="17" t="inlineStr">
        <x:is>
          <x:t xml:space="preserve">V02</x:t>
        </x:is>
      </x:c>
      <x:c r="E474" s="17" t="inlineStr">
        <x:is>
          <x:t xml:space="preserve">Study</x:t>
        </x:is>
      </x:c>
      <x:c r="F474" s="17" t="inlineStr">
        <x:is>
          <x:t xml:space="preserve">BCC+</x:t>
        </x:is>
      </x:c>
      <x:c r="G474" s="17" t="inlineStr">
        <x:is>
          <x:t xml:space="preserve">Muted</x:t>
        </x:is>
      </x:c>
      <x:c r="H474" s="17" t="inlineStr">
        <x:is>
          <x:t xml:space="preserve">Use mobile portrait playback</x:t>
        </x:is>
      </x:c>
      <x:c r="I474" s="17" t="inlineStr">
        <x:is>
          <x:t xml:space="preserve"/>
        </x:is>
      </x:c>
    </x:row>
    <x:row r="475">
      <x:c r="A475" s="16" t="inlineStr">
        <x:is>
          <x:t xml:space="preserve">P040</x:t>
        </x:is>
      </x:c>
      <x:c r="B475" s="16" t="n">
        <x:v>7</x:v>
      </x:c>
      <x:c r="C475" s="16" t="n">
        <x:v>3</x:v>
      </x:c>
      <x:c r="D475" s="16" t="inlineStr">
        <x:is>
          <x:t xml:space="preserve">V09</x:t>
        </x:is>
      </x:c>
      <x:c r="E475" s="16" t="inlineStr">
        <x:is>
          <x:t xml:space="preserve">Sleep habit</x:t>
        </x:is>
      </x:c>
      <x:c r="F475" s="16" t="inlineStr">
        <x:is>
          <x:t xml:space="preserve">Heavy bionic</x:t>
        </x:is>
      </x:c>
      <x:c r="G475" s="16" t="inlineStr">
        <x:is>
          <x:t xml:space="preserve">Muted</x:t>
        </x:is>
      </x:c>
      <x:c r="H475" s="16" t="inlineStr">
        <x:is>
          <x:t xml:space="preserve">Use mobile portrait playback</x:t>
        </x:is>
      </x:c>
      <x:c r="I475" s="16" t="inlineStr">
        <x:is>
          <x:t xml:space="preserve"/>
        </x:is>
      </x:c>
    </x:row>
    <x:row r="476">
      <x:c r="A476" s="17" t="inlineStr">
        <x:is>
          <x:t xml:space="preserve">P040</x:t>
        </x:is>
      </x:c>
      <x:c r="B476" s="17" t="n">
        <x:v>7</x:v>
      </x:c>
      <x:c r="C476" s="17" t="n">
        <x:v>4</x:v>
      </x:c>
      <x:c r="D476" s="17" t="inlineStr">
        <x:is>
          <x:t xml:space="preserve">V08</x:t>
        </x:is>
      </x:c>
      <x:c r="E476" s="17" t="inlineStr">
        <x:is>
          <x:t xml:space="preserve">Coding</x:t>
        </x:is>
      </x:c>
      <x:c r="F476" s="17" t="inlineStr">
        <x:is>
          <x:t xml:space="preserve">BCC+</x:t>
        </x:is>
      </x:c>
      <x:c r="G476" s="17" t="inlineStr">
        <x:is>
          <x:t xml:space="preserve">Muted</x:t>
        </x:is>
      </x:c>
      <x:c r="H476" s="17" t="inlineStr">
        <x:is>
          <x:t xml:space="preserve">Use mobile portrait playback</x:t>
        </x:is>
      </x:c>
      <x:c r="I476" s="17" t="inlineStr">
        <x:is>
          <x:t xml:space="preserve"/>
        </x:is>
      </x:c>
    </x:row>
    <x:row r="477">
      <x:c r="A477" s="16" t="inlineStr">
        <x:is>
          <x:t xml:space="preserve">P040</x:t>
        </x:is>
      </x:c>
      <x:c r="B477" s="16" t="n">
        <x:v>7</x:v>
      </x:c>
      <x:c r="C477" s="16" t="n">
        <x:v>5</x:v>
      </x:c>
      <x:c r="D477" s="16" t="inlineStr">
        <x:is>
          <x:t xml:space="preserve">V01</x:t>
        </x:is>
      </x:c>
      <x:c r="E477" s="16" t="inlineStr">
        <x:is>
          <x:t xml:space="preserve">Productivity</x:t>
        </x:is>
      </x:c>
      <x:c r="F477" s="16" t="inlineStr">
        <x:is>
          <x:t xml:space="preserve">BCC</x:t>
        </x:is>
      </x:c>
      <x:c r="G477" s="16" t="inlineStr">
        <x:is>
          <x:t xml:space="preserve">Muted</x:t>
        </x:is>
      </x:c>
      <x:c r="H477" s="16" t="inlineStr">
        <x:is>
          <x:t xml:space="preserve">Use mobile portrait playback</x:t>
        </x:is>
      </x:c>
      <x:c r="I477" s="16" t="inlineStr">
        <x:is>
          <x:t xml:space="preserve"/>
        </x:is>
      </x:c>
    </x:row>
    <x:row r="478">
      <x:c r="A478" s="17" t="inlineStr">
        <x:is>
          <x:t xml:space="preserve">P040</x:t>
        </x:is>
      </x:c>
      <x:c r="B478" s="17" t="n">
        <x:v>7</x:v>
      </x:c>
      <x:c r="C478" s="17" t="n">
        <x:v>6</x:v>
      </x:c>
      <x:c r="D478" s="17" t="inlineStr">
        <x:is>
          <x:t xml:space="preserve">V11</x:t>
        </x:is>
      </x:c>
      <x:c r="E478" s="17" t="inlineStr">
        <x:is>
          <x:t xml:space="preserve">Creator strategy</x:t>
        </x:is>
      </x:c>
      <x:c r="F478" s="17" t="inlineStr">
        <x:is>
          <x:t xml:space="preserve">Keyword highlight</x:t>
        </x:is>
      </x:c>
      <x:c r="G478" s="17" t="inlineStr">
        <x:is>
          <x:t xml:space="preserve">Muted</x:t>
        </x:is>
      </x:c>
      <x:c r="H478" s="17" t="inlineStr">
        <x:is>
          <x:t xml:space="preserve">Use mobile portrait playback</x:t>
        </x:is>
      </x:c>
      <x:c r="I478" s="17" t="inlineStr">
        <x:is>
          <x:t xml:space="preserve"/>
        </x:is>
      </x:c>
    </x:row>
    <x:row r="479">
      <x:c r="A479" s="16" t="inlineStr">
        <x:is>
          <x:t xml:space="preserve">P040</x:t>
        </x:is>
      </x:c>
      <x:c r="B479" s="16" t="n">
        <x:v>7</x:v>
      </x:c>
      <x:c r="C479" s="16" t="n">
        <x:v>7</x:v>
      </x:c>
      <x:c r="D479" s="16" t="inlineStr">
        <x:is>
          <x:t xml:space="preserve">V07</x:t>
        </x:is>
      </x:c>
      <x:c r="E479" s="16" t="inlineStr">
        <x:is>
          <x:t xml:space="preserve">Business</x:t>
        </x:is>
      </x:c>
      <x:c r="F479" s="16" t="inlineStr">
        <x:is>
          <x:t xml:space="preserve">BCC</x:t>
        </x:is>
      </x:c>
      <x:c r="G479" s="16" t="inlineStr">
        <x:is>
          <x:t xml:space="preserve">Muted</x:t>
        </x:is>
      </x:c>
      <x:c r="H479" s="16" t="inlineStr">
        <x:is>
          <x:t xml:space="preserve">Use mobile portrait playback</x:t>
        </x:is>
      </x:c>
      <x:c r="I479" s="16" t="inlineStr">
        <x:is>
          <x:t xml:space="preserve"/>
        </x:is>
      </x:c>
    </x:row>
    <x:row r="480">
      <x:c r="A480" s="17" t="inlineStr">
        <x:is>
          <x:t xml:space="preserve">P040</x:t>
        </x:is>
      </x:c>
      <x:c r="B480" s="17" t="n">
        <x:v>7</x:v>
      </x:c>
      <x:c r="C480" s="17" t="n">
        <x:v>8</x:v>
      </x:c>
      <x:c r="D480" s="17" t="inlineStr">
        <x:is>
          <x:t xml:space="preserve">V06</x:t>
        </x:is>
      </x:c>
      <x:c r="E480" s="17" t="inlineStr">
        <x:is>
          <x:t xml:space="preserve">Overload</x:t>
        </x:is>
      </x:c>
      <x:c r="F480" s="17" t="inlineStr">
        <x:is>
          <x:t xml:space="preserve">Semantic compression</x:t>
        </x:is>
      </x:c>
      <x:c r="G480" s="17" t="inlineStr">
        <x:is>
          <x:t xml:space="preserve">Muted</x:t>
        </x:is>
      </x:c>
      <x:c r="H480" s="17" t="inlineStr">
        <x:is>
          <x:t xml:space="preserve">Use mobile portrait playback</x:t>
        </x:is>
      </x:c>
      <x:c r="I480" s="17" t="inlineStr">
        <x:is>
          <x:t xml:space="preserve"/>
        </x:is>
      </x:c>
    </x:row>
    <x:row r="481">
      <x:c r="A481" s="16" t="inlineStr">
        <x:is>
          <x:t xml:space="preserve">P040</x:t>
        </x:is>
      </x:c>
      <x:c r="B481" s="16" t="n">
        <x:v>7</x:v>
      </x:c>
      <x:c r="C481" s="16" t="n">
        <x:v>9</x:v>
      </x:c>
      <x:c r="D481" s="16" t="inlineStr">
        <x:is>
          <x:t xml:space="preserve">V04</x:t>
        </x:is>
      </x:c>
      <x:c r="E481" s="16" t="inlineStr">
        <x:is>
          <x:t xml:space="preserve">Finance</x:t>
        </x:is>
      </x:c>
      <x:c r="F481" s="16" t="inlineStr">
        <x:is>
          <x:t xml:space="preserve">Full transcript</x:t>
        </x:is>
      </x:c>
      <x:c r="G481" s="16" t="inlineStr">
        <x:is>
          <x:t xml:space="preserve">Muted</x:t>
        </x:is>
      </x:c>
      <x:c r="H481" s="16" t="inlineStr">
        <x:is>
          <x:t xml:space="preserve">Use mobile portrait playback</x:t>
        </x:is>
      </x:c>
      <x:c r="I481" s="16" t="inlineStr">
        <x:is>
          <x:t xml:space="preserve"/>
        </x:is>
      </x:c>
    </x:row>
    <x:row r="482">
      <x:c r="A482" s="17" t="inlineStr">
        <x:is>
          <x:t xml:space="preserve">P040</x:t>
        </x:is>
      </x:c>
      <x:c r="B482" s="17" t="n">
        <x:v>7</x:v>
      </x:c>
      <x:c r="C482" s="17" t="n">
        <x:v>10</x:v>
      </x:c>
      <x:c r="D482" s="17" t="inlineStr">
        <x:is>
          <x:t xml:space="preserve">V10</x:t>
        </x:is>
      </x:c>
      <x:c r="E482" s="17" t="inlineStr">
        <x:is>
          <x:t xml:space="preserve">Product demo</x:t>
        </x:is>
      </x:c>
      <x:c r="F482" s="17" t="inlineStr">
        <x:is>
          <x:t xml:space="preserve">Full transcript</x:t>
        </x:is>
      </x:c>
      <x:c r="G482" s="17" t="inlineStr">
        <x:is>
          <x:t xml:space="preserve">Muted</x:t>
        </x:is>
      </x:c>
      <x:c r="H482" s="17" t="inlineStr">
        <x:is>
          <x:t xml:space="preserve">Use mobile portrait playback</x:t>
        </x:is>
      </x:c>
      <x:c r="I482" s="17" t="inlineStr">
        <x:is>
          <x:t xml:space="preserve"/>
        </x:is>
      </x:c>
    </x:row>
    <x:row r="483">
      <x:c r="A483" s="16" t="inlineStr">
        <x:is>
          <x:t xml:space="preserve">P040</x:t>
        </x:is>
      </x:c>
      <x:c r="B483" s="16" t="n">
        <x:v>7</x:v>
      </x:c>
      <x:c r="C483" s="16" t="n">
        <x:v>11</x:v>
      </x:c>
      <x:c r="D483" s="16" t="inlineStr">
        <x:is>
          <x:t xml:space="preserve">V03</x:t>
        </x:is>
      </x:c>
      <x:c r="E483" s="16" t="inlineStr">
        <x:is>
          <x:t xml:space="preserve">Fitness</x:t>
        </x:is>
      </x:c>
      <x:c r="F483" s="16" t="inlineStr">
        <x:is>
          <x:t xml:space="preserve">Heavy bionic</x:t>
        </x:is>
      </x:c>
      <x:c r="G483" s="16" t="inlineStr">
        <x:is>
          <x:t xml:space="preserve">Muted</x:t>
        </x:is>
      </x:c>
      <x:c r="H483" s="16" t="inlineStr">
        <x:is>
          <x:t xml:space="preserve">Use mobile portrait playback</x:t>
        </x:is>
      </x:c>
      <x:c r="I483" s="16" t="inlineStr">
        <x:is>
          <x:t xml:space="preserve"/>
        </x:is>
      </x:c>
    </x:row>
    <x:row r="484">
      <x:c r="A484" s="17" t="inlineStr">
        <x:is>
          <x:t xml:space="preserve">P040</x:t>
        </x:is>
      </x:c>
      <x:c r="B484" s="17" t="n">
        <x:v>7</x:v>
      </x:c>
      <x:c r="C484" s="17" t="n">
        <x:v>12</x:v>
      </x:c>
      <x:c r="D484" s="17" t="inlineStr">
        <x:is>
          <x:t xml:space="preserve">V05</x:t>
        </x:is>
      </x:c>
      <x:c r="E484" s="17" t="inlineStr">
        <x:is>
          <x:t xml:space="preserve">Tutorial</x:t>
        </x:is>
      </x:c>
      <x:c r="F484" s="17" t="inlineStr">
        <x:is>
          <x:t xml:space="preserve">Keyword highlight</x:t>
        </x:is>
      </x:c>
      <x:c r="G484" s="17" t="inlineStr">
        <x:is>
          <x:t xml:space="preserve">Muted</x:t>
        </x:is>
      </x:c>
      <x:c r="H484" s="17" t="inlineStr">
        <x:is>
          <x:t xml:space="preserve">Use mobile portrait playback</x:t>
        </x:is>
      </x:c>
      <x:c r="I484" s="17" t="inlineStr">
        <x:is>
          <x:t xml:space="preserve"/>
        </x:is>
      </x:c>
    </x:row>
    <x:row r="485">
      <x:c r="A485" s="16" t="inlineStr">
        <x:is>
          <x:t xml:space="preserve">P041</x:t>
        </x:is>
      </x:c>
      <x:c r="B485" s="16" t="n">
        <x:v>7</x:v>
      </x:c>
      <x:c r="C485" s="16" t="n">
        <x:v>1</x:v>
      </x:c>
      <x:c r="D485" s="16" t="inlineStr">
        <x:is>
          <x:t xml:space="preserve">V04</x:t>
        </x:is>
      </x:c>
      <x:c r="E485" s="16" t="inlineStr">
        <x:is>
          <x:t xml:space="preserve">Finance</x:t>
        </x:is>
      </x:c>
      <x:c r="F485" s="16" t="inlineStr">
        <x:is>
          <x:t xml:space="preserve">Keyword highlight</x:t>
        </x:is>
      </x:c>
      <x:c r="G485" s="16" t="inlineStr">
        <x:is>
          <x:t xml:space="preserve">Muted</x:t>
        </x:is>
      </x:c>
      <x:c r="H485" s="16" t="inlineStr">
        <x:is>
          <x:t xml:space="preserve">Use mobile portrait playback</x:t>
        </x:is>
      </x:c>
      <x:c r="I485" s="16" t="inlineStr">
        <x:is>
          <x:t xml:space="preserve"/>
        </x:is>
      </x:c>
    </x:row>
    <x:row r="486">
      <x:c r="A486" s="17" t="inlineStr">
        <x:is>
          <x:t xml:space="preserve">P041</x:t>
        </x:is>
      </x:c>
      <x:c r="B486" s="17" t="n">
        <x:v>7</x:v>
      </x:c>
      <x:c r="C486" s="17" t="n">
        <x:v>2</x:v>
      </x:c>
      <x:c r="D486" s="17" t="inlineStr">
        <x:is>
          <x:t xml:space="preserve">V05</x:t>
        </x:is>
      </x:c>
      <x:c r="E486" s="17" t="inlineStr">
        <x:is>
          <x:t xml:space="preserve">Tutorial</x:t>
        </x:is>
      </x:c>
      <x:c r="F486" s="17" t="inlineStr">
        <x:is>
          <x:t xml:space="preserve">Semantic compression</x:t>
        </x:is>
      </x:c>
      <x:c r="G486" s="17" t="inlineStr">
        <x:is>
          <x:t xml:space="preserve">Muted</x:t>
        </x:is>
      </x:c>
      <x:c r="H486" s="17" t="inlineStr">
        <x:is>
          <x:t xml:space="preserve">Use mobile portrait playback</x:t>
        </x:is>
      </x:c>
      <x:c r="I486" s="17" t="inlineStr">
        <x:is>
          <x:t xml:space="preserve"/>
        </x:is>
      </x:c>
    </x:row>
    <x:row r="487">
      <x:c r="A487" s="16" t="inlineStr">
        <x:is>
          <x:t xml:space="preserve">P041</x:t>
        </x:is>
      </x:c>
      <x:c r="B487" s="16" t="n">
        <x:v>7</x:v>
      </x:c>
      <x:c r="C487" s="16" t="n">
        <x:v>3</x:v>
      </x:c>
      <x:c r="D487" s="16" t="inlineStr">
        <x:is>
          <x:t xml:space="preserve">V11</x:t>
        </x:is>
      </x:c>
      <x:c r="E487" s="16" t="inlineStr">
        <x:is>
          <x:t xml:space="preserve">Creator strategy</x:t>
        </x:is>
      </x:c>
      <x:c r="F487" s="16" t="inlineStr">
        <x:is>
          <x:t xml:space="preserve">Semantic compression</x:t>
        </x:is>
      </x:c>
      <x:c r="G487" s="16" t="inlineStr">
        <x:is>
          <x:t xml:space="preserve">Muted</x:t>
        </x:is>
      </x:c>
      <x:c r="H487" s="16" t="inlineStr">
        <x:is>
          <x:t xml:space="preserve">Use mobile portrait playback</x:t>
        </x:is>
      </x:c>
      <x:c r="I487" s="16" t="inlineStr">
        <x:is>
          <x:t xml:space="preserve"/>
        </x:is>
      </x:c>
    </x:row>
    <x:row r="488">
      <x:c r="A488" s="17" t="inlineStr">
        <x:is>
          <x:t xml:space="preserve">P041</x:t>
        </x:is>
      </x:c>
      <x:c r="B488" s="17" t="n">
        <x:v>7</x:v>
      </x:c>
      <x:c r="C488" s="17" t="n">
        <x:v>4</x:v>
      </x:c>
      <x:c r="D488" s="17" t="inlineStr">
        <x:is>
          <x:t xml:space="preserve">V06</x:t>
        </x:is>
      </x:c>
      <x:c r="E488" s="17" t="inlineStr">
        <x:is>
          <x:t xml:space="preserve">Overload</x:t>
        </x:is>
      </x:c>
      <x:c r="F488" s="17" t="inlineStr">
        <x:is>
          <x:t xml:space="preserve">BCC</x:t>
        </x:is>
      </x:c>
      <x:c r="G488" s="17" t="inlineStr">
        <x:is>
          <x:t xml:space="preserve">Muted</x:t>
        </x:is>
      </x:c>
      <x:c r="H488" s="17" t="inlineStr">
        <x:is>
          <x:t xml:space="preserve">Use mobile portrait playback</x:t>
        </x:is>
      </x:c>
      <x:c r="I488" s="17" t="inlineStr">
        <x:is>
          <x:t xml:space="preserve"/>
        </x:is>
      </x:c>
    </x:row>
    <x:row r="489">
      <x:c r="A489" s="16" t="inlineStr">
        <x:is>
          <x:t xml:space="preserve">P041</x:t>
        </x:is>
      </x:c>
      <x:c r="B489" s="16" t="n">
        <x:v>7</x:v>
      </x:c>
      <x:c r="C489" s="16" t="n">
        <x:v>5</x:v>
      </x:c>
      <x:c r="D489" s="16" t="inlineStr">
        <x:is>
          <x:t xml:space="preserve">V09</x:t>
        </x:is>
      </x:c>
      <x:c r="E489" s="16" t="inlineStr">
        <x:is>
          <x:t xml:space="preserve">Sleep habit</x:t>
        </x:is>
      </x:c>
      <x:c r="F489" s="16" t="inlineStr">
        <x:is>
          <x:t xml:space="preserve">Full transcript</x:t>
        </x:is>
      </x:c>
      <x:c r="G489" s="16" t="inlineStr">
        <x:is>
          <x:t xml:space="preserve">Muted</x:t>
        </x:is>
      </x:c>
      <x:c r="H489" s="16" t="inlineStr">
        <x:is>
          <x:t xml:space="preserve">Use mobile portrait playback</x:t>
        </x:is>
      </x:c>
      <x:c r="I489" s="16" t="inlineStr">
        <x:is>
          <x:t xml:space="preserve"/>
        </x:is>
      </x:c>
    </x:row>
    <x:row r="490">
      <x:c r="A490" s="17" t="inlineStr">
        <x:is>
          <x:t xml:space="preserve">P041</x:t>
        </x:is>
      </x:c>
      <x:c r="B490" s="17" t="n">
        <x:v>7</x:v>
      </x:c>
      <x:c r="C490" s="17" t="n">
        <x:v>6</x:v>
      </x:c>
      <x:c r="D490" s="17" t="inlineStr">
        <x:is>
          <x:t xml:space="preserve">V10</x:t>
        </x:is>
      </x:c>
      <x:c r="E490" s="17" t="inlineStr">
        <x:is>
          <x:t xml:space="preserve">Product demo</x:t>
        </x:is>
      </x:c>
      <x:c r="F490" s="17" t="inlineStr">
        <x:is>
          <x:t xml:space="preserve">Keyword highlight</x:t>
        </x:is>
      </x:c>
      <x:c r="G490" s="17" t="inlineStr">
        <x:is>
          <x:t xml:space="preserve">Muted</x:t>
        </x:is>
      </x:c>
      <x:c r="H490" s="17" t="inlineStr">
        <x:is>
          <x:t xml:space="preserve">Use mobile portrait playback</x:t>
        </x:is>
      </x:c>
      <x:c r="I490" s="17" t="inlineStr">
        <x:is>
          <x:t xml:space="preserve"/>
        </x:is>
      </x:c>
    </x:row>
    <x:row r="491">
      <x:c r="A491" s="16" t="inlineStr">
        <x:is>
          <x:t xml:space="preserve">P041</x:t>
        </x:is>
      </x:c>
      <x:c r="B491" s="16" t="n">
        <x:v>7</x:v>
      </x:c>
      <x:c r="C491" s="16" t="n">
        <x:v>7</x:v>
      </x:c>
      <x:c r="D491" s="16" t="inlineStr">
        <x:is>
          <x:t xml:space="preserve">V02</x:t>
        </x:is>
      </x:c>
      <x:c r="E491" s="16" t="inlineStr">
        <x:is>
          <x:t xml:space="preserve">Study</x:t>
        </x:is>
      </x:c>
      <x:c r="F491" s="16" t="inlineStr">
        <x:is>
          <x:t xml:space="preserve">Heavy bionic</x:t>
        </x:is>
      </x:c>
      <x:c r="G491" s="16" t="inlineStr">
        <x:is>
          <x:t xml:space="preserve">Muted</x:t>
        </x:is>
      </x:c>
      <x:c r="H491" s="16" t="inlineStr">
        <x:is>
          <x:t xml:space="preserve">Use mobile portrait playback</x:t>
        </x:is>
      </x:c>
      <x:c r="I491" s="16" t="inlineStr">
        <x:is>
          <x:t xml:space="preserve"/>
        </x:is>
      </x:c>
    </x:row>
    <x:row r="492">
      <x:c r="A492" s="17" t="inlineStr">
        <x:is>
          <x:t xml:space="preserve">P041</x:t>
        </x:is>
      </x:c>
      <x:c r="B492" s="17" t="n">
        <x:v>7</x:v>
      </x:c>
      <x:c r="C492" s="17" t="n">
        <x:v>8</x:v>
      </x:c>
      <x:c r="D492" s="17" t="inlineStr">
        <x:is>
          <x:t xml:space="preserve">V01</x:t>
        </x:is>
      </x:c>
      <x:c r="E492" s="17" t="inlineStr">
        <x:is>
          <x:t xml:space="preserve">Productivity</x:t>
        </x:is>
      </x:c>
      <x:c r="F492" s="17" t="inlineStr">
        <x:is>
          <x:t xml:space="preserve">BCC+</x:t>
        </x:is>
      </x:c>
      <x:c r="G492" s="17" t="inlineStr">
        <x:is>
          <x:t xml:space="preserve">Muted</x:t>
        </x:is>
      </x:c>
      <x:c r="H492" s="17" t="inlineStr">
        <x:is>
          <x:t xml:space="preserve">Use mobile portrait playback</x:t>
        </x:is>
      </x:c>
      <x:c r="I492" s="17" t="inlineStr">
        <x:is>
          <x:t xml:space="preserve"/>
        </x:is>
      </x:c>
    </x:row>
    <x:row r="493">
      <x:c r="A493" s="16" t="inlineStr">
        <x:is>
          <x:t xml:space="preserve">P041</x:t>
        </x:is>
      </x:c>
      <x:c r="B493" s="16" t="n">
        <x:v>7</x:v>
      </x:c>
      <x:c r="C493" s="16" t="n">
        <x:v>9</x:v>
      </x:c>
      <x:c r="D493" s="16" t="inlineStr">
        <x:is>
          <x:t xml:space="preserve">V07</x:t>
        </x:is>
      </x:c>
      <x:c r="E493" s="16" t="inlineStr">
        <x:is>
          <x:t xml:space="preserve">Business</x:t>
        </x:is>
      </x:c>
      <x:c r="F493" s="16" t="inlineStr">
        <x:is>
          <x:t xml:space="preserve">BCC+</x:t>
        </x:is>
      </x:c>
      <x:c r="G493" s="16" t="inlineStr">
        <x:is>
          <x:t xml:space="preserve">Muted</x:t>
        </x:is>
      </x:c>
      <x:c r="H493" s="16" t="inlineStr">
        <x:is>
          <x:t xml:space="preserve">Use mobile portrait playback</x:t>
        </x:is>
      </x:c>
      <x:c r="I493" s="16" t="inlineStr">
        <x:is>
          <x:t xml:space="preserve"/>
        </x:is>
      </x:c>
    </x:row>
    <x:row r="494">
      <x:c r="A494" s="17" t="inlineStr">
        <x:is>
          <x:t xml:space="preserve">P041</x:t>
        </x:is>
      </x:c>
      <x:c r="B494" s="17" t="n">
        <x:v>7</x:v>
      </x:c>
      <x:c r="C494" s="17" t="n">
        <x:v>10</x:v>
      </x:c>
      <x:c r="D494" s="17" t="inlineStr">
        <x:is>
          <x:t xml:space="preserve">V12</x:t>
        </x:is>
      </x:c>
      <x:c r="E494" s="17" t="inlineStr">
        <x:is>
          <x:t xml:space="preserve">Time management</x:t>
        </x:is>
      </x:c>
      <x:c r="F494" s="17" t="inlineStr">
        <x:is>
          <x:t xml:space="preserve">BCC</x:t>
        </x:is>
      </x:c>
      <x:c r="G494" s="17" t="inlineStr">
        <x:is>
          <x:t xml:space="preserve">Muted</x:t>
        </x:is>
      </x:c>
      <x:c r="H494" s="17" t="inlineStr">
        <x:is>
          <x:t xml:space="preserve">Use mobile portrait playback</x:t>
        </x:is>
      </x:c>
      <x:c r="I494" s="17" t="inlineStr">
        <x:is>
          <x:t xml:space="preserve"/>
        </x:is>
      </x:c>
    </x:row>
    <x:row r="495">
      <x:c r="A495" s="16" t="inlineStr">
        <x:is>
          <x:t xml:space="preserve">P041</x:t>
        </x:is>
      </x:c>
      <x:c r="B495" s="16" t="n">
        <x:v>7</x:v>
      </x:c>
      <x:c r="C495" s="16" t="n">
        <x:v>11</x:v>
      </x:c>
      <x:c r="D495" s="16" t="inlineStr">
        <x:is>
          <x:t xml:space="preserve">V03</x:t>
        </x:is>
      </x:c>
      <x:c r="E495" s="16" t="inlineStr">
        <x:is>
          <x:t xml:space="preserve">Fitness</x:t>
        </x:is>
      </x:c>
      <x:c r="F495" s="16" t="inlineStr">
        <x:is>
          <x:t xml:space="preserve">Full transcript</x:t>
        </x:is>
      </x:c>
      <x:c r="G495" s="16" t="inlineStr">
        <x:is>
          <x:t xml:space="preserve">Muted</x:t>
        </x:is>
      </x:c>
      <x:c r="H495" s="16" t="inlineStr">
        <x:is>
          <x:t xml:space="preserve">Use mobile portrait playback</x:t>
        </x:is>
      </x:c>
      <x:c r="I495" s="16" t="inlineStr">
        <x:is>
          <x:t xml:space="preserve"/>
        </x:is>
      </x:c>
    </x:row>
    <x:row r="496">
      <x:c r="A496" s="17" t="inlineStr">
        <x:is>
          <x:t xml:space="preserve">P041</x:t>
        </x:is>
      </x:c>
      <x:c r="B496" s="17" t="n">
        <x:v>7</x:v>
      </x:c>
      <x:c r="C496" s="17" t="n">
        <x:v>12</x:v>
      </x:c>
      <x:c r="D496" s="17" t="inlineStr">
        <x:is>
          <x:t xml:space="preserve">V08</x:t>
        </x:is>
      </x:c>
      <x:c r="E496" s="17" t="inlineStr">
        <x:is>
          <x:t xml:space="preserve">Coding</x:t>
        </x:is>
      </x:c>
      <x:c r="F496" s="17" t="inlineStr">
        <x:is>
          <x:t xml:space="preserve">Heavy bionic</x:t>
        </x:is>
      </x:c>
      <x:c r="G496" s="17" t="inlineStr">
        <x:is>
          <x:t xml:space="preserve">Muted</x:t>
        </x:is>
      </x:c>
      <x:c r="H496" s="17" t="inlineStr">
        <x:is>
          <x:t xml:space="preserve">Use mobile portrait playback</x:t>
        </x:is>
      </x:c>
      <x:c r="I496" s="17" t="inlineStr">
        <x:is>
          <x:t xml:space="preserve"/>
        </x:is>
      </x:c>
    </x:row>
    <x:row r="497">
      <x:c r="A497" s="16" t="inlineStr">
        <x:is>
          <x:t xml:space="preserve">P042</x:t>
        </x:is>
      </x:c>
      <x:c r="B497" s="16" t="n">
        <x:v>7</x:v>
      </x:c>
      <x:c r="C497" s="16" t="n">
        <x:v>1</x:v>
      </x:c>
      <x:c r="D497" s="16" t="inlineStr">
        <x:is>
          <x:t xml:space="preserve">V05</x:t>
        </x:is>
      </x:c>
      <x:c r="E497" s="16" t="inlineStr">
        <x:is>
          <x:t xml:space="preserve">Tutorial</x:t>
        </x:is>
      </x:c>
      <x:c r="F497" s="16" t="inlineStr">
        <x:is>
          <x:t xml:space="preserve">BCC</x:t>
        </x:is>
      </x:c>
      <x:c r="G497" s="16" t="inlineStr">
        <x:is>
          <x:t xml:space="preserve">Muted</x:t>
        </x:is>
      </x:c>
      <x:c r="H497" s="16" t="inlineStr">
        <x:is>
          <x:t xml:space="preserve">Use mobile portrait playback</x:t>
        </x:is>
      </x:c>
      <x:c r="I497" s="16" t="inlineStr">
        <x:is>
          <x:t xml:space="preserve"/>
        </x:is>
      </x:c>
    </x:row>
    <x:row r="498">
      <x:c r="A498" s="17" t="inlineStr">
        <x:is>
          <x:t xml:space="preserve">P042</x:t>
        </x:is>
      </x:c>
      <x:c r="B498" s="17" t="n">
        <x:v>7</x:v>
      </x:c>
      <x:c r="C498" s="17" t="n">
        <x:v>2</x:v>
      </x:c>
      <x:c r="D498" s="17" t="inlineStr">
        <x:is>
          <x:t xml:space="preserve">V02</x:t>
        </x:is>
      </x:c>
      <x:c r="E498" s="17" t="inlineStr">
        <x:is>
          <x:t xml:space="preserve">Study</x:t>
        </x:is>
      </x:c>
      <x:c r="F498" s="17" t="inlineStr">
        <x:is>
          <x:t xml:space="preserve">Full transcript</x:t>
        </x:is>
      </x:c>
      <x:c r="G498" s="17" t="inlineStr">
        <x:is>
          <x:t xml:space="preserve">Muted</x:t>
        </x:is>
      </x:c>
      <x:c r="H498" s="17" t="inlineStr">
        <x:is>
          <x:t xml:space="preserve">Use mobile portrait playback</x:t>
        </x:is>
      </x:c>
      <x:c r="I498" s="17" t="inlineStr">
        <x:is>
          <x:t xml:space="preserve"/>
        </x:is>
      </x:c>
    </x:row>
    <x:row r="499">
      <x:c r="A499" s="16" t="inlineStr">
        <x:is>
          <x:t xml:space="preserve">P042</x:t>
        </x:is>
      </x:c>
      <x:c r="B499" s="16" t="n">
        <x:v>7</x:v>
      </x:c>
      <x:c r="C499" s="16" t="n">
        <x:v>3</x:v>
      </x:c>
      <x:c r="D499" s="16" t="inlineStr">
        <x:is>
          <x:t xml:space="preserve">V09</x:t>
        </x:is>
      </x:c>
      <x:c r="E499" s="16" t="inlineStr">
        <x:is>
          <x:t xml:space="preserve">Sleep habit</x:t>
        </x:is>
      </x:c>
      <x:c r="F499" s="16" t="inlineStr">
        <x:is>
          <x:t xml:space="preserve">Keyword highlight</x:t>
        </x:is>
      </x:c>
      <x:c r="G499" s="16" t="inlineStr">
        <x:is>
          <x:t xml:space="preserve">Muted</x:t>
        </x:is>
      </x:c>
      <x:c r="H499" s="16" t="inlineStr">
        <x:is>
          <x:t xml:space="preserve">Use mobile portrait playback</x:t>
        </x:is>
      </x:c>
      <x:c r="I499" s="16" t="inlineStr">
        <x:is>
          <x:t xml:space="preserve"/>
        </x:is>
      </x:c>
    </x:row>
    <x:row r="500">
      <x:c r="A500" s="17" t="inlineStr">
        <x:is>
          <x:t xml:space="preserve">P042</x:t>
        </x:is>
      </x:c>
      <x:c r="B500" s="17" t="n">
        <x:v>7</x:v>
      </x:c>
      <x:c r="C500" s="17" t="n">
        <x:v>4</x:v>
      </x:c>
      <x:c r="D500" s="17" t="inlineStr">
        <x:is>
          <x:t xml:space="preserve">V07</x:t>
        </x:is>
      </x:c>
      <x:c r="E500" s="17" t="inlineStr">
        <x:is>
          <x:t xml:space="preserve">Business</x:t>
        </x:is>
      </x:c>
      <x:c r="F500" s="17" t="inlineStr">
        <x:is>
          <x:t xml:space="preserve">Heavy bionic</x:t>
        </x:is>
      </x:c>
      <x:c r="G500" s="17" t="inlineStr">
        <x:is>
          <x:t xml:space="preserve">Muted</x:t>
        </x:is>
      </x:c>
      <x:c r="H500" s="17" t="inlineStr">
        <x:is>
          <x:t xml:space="preserve">Use mobile portrait playback</x:t>
        </x:is>
      </x:c>
      <x:c r="I500" s="17" t="inlineStr">
        <x:is>
          <x:t xml:space="preserve"/>
        </x:is>
      </x:c>
    </x:row>
    <x:row r="501">
      <x:c r="A501" s="16" t="inlineStr">
        <x:is>
          <x:t xml:space="preserve">P042</x:t>
        </x:is>
      </x:c>
      <x:c r="B501" s="16" t="n">
        <x:v>7</x:v>
      </x:c>
      <x:c r="C501" s="16" t="n">
        <x:v>5</x:v>
      </x:c>
      <x:c r="D501" s="16" t="inlineStr">
        <x:is>
          <x:t xml:space="preserve">V08</x:t>
        </x:is>
      </x:c>
      <x:c r="E501" s="16" t="inlineStr">
        <x:is>
          <x:t xml:space="preserve">Coding</x:t>
        </x:is>
      </x:c>
      <x:c r="F501" s="16" t="inlineStr">
        <x:is>
          <x:t xml:space="preserve">Full transcript</x:t>
        </x:is>
      </x:c>
      <x:c r="G501" s="16" t="inlineStr">
        <x:is>
          <x:t xml:space="preserve">Muted</x:t>
        </x:is>
      </x:c>
      <x:c r="H501" s="16" t="inlineStr">
        <x:is>
          <x:t xml:space="preserve">Use mobile portrait playback</x:t>
        </x:is>
      </x:c>
      <x:c r="I501" s="16" t="inlineStr">
        <x:is>
          <x:t xml:space="preserve"/>
        </x:is>
      </x:c>
    </x:row>
    <x:row r="502">
      <x:c r="A502" s="17" t="inlineStr">
        <x:is>
          <x:t xml:space="preserve">P042</x:t>
        </x:is>
      </x:c>
      <x:c r="B502" s="17" t="n">
        <x:v>7</x:v>
      </x:c>
      <x:c r="C502" s="17" t="n">
        <x:v>6</x:v>
      </x:c>
      <x:c r="D502" s="17" t="inlineStr">
        <x:is>
          <x:t xml:space="preserve">V12</x:t>
        </x:is>
      </x:c>
      <x:c r="E502" s="17" t="inlineStr">
        <x:is>
          <x:t xml:space="preserve">Time management</x:t>
        </x:is>
      </x:c>
      <x:c r="F502" s="17" t="inlineStr">
        <x:is>
          <x:t xml:space="preserve">BCC+</x:t>
        </x:is>
      </x:c>
      <x:c r="G502" s="17" t="inlineStr">
        <x:is>
          <x:t xml:space="preserve">Muted</x:t>
        </x:is>
      </x:c>
      <x:c r="H502" s="17" t="inlineStr">
        <x:is>
          <x:t xml:space="preserve">Use mobile portrait playback</x:t>
        </x:is>
      </x:c>
      <x:c r="I502" s="17" t="inlineStr">
        <x:is>
          <x:t xml:space="preserve"/>
        </x:is>
      </x:c>
    </x:row>
    <x:row r="503">
      <x:c r="A503" s="16" t="inlineStr">
        <x:is>
          <x:t xml:space="preserve">P042</x:t>
        </x:is>
      </x:c>
      <x:c r="B503" s="16" t="n">
        <x:v>7</x:v>
      </x:c>
      <x:c r="C503" s="16" t="n">
        <x:v>7</x:v>
      </x:c>
      <x:c r="D503" s="16" t="inlineStr">
        <x:is>
          <x:t xml:space="preserve">V11</x:t>
        </x:is>
      </x:c>
      <x:c r="E503" s="16" t="inlineStr">
        <x:is>
          <x:t xml:space="preserve">Creator strategy</x:t>
        </x:is>
      </x:c>
      <x:c r="F503" s="16" t="inlineStr">
        <x:is>
          <x:t xml:space="preserve">BCC</x:t>
        </x:is>
      </x:c>
      <x:c r="G503" s="16" t="inlineStr">
        <x:is>
          <x:t xml:space="preserve">Muted</x:t>
        </x:is>
      </x:c>
      <x:c r="H503" s="16" t="inlineStr">
        <x:is>
          <x:t xml:space="preserve">Use mobile portrait playback</x:t>
        </x:is>
      </x:c>
      <x:c r="I503" s="16" t="inlineStr">
        <x:is>
          <x:t xml:space="preserve"/>
        </x:is>
      </x:c>
    </x:row>
    <x:row r="504">
      <x:c r="A504" s="17" t="inlineStr">
        <x:is>
          <x:t xml:space="preserve">P042</x:t>
        </x:is>
      </x:c>
      <x:c r="B504" s="17" t="n">
        <x:v>7</x:v>
      </x:c>
      <x:c r="C504" s="17" t="n">
        <x:v>8</x:v>
      </x:c>
      <x:c r="D504" s="17" t="inlineStr">
        <x:is>
          <x:t xml:space="preserve">V10</x:t>
        </x:is>
      </x:c>
      <x:c r="E504" s="17" t="inlineStr">
        <x:is>
          <x:t xml:space="preserve">Product demo</x:t>
        </x:is>
      </x:c>
      <x:c r="F504" s="17" t="inlineStr">
        <x:is>
          <x:t xml:space="preserve">Semantic compression</x:t>
        </x:is>
      </x:c>
      <x:c r="G504" s="17" t="inlineStr">
        <x:is>
          <x:t xml:space="preserve">Muted</x:t>
        </x:is>
      </x:c>
      <x:c r="H504" s="17" t="inlineStr">
        <x:is>
          <x:t xml:space="preserve">Use mobile portrait playback</x:t>
        </x:is>
      </x:c>
      <x:c r="I504" s="17" t="inlineStr">
        <x:is>
          <x:t xml:space="preserve"/>
        </x:is>
      </x:c>
    </x:row>
    <x:row r="505">
      <x:c r="A505" s="16" t="inlineStr">
        <x:is>
          <x:t xml:space="preserve">P042</x:t>
        </x:is>
      </x:c>
      <x:c r="B505" s="16" t="n">
        <x:v>7</x:v>
      </x:c>
      <x:c r="C505" s="16" t="n">
        <x:v>9</x:v>
      </x:c>
      <x:c r="D505" s="16" t="inlineStr">
        <x:is>
          <x:t xml:space="preserve">V01</x:t>
        </x:is>
      </x:c>
      <x:c r="E505" s="16" t="inlineStr">
        <x:is>
          <x:t xml:space="preserve">Productivity</x:t>
        </x:is>
      </x:c>
      <x:c r="F505" s="16" t="inlineStr">
        <x:is>
          <x:t xml:space="preserve">Heavy bionic</x:t>
        </x:is>
      </x:c>
      <x:c r="G505" s="16" t="inlineStr">
        <x:is>
          <x:t xml:space="preserve">Muted</x:t>
        </x:is>
      </x:c>
      <x:c r="H505" s="16" t="inlineStr">
        <x:is>
          <x:t xml:space="preserve">Use mobile portrait playback</x:t>
        </x:is>
      </x:c>
      <x:c r="I505" s="16" t="inlineStr">
        <x:is>
          <x:t xml:space="preserve"/>
        </x:is>
      </x:c>
    </x:row>
    <x:row r="506">
      <x:c r="A506" s="17" t="inlineStr">
        <x:is>
          <x:t xml:space="preserve">P042</x:t>
        </x:is>
      </x:c>
      <x:c r="B506" s="17" t="n">
        <x:v>7</x:v>
      </x:c>
      <x:c r="C506" s="17" t="n">
        <x:v>10</x:v>
      </x:c>
      <x:c r="D506" s="17" t="inlineStr">
        <x:is>
          <x:t xml:space="preserve">V06</x:t>
        </x:is>
      </x:c>
      <x:c r="E506" s="17" t="inlineStr">
        <x:is>
          <x:t xml:space="preserve">Overload</x:t>
        </x:is>
      </x:c>
      <x:c r="F506" s="17" t="inlineStr">
        <x:is>
          <x:t xml:space="preserve">BCC+</x:t>
        </x:is>
      </x:c>
      <x:c r="G506" s="17" t="inlineStr">
        <x:is>
          <x:t xml:space="preserve">Muted</x:t>
        </x:is>
      </x:c>
      <x:c r="H506" s="17" t="inlineStr">
        <x:is>
          <x:t xml:space="preserve">Use mobile portrait playback</x:t>
        </x:is>
      </x:c>
      <x:c r="I506" s="17" t="inlineStr">
        <x:is>
          <x:t xml:space="preserve"/>
        </x:is>
      </x:c>
    </x:row>
    <x:row r="507">
      <x:c r="A507" s="16" t="inlineStr">
        <x:is>
          <x:t xml:space="preserve">P042</x:t>
        </x:is>
      </x:c>
      <x:c r="B507" s="16" t="n">
        <x:v>7</x:v>
      </x:c>
      <x:c r="C507" s="16" t="n">
        <x:v>11</x:v>
      </x:c>
      <x:c r="D507" s="16" t="inlineStr">
        <x:is>
          <x:t xml:space="preserve">V03</x:t>
        </x:is>
      </x:c>
      <x:c r="E507" s="16" t="inlineStr">
        <x:is>
          <x:t xml:space="preserve">Fitness</x:t>
        </x:is>
      </x:c>
      <x:c r="F507" s="16" t="inlineStr">
        <x:is>
          <x:t xml:space="preserve">Keyword highlight</x:t>
        </x:is>
      </x:c>
      <x:c r="G507" s="16" t="inlineStr">
        <x:is>
          <x:t xml:space="preserve">Muted</x:t>
        </x:is>
      </x:c>
      <x:c r="H507" s="16" t="inlineStr">
        <x:is>
          <x:t xml:space="preserve">Use mobile portrait playback</x:t>
        </x:is>
      </x:c>
      <x:c r="I507" s="16" t="inlineStr">
        <x:is>
          <x:t xml:space="preserve"/>
        </x:is>
      </x:c>
    </x:row>
    <x:row r="508">
      <x:c r="A508" s="17" t="inlineStr">
        <x:is>
          <x:t xml:space="preserve">P042</x:t>
        </x:is>
      </x:c>
      <x:c r="B508" s="17" t="n">
        <x:v>7</x:v>
      </x:c>
      <x:c r="C508" s="17" t="n">
        <x:v>12</x:v>
      </x:c>
      <x:c r="D508" s="17" t="inlineStr">
        <x:is>
          <x:t xml:space="preserve">V04</x:t>
        </x:is>
      </x:c>
      <x:c r="E508" s="17" t="inlineStr">
        <x:is>
          <x:t xml:space="preserve">Finance</x:t>
        </x:is>
      </x:c>
      <x:c r="F508" s="17" t="inlineStr">
        <x:is>
          <x:t xml:space="preserve">Semantic compression</x:t>
        </x:is>
      </x:c>
      <x:c r="G508" s="17" t="inlineStr">
        <x:is>
          <x:t xml:space="preserve">Muted</x:t>
        </x:is>
      </x:c>
      <x:c r="H508" s="17" t="inlineStr">
        <x:is>
          <x:t xml:space="preserve">Use mobile portrait playback</x:t>
        </x:is>
      </x:c>
      <x:c r="I508" s="17" t="inlineStr">
        <x:is>
          <x:t xml:space="preserve"/>
        </x:is>
      </x:c>
    </x:row>
    <x:row r="509">
      <x:c r="A509" s="16" t="inlineStr">
        <x:is>
          <x:t xml:space="preserve">P043</x:t>
        </x:is>
      </x:c>
      <x:c r="B509" s="16" t="n">
        <x:v>8</x:v>
      </x:c>
      <x:c r="C509" s="16" t="n">
        <x:v>1</x:v>
      </x:c>
      <x:c r="D509" s="16" t="inlineStr">
        <x:is>
          <x:t xml:space="preserve">V05</x:t>
        </x:is>
      </x:c>
      <x:c r="E509" s="16" t="inlineStr">
        <x:is>
          <x:t xml:space="preserve">Tutorial</x:t>
        </x:is>
      </x:c>
      <x:c r="F509" s="16" t="inlineStr">
        <x:is>
          <x:t xml:space="preserve">BCC+</x:t>
        </x:is>
      </x:c>
      <x:c r="G509" s="16" t="inlineStr">
        <x:is>
          <x:t xml:space="preserve">Audio-on</x:t>
        </x:is>
      </x:c>
      <x:c r="H509" s="16" t="inlineStr">
        <x:is>
          <x:t xml:space="preserve">Use mobile portrait playback</x:t>
        </x:is>
      </x:c>
      <x:c r="I509" s="16" t="inlineStr">
        <x:is>
          <x:t xml:space="preserve"/>
        </x:is>
      </x:c>
    </x:row>
    <x:row r="510">
      <x:c r="A510" s="17" t="inlineStr">
        <x:is>
          <x:t xml:space="preserve">P043</x:t>
        </x:is>
      </x:c>
      <x:c r="B510" s="17" t="n">
        <x:v>8</x:v>
      </x:c>
      <x:c r="C510" s="17" t="n">
        <x:v>2</x:v>
      </x:c>
      <x:c r="D510" s="17" t="inlineStr">
        <x:is>
          <x:t xml:space="preserve">V07</x:t>
        </x:is>
      </x:c>
      <x:c r="E510" s="17" t="inlineStr">
        <x:is>
          <x:t xml:space="preserve">Business</x:t>
        </x:is>
      </x:c>
      <x:c r="F510" s="17" t="inlineStr">
        <x:is>
          <x:t xml:space="preserve">Full transcript</x:t>
        </x:is>
      </x:c>
      <x:c r="G510" s="17" t="inlineStr">
        <x:is>
          <x:t xml:space="preserve">Audio-on</x:t>
        </x:is>
      </x:c>
      <x:c r="H510" s="17" t="inlineStr">
        <x:is>
          <x:t xml:space="preserve">Use mobile portrait playback</x:t>
        </x:is>
      </x:c>
      <x:c r="I510" s="17" t="inlineStr">
        <x:is>
          <x:t xml:space="preserve"/>
        </x:is>
      </x:c>
    </x:row>
    <x:row r="511">
      <x:c r="A511" s="16" t="inlineStr">
        <x:is>
          <x:t xml:space="preserve">P043</x:t>
        </x:is>
      </x:c>
      <x:c r="B511" s="16" t="n">
        <x:v>8</x:v>
      </x:c>
      <x:c r="C511" s="16" t="n">
        <x:v>3</x:v>
      </x:c>
      <x:c r="D511" s="16" t="inlineStr">
        <x:is>
          <x:t xml:space="preserve">V09</x:t>
        </x:is>
      </x:c>
      <x:c r="E511" s="16" t="inlineStr">
        <x:is>
          <x:t xml:space="preserve">Sleep habit</x:t>
        </x:is>
      </x:c>
      <x:c r="F511" s="16" t="inlineStr">
        <x:is>
          <x:t xml:space="preserve">Semantic compression</x:t>
        </x:is>
      </x:c>
      <x:c r="G511" s="16" t="inlineStr">
        <x:is>
          <x:t xml:space="preserve">Audio-on</x:t>
        </x:is>
      </x:c>
      <x:c r="H511" s="16" t="inlineStr">
        <x:is>
          <x:t xml:space="preserve">Use mobile portrait playback</x:t>
        </x:is>
      </x:c>
      <x:c r="I511" s="16" t="inlineStr">
        <x:is>
          <x:t xml:space="preserve"/>
        </x:is>
      </x:c>
    </x:row>
    <x:row r="512">
      <x:c r="A512" s="17" t="inlineStr">
        <x:is>
          <x:t xml:space="preserve">P043</x:t>
        </x:is>
      </x:c>
      <x:c r="B512" s="17" t="n">
        <x:v>8</x:v>
      </x:c>
      <x:c r="C512" s="17" t="n">
        <x:v>4</x:v>
      </x:c>
      <x:c r="D512" s="17" t="inlineStr">
        <x:is>
          <x:t xml:space="preserve">V03</x:t>
        </x:is>
      </x:c>
      <x:c r="E512" s="17" t="inlineStr">
        <x:is>
          <x:t xml:space="preserve">Fitness</x:t>
        </x:is>
      </x:c>
      <x:c r="F512" s="17" t="inlineStr">
        <x:is>
          <x:t xml:space="preserve">Semantic compression</x:t>
        </x:is>
      </x:c>
      <x:c r="G512" s="17" t="inlineStr">
        <x:is>
          <x:t xml:space="preserve">Audio-on</x:t>
        </x:is>
      </x:c>
      <x:c r="H512" s="17" t="inlineStr">
        <x:is>
          <x:t xml:space="preserve">Use mobile portrait playback</x:t>
        </x:is>
      </x:c>
      <x:c r="I512" s="17" t="inlineStr">
        <x:is>
          <x:t xml:space="preserve"/>
        </x:is>
      </x:c>
    </x:row>
    <x:row r="513">
      <x:c r="A513" s="16" t="inlineStr">
        <x:is>
          <x:t xml:space="preserve">P043</x:t>
        </x:is>
      </x:c>
      <x:c r="B513" s="16" t="n">
        <x:v>8</x:v>
      </x:c>
      <x:c r="C513" s="16" t="n">
        <x:v>5</x:v>
      </x:c>
      <x:c r="D513" s="16" t="inlineStr">
        <x:is>
          <x:t xml:space="preserve">V01</x:t>
        </x:is>
      </x:c>
      <x:c r="E513" s="16" t="inlineStr">
        <x:is>
          <x:t xml:space="preserve">Productivity</x:t>
        </x:is>
      </x:c>
      <x:c r="F513" s="16" t="inlineStr">
        <x:is>
          <x:t xml:space="preserve">Full transcript</x:t>
        </x:is>
      </x:c>
      <x:c r="G513" s="16" t="inlineStr">
        <x:is>
          <x:t xml:space="preserve">Audio-on</x:t>
        </x:is>
      </x:c>
      <x:c r="H513" s="16" t="inlineStr">
        <x:is>
          <x:t xml:space="preserve">Use mobile portrait playback</x:t>
        </x:is>
      </x:c>
      <x:c r="I513" s="16" t="inlineStr">
        <x:is>
          <x:t xml:space="preserve"/>
        </x:is>
      </x:c>
    </x:row>
    <x:row r="514">
      <x:c r="A514" s="17" t="inlineStr">
        <x:is>
          <x:t xml:space="preserve">P043</x:t>
        </x:is>
      </x:c>
      <x:c r="B514" s="17" t="n">
        <x:v>8</x:v>
      </x:c>
      <x:c r="C514" s="17" t="n">
        <x:v>6</x:v>
      </x:c>
      <x:c r="D514" s="17" t="inlineStr">
        <x:is>
          <x:t xml:space="preserve">V02</x:t>
        </x:is>
      </x:c>
      <x:c r="E514" s="17" t="inlineStr">
        <x:is>
          <x:t xml:space="preserve">Study</x:t>
        </x:is>
      </x:c>
      <x:c r="F514" s="17" t="inlineStr">
        <x:is>
          <x:t xml:space="preserve">Keyword highlight</x:t>
        </x:is>
      </x:c>
      <x:c r="G514" s="17" t="inlineStr">
        <x:is>
          <x:t xml:space="preserve">Audio-on</x:t>
        </x:is>
      </x:c>
      <x:c r="H514" s="17" t="inlineStr">
        <x:is>
          <x:t xml:space="preserve">Use mobile portrait playback</x:t>
        </x:is>
      </x:c>
      <x:c r="I514" s="17" t="inlineStr">
        <x:is>
          <x:t xml:space="preserve"/>
        </x:is>
      </x:c>
    </x:row>
    <x:row r="515">
      <x:c r="A515" s="16" t="inlineStr">
        <x:is>
          <x:t xml:space="preserve">P043</x:t>
        </x:is>
      </x:c>
      <x:c r="B515" s="16" t="n">
        <x:v>8</x:v>
      </x:c>
      <x:c r="C515" s="16" t="n">
        <x:v>7</x:v>
      </x:c>
      <x:c r="D515" s="16" t="inlineStr">
        <x:is>
          <x:t xml:space="preserve">V12</x:t>
        </x:is>
      </x:c>
      <x:c r="E515" s="16" t="inlineStr">
        <x:is>
          <x:t xml:space="preserve">Time management</x:t>
        </x:is>
      </x:c>
      <x:c r="F515" s="16" t="inlineStr">
        <x:is>
          <x:t xml:space="preserve">Heavy bionic</x:t>
        </x:is>
      </x:c>
      <x:c r="G515" s="16" t="inlineStr">
        <x:is>
          <x:t xml:space="preserve">Audio-on</x:t>
        </x:is>
      </x:c>
      <x:c r="H515" s="16" t="inlineStr">
        <x:is>
          <x:t xml:space="preserve">Use mobile portrait playback</x:t>
        </x:is>
      </x:c>
      <x:c r="I515" s="16" t="inlineStr">
        <x:is>
          <x:t xml:space="preserve"/>
        </x:is>
      </x:c>
    </x:row>
    <x:row r="516">
      <x:c r="A516" s="17" t="inlineStr">
        <x:is>
          <x:t xml:space="preserve">P043</x:t>
        </x:is>
      </x:c>
      <x:c r="B516" s="17" t="n">
        <x:v>8</x:v>
      </x:c>
      <x:c r="C516" s="17" t="n">
        <x:v>8</x:v>
      </x:c>
      <x:c r="D516" s="17" t="inlineStr">
        <x:is>
          <x:t xml:space="preserve">V04</x:t>
        </x:is>
      </x:c>
      <x:c r="E516" s="17" t="inlineStr">
        <x:is>
          <x:t xml:space="preserve">Finance</x:t>
        </x:is>
      </x:c>
      <x:c r="F516" s="17" t="inlineStr">
        <x:is>
          <x:t xml:space="preserve">BCC</x:t>
        </x:is>
      </x:c>
      <x:c r="G516" s="17" t="inlineStr">
        <x:is>
          <x:t xml:space="preserve">Audio-on</x:t>
        </x:is>
      </x:c>
      <x:c r="H516" s="17" t="inlineStr">
        <x:is>
          <x:t xml:space="preserve">Use mobile portrait playback</x:t>
        </x:is>
      </x:c>
      <x:c r="I516" s="17" t="inlineStr">
        <x:is>
          <x:t xml:space="preserve"/>
        </x:is>
      </x:c>
    </x:row>
    <x:row r="517">
      <x:c r="A517" s="16" t="inlineStr">
        <x:is>
          <x:t xml:space="preserve">P043</x:t>
        </x:is>
      </x:c>
      <x:c r="B517" s="16" t="n">
        <x:v>8</x:v>
      </x:c>
      <x:c r="C517" s="16" t="n">
        <x:v>9</x:v>
      </x:c>
      <x:c r="D517" s="16" t="inlineStr">
        <x:is>
          <x:t xml:space="preserve">V08</x:t>
        </x:is>
      </x:c>
      <x:c r="E517" s="16" t="inlineStr">
        <x:is>
          <x:t xml:space="preserve">Coding</x:t>
        </x:is>
      </x:c>
      <x:c r="F517" s="16" t="inlineStr">
        <x:is>
          <x:t xml:space="preserve">Keyword highlight</x:t>
        </x:is>
      </x:c>
      <x:c r="G517" s="16" t="inlineStr">
        <x:is>
          <x:t xml:space="preserve">Audio-on</x:t>
        </x:is>
      </x:c>
      <x:c r="H517" s="16" t="inlineStr">
        <x:is>
          <x:t xml:space="preserve">Use mobile portrait playback</x:t>
        </x:is>
      </x:c>
      <x:c r="I517" s="16" t="inlineStr">
        <x:is>
          <x:t xml:space="preserve"/>
        </x:is>
      </x:c>
    </x:row>
    <x:row r="518">
      <x:c r="A518" s="17" t="inlineStr">
        <x:is>
          <x:t xml:space="preserve">P043</x:t>
        </x:is>
      </x:c>
      <x:c r="B518" s="17" t="n">
        <x:v>8</x:v>
      </x:c>
      <x:c r="C518" s="17" t="n">
        <x:v>10</x:v>
      </x:c>
      <x:c r="D518" s="17" t="inlineStr">
        <x:is>
          <x:t xml:space="preserve">V11</x:t>
        </x:is>
      </x:c>
      <x:c r="E518" s="17" t="inlineStr">
        <x:is>
          <x:t xml:space="preserve">Creator strategy</x:t>
        </x:is>
      </x:c>
      <x:c r="F518" s="17" t="inlineStr">
        <x:is>
          <x:t xml:space="preserve">BCC+</x:t>
        </x:is>
      </x:c>
      <x:c r="G518" s="17" t="inlineStr">
        <x:is>
          <x:t xml:space="preserve">Audio-on</x:t>
        </x:is>
      </x:c>
      <x:c r="H518" s="17" t="inlineStr">
        <x:is>
          <x:t xml:space="preserve">Use mobile portrait playback</x:t>
        </x:is>
      </x:c>
      <x:c r="I518" s="17" t="inlineStr">
        <x:is>
          <x:t xml:space="preserve"/>
        </x:is>
      </x:c>
    </x:row>
    <x:row r="519">
      <x:c r="A519" s="16" t="inlineStr">
        <x:is>
          <x:t xml:space="preserve">P043</x:t>
        </x:is>
      </x:c>
      <x:c r="B519" s="16" t="n">
        <x:v>8</x:v>
      </x:c>
      <x:c r="C519" s="16" t="n">
        <x:v>11</x:v>
      </x:c>
      <x:c r="D519" s="16" t="inlineStr">
        <x:is>
          <x:t xml:space="preserve">V06</x:t>
        </x:is>
      </x:c>
      <x:c r="E519" s="16" t="inlineStr">
        <x:is>
          <x:t xml:space="preserve">Overload</x:t>
        </x:is>
      </x:c>
      <x:c r="F519" s="16" t="inlineStr">
        <x:is>
          <x:t xml:space="preserve">Heavy bionic</x:t>
        </x:is>
      </x:c>
      <x:c r="G519" s="16" t="inlineStr">
        <x:is>
          <x:t xml:space="preserve">Audio-on</x:t>
        </x:is>
      </x:c>
      <x:c r="H519" s="16" t="inlineStr">
        <x:is>
          <x:t xml:space="preserve">Use mobile portrait playback</x:t>
        </x:is>
      </x:c>
      <x:c r="I519" s="16" t="inlineStr">
        <x:is>
          <x:t xml:space="preserve"/>
        </x:is>
      </x:c>
    </x:row>
    <x:row r="520">
      <x:c r="A520" s="17" t="inlineStr">
        <x:is>
          <x:t xml:space="preserve">P043</x:t>
        </x:is>
      </x:c>
      <x:c r="B520" s="17" t="n">
        <x:v>8</x:v>
      </x:c>
      <x:c r="C520" s="17" t="n">
        <x:v>12</x:v>
      </x:c>
      <x:c r="D520" s="17" t="inlineStr">
        <x:is>
          <x:t xml:space="preserve">V10</x:t>
        </x:is>
      </x:c>
      <x:c r="E520" s="17" t="inlineStr">
        <x:is>
          <x:t xml:space="preserve">Product demo</x:t>
        </x:is>
      </x:c>
      <x:c r="F520" s="17" t="inlineStr">
        <x:is>
          <x:t xml:space="preserve">BCC</x:t>
        </x:is>
      </x:c>
      <x:c r="G520" s="17" t="inlineStr">
        <x:is>
          <x:t xml:space="preserve">Audio-on</x:t>
        </x:is>
      </x:c>
      <x:c r="H520" s="17" t="inlineStr">
        <x:is>
          <x:t xml:space="preserve">Use mobile portrait playback</x:t>
        </x:is>
      </x:c>
      <x:c r="I520" s="17" t="inlineStr">
        <x:is>
          <x:t xml:space="preserve"/>
        </x:is>
      </x:c>
    </x:row>
    <x:row r="521">
      <x:c r="A521" s="16" t="inlineStr">
        <x:is>
          <x:t xml:space="preserve">P044</x:t>
        </x:is>
      </x:c>
      <x:c r="B521" s="16" t="n">
        <x:v>8</x:v>
      </x:c>
      <x:c r="C521" s="16" t="n">
        <x:v>1</x:v>
      </x:c>
      <x:c r="D521" s="16" t="inlineStr">
        <x:is>
          <x:t xml:space="preserve">V12</x:t>
        </x:is>
      </x:c>
      <x:c r="E521" s="16" t="inlineStr">
        <x:is>
          <x:t xml:space="preserve">Time management</x:t>
        </x:is>
      </x:c>
      <x:c r="F521" s="16" t="inlineStr">
        <x:is>
          <x:t xml:space="preserve">Full transcript</x:t>
        </x:is>
      </x:c>
      <x:c r="G521" s="16" t="inlineStr">
        <x:is>
          <x:t xml:space="preserve">Audio-on</x:t>
        </x:is>
      </x:c>
      <x:c r="H521" s="16" t="inlineStr">
        <x:is>
          <x:t xml:space="preserve">Use mobile portrait playback</x:t>
        </x:is>
      </x:c>
      <x:c r="I521" s="16" t="inlineStr">
        <x:is>
          <x:t xml:space="preserve"/>
        </x:is>
      </x:c>
    </x:row>
    <x:row r="522">
      <x:c r="A522" s="17" t="inlineStr">
        <x:is>
          <x:t xml:space="preserve">P044</x:t>
        </x:is>
      </x:c>
      <x:c r="B522" s="17" t="n">
        <x:v>8</x:v>
      </x:c>
      <x:c r="C522" s="17" t="n">
        <x:v>2</x:v>
      </x:c>
      <x:c r="D522" s="17" t="inlineStr">
        <x:is>
          <x:t xml:space="preserve">V09</x:t>
        </x:is>
      </x:c>
      <x:c r="E522" s="17" t="inlineStr">
        <x:is>
          <x:t xml:space="preserve">Sleep habit</x:t>
        </x:is>
      </x:c>
      <x:c r="F522" s="17" t="inlineStr">
        <x:is>
          <x:t xml:space="preserve">BCC</x:t>
        </x:is>
      </x:c>
      <x:c r="G522" s="17" t="inlineStr">
        <x:is>
          <x:t xml:space="preserve">Audio-on</x:t>
        </x:is>
      </x:c>
      <x:c r="H522" s="17" t="inlineStr">
        <x:is>
          <x:t xml:space="preserve">Use mobile portrait playback</x:t>
        </x:is>
      </x:c>
      <x:c r="I522" s="17" t="inlineStr">
        <x:is>
          <x:t xml:space="preserve"/>
        </x:is>
      </x:c>
    </x:row>
    <x:row r="523">
      <x:c r="A523" s="16" t="inlineStr">
        <x:is>
          <x:t xml:space="preserve">P044</x:t>
        </x:is>
      </x:c>
      <x:c r="B523" s="16" t="n">
        <x:v>8</x:v>
      </x:c>
      <x:c r="C523" s="16" t="n">
        <x:v>3</x:v>
      </x:c>
      <x:c r="D523" s="16" t="inlineStr">
        <x:is>
          <x:t xml:space="preserve">V03</x:t>
        </x:is>
      </x:c>
      <x:c r="E523" s="16" t="inlineStr">
        <x:is>
          <x:t xml:space="preserve">Fitness</x:t>
        </x:is>
      </x:c>
      <x:c r="F523" s="16" t="inlineStr">
        <x:is>
          <x:t xml:space="preserve">BCC</x:t>
        </x:is>
      </x:c>
      <x:c r="G523" s="16" t="inlineStr">
        <x:is>
          <x:t xml:space="preserve">Audio-on</x:t>
        </x:is>
      </x:c>
      <x:c r="H523" s="16" t="inlineStr">
        <x:is>
          <x:t xml:space="preserve">Use mobile portrait playback</x:t>
        </x:is>
      </x:c>
      <x:c r="I523" s="16" t="inlineStr">
        <x:is>
          <x:t xml:space="preserve"/>
        </x:is>
      </x:c>
    </x:row>
    <x:row r="524">
      <x:c r="A524" s="17" t="inlineStr">
        <x:is>
          <x:t xml:space="preserve">P044</x:t>
        </x:is>
      </x:c>
      <x:c r="B524" s="17" t="n">
        <x:v>8</x:v>
      </x:c>
      <x:c r="C524" s="17" t="n">
        <x:v>4</x:v>
      </x:c>
      <x:c r="D524" s="17" t="inlineStr">
        <x:is>
          <x:t xml:space="preserve">V05</x:t>
        </x:is>
      </x:c>
      <x:c r="E524" s="17" t="inlineStr">
        <x:is>
          <x:t xml:space="preserve">Tutorial</x:t>
        </x:is>
      </x:c>
      <x:c r="F524" s="17" t="inlineStr">
        <x:is>
          <x:t xml:space="preserve">Heavy bionic</x:t>
        </x:is>
      </x:c>
      <x:c r="G524" s="17" t="inlineStr">
        <x:is>
          <x:t xml:space="preserve">Audio-on</x:t>
        </x:is>
      </x:c>
      <x:c r="H524" s="17" t="inlineStr">
        <x:is>
          <x:t xml:space="preserve">Use mobile portrait playback</x:t>
        </x:is>
      </x:c>
      <x:c r="I524" s="17" t="inlineStr">
        <x:is>
          <x:t xml:space="preserve"/>
        </x:is>
      </x:c>
    </x:row>
    <x:row r="525">
      <x:c r="A525" s="16" t="inlineStr">
        <x:is>
          <x:t xml:space="preserve">P044</x:t>
        </x:is>
      </x:c>
      <x:c r="B525" s="16" t="n">
        <x:v>8</x:v>
      </x:c>
      <x:c r="C525" s="16" t="n">
        <x:v>5</x:v>
      </x:c>
      <x:c r="D525" s="16" t="inlineStr">
        <x:is>
          <x:t xml:space="preserve">V11</x:t>
        </x:is>
      </x:c>
      <x:c r="E525" s="16" t="inlineStr">
        <x:is>
          <x:t xml:space="preserve">Creator strategy</x:t>
        </x:is>
      </x:c>
      <x:c r="F525" s="16" t="inlineStr">
        <x:is>
          <x:t xml:space="preserve">Heavy bionic</x:t>
        </x:is>
      </x:c>
      <x:c r="G525" s="16" t="inlineStr">
        <x:is>
          <x:t xml:space="preserve">Audio-on</x:t>
        </x:is>
      </x:c>
      <x:c r="H525" s="16" t="inlineStr">
        <x:is>
          <x:t xml:space="preserve">Use mobile portrait playback</x:t>
        </x:is>
      </x:c>
      <x:c r="I525" s="16" t="inlineStr">
        <x:is>
          <x:t xml:space="preserve"/>
        </x:is>
      </x:c>
    </x:row>
    <x:row r="526">
      <x:c r="A526" s="17" t="inlineStr">
        <x:is>
          <x:t xml:space="preserve">P044</x:t>
        </x:is>
      </x:c>
      <x:c r="B526" s="17" t="n">
        <x:v>8</x:v>
      </x:c>
      <x:c r="C526" s="17" t="n">
        <x:v>6</x:v>
      </x:c>
      <x:c r="D526" s="17" t="inlineStr">
        <x:is>
          <x:t xml:space="preserve">V02</x:t>
        </x:is>
      </x:c>
      <x:c r="E526" s="17" t="inlineStr">
        <x:is>
          <x:t xml:space="preserve">Study</x:t>
        </x:is>
      </x:c>
      <x:c r="F526" s="17" t="inlineStr">
        <x:is>
          <x:t xml:space="preserve">Semantic compression</x:t>
        </x:is>
      </x:c>
      <x:c r="G526" s="17" t="inlineStr">
        <x:is>
          <x:t xml:space="preserve">Audio-on</x:t>
        </x:is>
      </x:c>
      <x:c r="H526" s="17" t="inlineStr">
        <x:is>
          <x:t xml:space="preserve">Use mobile portrait playback</x:t>
        </x:is>
      </x:c>
      <x:c r="I526" s="17" t="inlineStr">
        <x:is>
          <x:t xml:space="preserve"/>
        </x:is>
      </x:c>
    </x:row>
    <x:row r="527">
      <x:c r="A527" s="16" t="inlineStr">
        <x:is>
          <x:t xml:space="preserve">P044</x:t>
        </x:is>
      </x:c>
      <x:c r="B527" s="16" t="n">
        <x:v>8</x:v>
      </x:c>
      <x:c r="C527" s="16" t="n">
        <x:v>7</x:v>
      </x:c>
      <x:c r="D527" s="16" t="inlineStr">
        <x:is>
          <x:t xml:space="preserve">V07</x:t>
        </x:is>
      </x:c>
      <x:c r="E527" s="16" t="inlineStr">
        <x:is>
          <x:t xml:space="preserve">Business</x:t>
        </x:is>
      </x:c>
      <x:c r="F527" s="16" t="inlineStr">
        <x:is>
          <x:t xml:space="preserve">Keyword highlight</x:t>
        </x:is>
      </x:c>
      <x:c r="G527" s="16" t="inlineStr">
        <x:is>
          <x:t xml:space="preserve">Audio-on</x:t>
        </x:is>
      </x:c>
      <x:c r="H527" s="16" t="inlineStr">
        <x:is>
          <x:t xml:space="preserve">Use mobile portrait playback</x:t>
        </x:is>
      </x:c>
      <x:c r="I527" s="16" t="inlineStr">
        <x:is>
          <x:t xml:space="preserve"/>
        </x:is>
      </x:c>
    </x:row>
    <x:row r="528">
      <x:c r="A528" s="17" t="inlineStr">
        <x:is>
          <x:t xml:space="preserve">P044</x:t>
        </x:is>
      </x:c>
      <x:c r="B528" s="17" t="n">
        <x:v>8</x:v>
      </x:c>
      <x:c r="C528" s="17" t="n">
        <x:v>8</x:v>
      </x:c>
      <x:c r="D528" s="17" t="inlineStr">
        <x:is>
          <x:t xml:space="preserve">V01</x:t>
        </x:is>
      </x:c>
      <x:c r="E528" s="17" t="inlineStr">
        <x:is>
          <x:t xml:space="preserve">Productivity</x:t>
        </x:is>
      </x:c>
      <x:c r="F528" s="17" t="inlineStr">
        <x:is>
          <x:t xml:space="preserve">Keyword highlight</x:t>
        </x:is>
      </x:c>
      <x:c r="G528" s="17" t="inlineStr">
        <x:is>
          <x:t xml:space="preserve">Audio-on</x:t>
        </x:is>
      </x:c>
      <x:c r="H528" s="17" t="inlineStr">
        <x:is>
          <x:t xml:space="preserve">Use mobile portrait playback</x:t>
        </x:is>
      </x:c>
      <x:c r="I528" s="17" t="inlineStr">
        <x:is>
          <x:t xml:space="preserve"/>
        </x:is>
      </x:c>
    </x:row>
    <x:row r="529">
      <x:c r="A529" s="16" t="inlineStr">
        <x:is>
          <x:t xml:space="preserve">P044</x:t>
        </x:is>
      </x:c>
      <x:c r="B529" s="16" t="n">
        <x:v>8</x:v>
      </x:c>
      <x:c r="C529" s="16" t="n">
        <x:v>9</x:v>
      </x:c>
      <x:c r="D529" s="16" t="inlineStr">
        <x:is>
          <x:t xml:space="preserve">V10</x:t>
        </x:is>
      </x:c>
      <x:c r="E529" s="16" t="inlineStr">
        <x:is>
          <x:t xml:space="preserve">Product demo</x:t>
        </x:is>
      </x:c>
      <x:c r="F529" s="16" t="inlineStr">
        <x:is>
          <x:t xml:space="preserve">BCC+</x:t>
        </x:is>
      </x:c>
      <x:c r="G529" s="16" t="inlineStr">
        <x:is>
          <x:t xml:space="preserve">Audio-on</x:t>
        </x:is>
      </x:c>
      <x:c r="H529" s="16" t="inlineStr">
        <x:is>
          <x:t xml:space="preserve">Use mobile portrait playback</x:t>
        </x:is>
      </x:c>
      <x:c r="I529" s="16" t="inlineStr">
        <x:is>
          <x:t xml:space="preserve"/>
        </x:is>
      </x:c>
    </x:row>
    <x:row r="530">
      <x:c r="A530" s="17" t="inlineStr">
        <x:is>
          <x:t xml:space="preserve">P044</x:t>
        </x:is>
      </x:c>
      <x:c r="B530" s="17" t="n">
        <x:v>8</x:v>
      </x:c>
      <x:c r="C530" s="17" t="n">
        <x:v>10</x:v>
      </x:c>
      <x:c r="D530" s="17" t="inlineStr">
        <x:is>
          <x:t xml:space="preserve">V08</x:t>
        </x:is>
      </x:c>
      <x:c r="E530" s="17" t="inlineStr">
        <x:is>
          <x:t xml:space="preserve">Coding</x:t>
        </x:is>
      </x:c>
      <x:c r="F530" s="17" t="inlineStr">
        <x:is>
          <x:t xml:space="preserve">Semantic compression</x:t>
        </x:is>
      </x:c>
      <x:c r="G530" s="17" t="inlineStr">
        <x:is>
          <x:t xml:space="preserve">Audio-on</x:t>
        </x:is>
      </x:c>
      <x:c r="H530" s="17" t="inlineStr">
        <x:is>
          <x:t xml:space="preserve">Use mobile portrait playback</x:t>
        </x:is>
      </x:c>
      <x:c r="I530" s="17" t="inlineStr">
        <x:is>
          <x:t xml:space="preserve"/>
        </x:is>
      </x:c>
    </x:row>
    <x:row r="531">
      <x:c r="A531" s="16" t="inlineStr">
        <x:is>
          <x:t xml:space="preserve">P044</x:t>
        </x:is>
      </x:c>
      <x:c r="B531" s="16" t="n">
        <x:v>8</x:v>
      </x:c>
      <x:c r="C531" s="16" t="n">
        <x:v>11</x:v>
      </x:c>
      <x:c r="D531" s="16" t="inlineStr">
        <x:is>
          <x:t xml:space="preserve">V06</x:t>
        </x:is>
      </x:c>
      <x:c r="E531" s="16" t="inlineStr">
        <x:is>
          <x:t xml:space="preserve">Overload</x:t>
        </x:is>
      </x:c>
      <x:c r="F531" s="16" t="inlineStr">
        <x:is>
          <x:t xml:space="preserve">Full transcript</x:t>
        </x:is>
      </x:c>
      <x:c r="G531" s="16" t="inlineStr">
        <x:is>
          <x:t xml:space="preserve">Audio-on</x:t>
        </x:is>
      </x:c>
      <x:c r="H531" s="16" t="inlineStr">
        <x:is>
          <x:t xml:space="preserve">Use mobile portrait playback</x:t>
        </x:is>
      </x:c>
      <x:c r="I531" s="16" t="inlineStr">
        <x:is>
          <x:t xml:space="preserve"/>
        </x:is>
      </x:c>
    </x:row>
    <x:row r="532">
      <x:c r="A532" s="17" t="inlineStr">
        <x:is>
          <x:t xml:space="preserve">P044</x:t>
        </x:is>
      </x:c>
      <x:c r="B532" s="17" t="n">
        <x:v>8</x:v>
      </x:c>
      <x:c r="C532" s="17" t="n">
        <x:v>12</x:v>
      </x:c>
      <x:c r="D532" s="17" t="inlineStr">
        <x:is>
          <x:t xml:space="preserve">V04</x:t>
        </x:is>
      </x:c>
      <x:c r="E532" s="17" t="inlineStr">
        <x:is>
          <x:t xml:space="preserve">Finance</x:t>
        </x:is>
      </x:c>
      <x:c r="F532" s="17" t="inlineStr">
        <x:is>
          <x:t xml:space="preserve">BCC+</x:t>
        </x:is>
      </x:c>
      <x:c r="G532" s="17" t="inlineStr">
        <x:is>
          <x:t xml:space="preserve">Audio-on</x:t>
        </x:is>
      </x:c>
      <x:c r="H532" s="17" t="inlineStr">
        <x:is>
          <x:t xml:space="preserve">Use mobile portrait playback</x:t>
        </x:is>
      </x:c>
      <x:c r="I532" s="17" t="inlineStr">
        <x:is>
          <x:t xml:space="preserve"/>
        </x:is>
      </x:c>
    </x:row>
    <x:row r="533">
      <x:c r="A533" s="16" t="inlineStr">
        <x:is>
          <x:t xml:space="preserve">P045</x:t>
        </x:is>
      </x:c>
      <x:c r="B533" s="16" t="n">
        <x:v>8</x:v>
      </x:c>
      <x:c r="C533" s="16" t="n">
        <x:v>1</x:v>
      </x:c>
      <x:c r="D533" s="16" t="inlineStr">
        <x:is>
          <x:t xml:space="preserve">V06</x:t>
        </x:is>
      </x:c>
      <x:c r="E533" s="16" t="inlineStr">
        <x:is>
          <x:t xml:space="preserve">Overload</x:t>
        </x:is>
      </x:c>
      <x:c r="F533" s="16" t="inlineStr">
        <x:is>
          <x:t xml:space="preserve">Keyword highlight</x:t>
        </x:is>
      </x:c>
      <x:c r="G533" s="16" t="inlineStr">
        <x:is>
          <x:t xml:space="preserve">Audio-on</x:t>
        </x:is>
      </x:c>
      <x:c r="H533" s="16" t="inlineStr">
        <x:is>
          <x:t xml:space="preserve">Use mobile portrait playback</x:t>
        </x:is>
      </x:c>
      <x:c r="I533" s="16" t="inlineStr">
        <x:is>
          <x:t xml:space="preserve"/>
        </x:is>
      </x:c>
    </x:row>
    <x:row r="534">
      <x:c r="A534" s="17" t="inlineStr">
        <x:is>
          <x:t xml:space="preserve">P045</x:t>
        </x:is>
      </x:c>
      <x:c r="B534" s="17" t="n">
        <x:v>8</x:v>
      </x:c>
      <x:c r="C534" s="17" t="n">
        <x:v>2</x:v>
      </x:c>
      <x:c r="D534" s="17" t="inlineStr">
        <x:is>
          <x:t xml:space="preserve">V03</x:t>
        </x:is>
      </x:c>
      <x:c r="E534" s="17" t="inlineStr">
        <x:is>
          <x:t xml:space="preserve">Fitness</x:t>
        </x:is>
      </x:c>
      <x:c r="F534" s="17" t="inlineStr">
        <x:is>
          <x:t xml:space="preserve">BCC+</x:t>
        </x:is>
      </x:c>
      <x:c r="G534" s="17" t="inlineStr">
        <x:is>
          <x:t xml:space="preserve">Audio-on</x:t>
        </x:is>
      </x:c>
      <x:c r="H534" s="17" t="inlineStr">
        <x:is>
          <x:t xml:space="preserve">Use mobile portrait playback</x:t>
        </x:is>
      </x:c>
      <x:c r="I534" s="17" t="inlineStr">
        <x:is>
          <x:t xml:space="preserve"/>
        </x:is>
      </x:c>
    </x:row>
    <x:row r="535">
      <x:c r="A535" s="16" t="inlineStr">
        <x:is>
          <x:t xml:space="preserve">P045</x:t>
        </x:is>
      </x:c>
      <x:c r="B535" s="16" t="n">
        <x:v>8</x:v>
      </x:c>
      <x:c r="C535" s="16" t="n">
        <x:v>3</x:v>
      </x:c>
      <x:c r="D535" s="16" t="inlineStr">
        <x:is>
          <x:t xml:space="preserve">V05</x:t>
        </x:is>
      </x:c>
      <x:c r="E535" s="16" t="inlineStr">
        <x:is>
          <x:t xml:space="preserve">Tutorial</x:t>
        </x:is>
      </x:c>
      <x:c r="F535" s="16" t="inlineStr">
        <x:is>
          <x:t xml:space="preserve">Full transcript</x:t>
        </x:is>
      </x:c>
      <x:c r="G535" s="16" t="inlineStr">
        <x:is>
          <x:t xml:space="preserve">Audio-on</x:t>
        </x:is>
      </x:c>
      <x:c r="H535" s="16" t="inlineStr">
        <x:is>
          <x:t xml:space="preserve">Use mobile portrait playback</x:t>
        </x:is>
      </x:c>
      <x:c r="I535" s="16" t="inlineStr">
        <x:is>
          <x:t xml:space="preserve"/>
        </x:is>
      </x:c>
    </x:row>
    <x:row r="536">
      <x:c r="A536" s="17" t="inlineStr">
        <x:is>
          <x:t xml:space="preserve">P045</x:t>
        </x:is>
      </x:c>
      <x:c r="B536" s="17" t="n">
        <x:v>8</x:v>
      </x:c>
      <x:c r="C536" s="17" t="n">
        <x:v>4</x:v>
      </x:c>
      <x:c r="D536" s="17" t="inlineStr">
        <x:is>
          <x:t xml:space="preserve">V02</x:t>
        </x:is>
      </x:c>
      <x:c r="E536" s="17" t="inlineStr">
        <x:is>
          <x:t xml:space="preserve">Study</x:t>
        </x:is>
      </x:c>
      <x:c r="F536" s="17" t="inlineStr">
        <x:is>
          <x:t xml:space="preserve">BCC</x:t>
        </x:is>
      </x:c>
      <x:c r="G536" s="17" t="inlineStr">
        <x:is>
          <x:t xml:space="preserve">Audio-on</x:t>
        </x:is>
      </x:c>
      <x:c r="H536" s="17" t="inlineStr">
        <x:is>
          <x:t xml:space="preserve">Use mobile portrait playback</x:t>
        </x:is>
      </x:c>
      <x:c r="I536" s="17" t="inlineStr">
        <x:is>
          <x:t xml:space="preserve"/>
        </x:is>
      </x:c>
    </x:row>
    <x:row r="537">
      <x:c r="A537" s="16" t="inlineStr">
        <x:is>
          <x:t xml:space="preserve">P045</x:t>
        </x:is>
      </x:c>
      <x:c r="B537" s="16" t="n">
        <x:v>8</x:v>
      </x:c>
      <x:c r="C537" s="16" t="n">
        <x:v>5</x:v>
      </x:c>
      <x:c r="D537" s="16" t="inlineStr">
        <x:is>
          <x:t xml:space="preserve">V04</x:t>
        </x:is>
      </x:c>
      <x:c r="E537" s="16" t="inlineStr">
        <x:is>
          <x:t xml:space="preserve">Finance</x:t>
        </x:is>
      </x:c>
      <x:c r="F537" s="16" t="inlineStr">
        <x:is>
          <x:t xml:space="preserve">Heavy bionic</x:t>
        </x:is>
      </x:c>
      <x:c r="G537" s="16" t="inlineStr">
        <x:is>
          <x:t xml:space="preserve">Audio-on</x:t>
        </x:is>
      </x:c>
      <x:c r="H537" s="16" t="inlineStr">
        <x:is>
          <x:t xml:space="preserve">Use mobile portrait playback</x:t>
        </x:is>
      </x:c>
      <x:c r="I537" s="16" t="inlineStr">
        <x:is>
          <x:t xml:space="preserve"/>
        </x:is>
      </x:c>
    </x:row>
    <x:row r="538">
      <x:c r="A538" s="17" t="inlineStr">
        <x:is>
          <x:t xml:space="preserve">P045</x:t>
        </x:is>
      </x:c>
      <x:c r="B538" s="17" t="n">
        <x:v>8</x:v>
      </x:c>
      <x:c r="C538" s="17" t="n">
        <x:v>6</x:v>
      </x:c>
      <x:c r="D538" s="17" t="inlineStr">
        <x:is>
          <x:t xml:space="preserve">V12</x:t>
        </x:is>
      </x:c>
      <x:c r="E538" s="17" t="inlineStr">
        <x:is>
          <x:t xml:space="preserve">Time management</x:t>
        </x:is>
      </x:c>
      <x:c r="F538" s="17" t="inlineStr">
        <x:is>
          <x:t xml:space="preserve">Keyword highlight</x:t>
        </x:is>
      </x:c>
      <x:c r="G538" s="17" t="inlineStr">
        <x:is>
          <x:t xml:space="preserve">Audio-on</x:t>
        </x:is>
      </x:c>
      <x:c r="H538" s="17" t="inlineStr">
        <x:is>
          <x:t xml:space="preserve">Use mobile portrait playback</x:t>
        </x:is>
      </x:c>
      <x:c r="I538" s="17" t="inlineStr">
        <x:is>
          <x:t xml:space="preserve"/>
        </x:is>
      </x:c>
    </x:row>
    <x:row r="539">
      <x:c r="A539" s="16" t="inlineStr">
        <x:is>
          <x:t xml:space="preserve">P045</x:t>
        </x:is>
      </x:c>
      <x:c r="B539" s="16" t="n">
        <x:v>8</x:v>
      </x:c>
      <x:c r="C539" s="16" t="n">
        <x:v>7</x:v>
      </x:c>
      <x:c r="D539" s="16" t="inlineStr">
        <x:is>
          <x:t xml:space="preserve">V10</x:t>
        </x:is>
      </x:c>
      <x:c r="E539" s="16" t="inlineStr">
        <x:is>
          <x:t xml:space="preserve">Product demo</x:t>
        </x:is>
      </x:c>
      <x:c r="F539" s="16" t="inlineStr">
        <x:is>
          <x:t xml:space="preserve">Heavy bionic</x:t>
        </x:is>
      </x:c>
      <x:c r="G539" s="16" t="inlineStr">
        <x:is>
          <x:t xml:space="preserve">Audio-on</x:t>
        </x:is>
      </x:c>
      <x:c r="H539" s="16" t="inlineStr">
        <x:is>
          <x:t xml:space="preserve">Use mobile portrait playback</x:t>
        </x:is>
      </x:c>
      <x:c r="I539" s="16" t="inlineStr">
        <x:is>
          <x:t xml:space="preserve"/>
        </x:is>
      </x:c>
    </x:row>
    <x:row r="540">
      <x:c r="A540" s="17" t="inlineStr">
        <x:is>
          <x:t xml:space="preserve">P045</x:t>
        </x:is>
      </x:c>
      <x:c r="B540" s="17" t="n">
        <x:v>8</x:v>
      </x:c>
      <x:c r="C540" s="17" t="n">
        <x:v>8</x:v>
      </x:c>
      <x:c r="D540" s="17" t="inlineStr">
        <x:is>
          <x:t xml:space="preserve">V09</x:t>
        </x:is>
      </x:c>
      <x:c r="E540" s="17" t="inlineStr">
        <x:is>
          <x:t xml:space="preserve">Sleep habit</x:t>
        </x:is>
      </x:c>
      <x:c r="F540" s="17" t="inlineStr">
        <x:is>
          <x:t xml:space="preserve">BCC+</x:t>
        </x:is>
      </x:c>
      <x:c r="G540" s="17" t="inlineStr">
        <x:is>
          <x:t xml:space="preserve">Audio-on</x:t>
        </x:is>
      </x:c>
      <x:c r="H540" s="17" t="inlineStr">
        <x:is>
          <x:t xml:space="preserve">Use mobile portrait playback</x:t>
        </x:is>
      </x:c>
      <x:c r="I540" s="17" t="inlineStr">
        <x:is>
          <x:t xml:space="preserve"/>
        </x:is>
      </x:c>
    </x:row>
    <x:row r="541">
      <x:c r="A541" s="16" t="inlineStr">
        <x:is>
          <x:t xml:space="preserve">P045</x:t>
        </x:is>
      </x:c>
      <x:c r="B541" s="16" t="n">
        <x:v>8</x:v>
      </x:c>
      <x:c r="C541" s="16" t="n">
        <x:v>9</x:v>
      </x:c>
      <x:c r="D541" s="16" t="inlineStr">
        <x:is>
          <x:t xml:space="preserve">V08</x:t>
        </x:is>
      </x:c>
      <x:c r="E541" s="16" t="inlineStr">
        <x:is>
          <x:t xml:space="preserve">Coding</x:t>
        </x:is>
      </x:c>
      <x:c r="F541" s="16" t="inlineStr">
        <x:is>
          <x:t xml:space="preserve">BCC</x:t>
        </x:is>
      </x:c>
      <x:c r="G541" s="16" t="inlineStr">
        <x:is>
          <x:t xml:space="preserve">Audio-on</x:t>
        </x:is>
      </x:c>
      <x:c r="H541" s="16" t="inlineStr">
        <x:is>
          <x:t xml:space="preserve">Use mobile portrait playback</x:t>
        </x:is>
      </x:c>
      <x:c r="I541" s="16" t="inlineStr">
        <x:is>
          <x:t xml:space="preserve"/>
        </x:is>
      </x:c>
    </x:row>
    <x:row r="542">
      <x:c r="A542" s="17" t="inlineStr">
        <x:is>
          <x:t xml:space="preserve">P045</x:t>
        </x:is>
      </x:c>
      <x:c r="B542" s="17" t="n">
        <x:v>8</x:v>
      </x:c>
      <x:c r="C542" s="17" t="n">
        <x:v>10</x:v>
      </x:c>
      <x:c r="D542" s="17" t="inlineStr">
        <x:is>
          <x:t xml:space="preserve">V07</x:t>
        </x:is>
      </x:c>
      <x:c r="E542" s="17" t="inlineStr">
        <x:is>
          <x:t xml:space="preserve">Business</x:t>
        </x:is>
      </x:c>
      <x:c r="F542" s="17" t="inlineStr">
        <x:is>
          <x:t xml:space="preserve">Semantic compression</x:t>
        </x:is>
      </x:c>
      <x:c r="G542" s="17" t="inlineStr">
        <x:is>
          <x:t xml:space="preserve">Audio-on</x:t>
        </x:is>
      </x:c>
      <x:c r="H542" s="17" t="inlineStr">
        <x:is>
          <x:t xml:space="preserve">Use mobile portrait playback</x:t>
        </x:is>
      </x:c>
      <x:c r="I542" s="17" t="inlineStr">
        <x:is>
          <x:t xml:space="preserve"/>
        </x:is>
      </x:c>
    </x:row>
    <x:row r="543">
      <x:c r="A543" s="16" t="inlineStr">
        <x:is>
          <x:t xml:space="preserve">P045</x:t>
        </x:is>
      </x:c>
      <x:c r="B543" s="16" t="n">
        <x:v>8</x:v>
      </x:c>
      <x:c r="C543" s="16" t="n">
        <x:v>11</x:v>
      </x:c>
      <x:c r="D543" s="16" t="inlineStr">
        <x:is>
          <x:t xml:space="preserve">V01</x:t>
        </x:is>
      </x:c>
      <x:c r="E543" s="16" t="inlineStr">
        <x:is>
          <x:t xml:space="preserve">Productivity</x:t>
        </x:is>
      </x:c>
      <x:c r="F543" s="16" t="inlineStr">
        <x:is>
          <x:t xml:space="preserve">Semantic compression</x:t>
        </x:is>
      </x:c>
      <x:c r="G543" s="16" t="inlineStr">
        <x:is>
          <x:t xml:space="preserve">Audio-on</x:t>
        </x:is>
      </x:c>
      <x:c r="H543" s="16" t="inlineStr">
        <x:is>
          <x:t xml:space="preserve">Use mobile portrait playback</x:t>
        </x:is>
      </x:c>
      <x:c r="I543" s="16" t="inlineStr">
        <x:is>
          <x:t xml:space="preserve"/>
        </x:is>
      </x:c>
    </x:row>
    <x:row r="544">
      <x:c r="A544" s="17" t="inlineStr">
        <x:is>
          <x:t xml:space="preserve">P045</x:t>
        </x:is>
      </x:c>
      <x:c r="B544" s="17" t="n">
        <x:v>8</x:v>
      </x:c>
      <x:c r="C544" s="17" t="n">
        <x:v>12</x:v>
      </x:c>
      <x:c r="D544" s="17" t="inlineStr">
        <x:is>
          <x:t xml:space="preserve">V11</x:t>
        </x:is>
      </x:c>
      <x:c r="E544" s="17" t="inlineStr">
        <x:is>
          <x:t xml:space="preserve">Creator strategy</x:t>
        </x:is>
      </x:c>
      <x:c r="F544" s="17" t="inlineStr">
        <x:is>
          <x:t xml:space="preserve">Full transcript</x:t>
        </x:is>
      </x:c>
      <x:c r="G544" s="17" t="inlineStr">
        <x:is>
          <x:t xml:space="preserve">Audio-on</x:t>
        </x:is>
      </x:c>
      <x:c r="H544" s="17" t="inlineStr">
        <x:is>
          <x:t xml:space="preserve">Use mobile portrait playback</x:t>
        </x:is>
      </x:c>
      <x:c r="I544" s="17" t="inlineStr">
        <x:is>
          <x:t xml:space="preserve"/>
        </x:is>
      </x:c>
    </x:row>
    <x:row r="545">
      <x:c r="A545" s="16" t="inlineStr">
        <x:is>
          <x:t xml:space="preserve">P046</x:t>
        </x:is>
      </x:c>
      <x:c r="B545" s="16" t="n">
        <x:v>8</x:v>
      </x:c>
      <x:c r="C545" s="16" t="n">
        <x:v>1</x:v>
      </x:c>
      <x:c r="D545" s="16" t="inlineStr">
        <x:is>
          <x:t xml:space="preserve">V05</x:t>
        </x:is>
      </x:c>
      <x:c r="E545" s="16" t="inlineStr">
        <x:is>
          <x:t xml:space="preserve">Tutorial</x:t>
        </x:is>
      </x:c>
      <x:c r="F545" s="16" t="inlineStr">
        <x:is>
          <x:t xml:space="preserve">Keyword highlight</x:t>
        </x:is>
      </x:c>
      <x:c r="G545" s="16" t="inlineStr">
        <x:is>
          <x:t xml:space="preserve">Audio-on</x:t>
        </x:is>
      </x:c>
      <x:c r="H545" s="16" t="inlineStr">
        <x:is>
          <x:t xml:space="preserve">Use mobile portrait playback</x:t>
        </x:is>
      </x:c>
      <x:c r="I545" s="16" t="inlineStr">
        <x:is>
          <x:t xml:space="preserve"/>
        </x:is>
      </x:c>
    </x:row>
    <x:row r="546">
      <x:c r="A546" s="17" t="inlineStr">
        <x:is>
          <x:t xml:space="preserve">P046</x:t>
        </x:is>
      </x:c>
      <x:c r="B546" s="17" t="n">
        <x:v>8</x:v>
      </x:c>
      <x:c r="C546" s="17" t="n">
        <x:v>2</x:v>
      </x:c>
      <x:c r="D546" s="17" t="inlineStr">
        <x:is>
          <x:t xml:space="preserve">V04</x:t>
        </x:is>
      </x:c>
      <x:c r="E546" s="17" t="inlineStr">
        <x:is>
          <x:t xml:space="preserve">Finance</x:t>
        </x:is>
      </x:c>
      <x:c r="F546" s="17" t="inlineStr">
        <x:is>
          <x:t xml:space="preserve">Full transcript</x:t>
        </x:is>
      </x:c>
      <x:c r="G546" s="17" t="inlineStr">
        <x:is>
          <x:t xml:space="preserve">Audio-on</x:t>
        </x:is>
      </x:c>
      <x:c r="H546" s="17" t="inlineStr">
        <x:is>
          <x:t xml:space="preserve">Use mobile portrait playback</x:t>
        </x:is>
      </x:c>
      <x:c r="I546" s="17" t="inlineStr">
        <x:is>
          <x:t xml:space="preserve"/>
        </x:is>
      </x:c>
    </x:row>
    <x:row r="547">
      <x:c r="A547" s="16" t="inlineStr">
        <x:is>
          <x:t xml:space="preserve">P046</x:t>
        </x:is>
      </x:c>
      <x:c r="B547" s="16" t="n">
        <x:v>8</x:v>
      </x:c>
      <x:c r="C547" s="16" t="n">
        <x:v>3</x:v>
      </x:c>
      <x:c r="D547" s="16" t="inlineStr">
        <x:is>
          <x:t xml:space="preserve">V07</x:t>
        </x:is>
      </x:c>
      <x:c r="E547" s="16" t="inlineStr">
        <x:is>
          <x:t xml:space="preserve">Business</x:t>
        </x:is>
      </x:c>
      <x:c r="F547" s="16" t="inlineStr">
        <x:is>
          <x:t xml:space="preserve">BCC</x:t>
        </x:is>
      </x:c>
      <x:c r="G547" s="16" t="inlineStr">
        <x:is>
          <x:t xml:space="preserve">Audio-on</x:t>
        </x:is>
      </x:c>
      <x:c r="H547" s="16" t="inlineStr">
        <x:is>
          <x:t xml:space="preserve">Use mobile portrait playback</x:t>
        </x:is>
      </x:c>
      <x:c r="I547" s="16" t="inlineStr">
        <x:is>
          <x:t xml:space="preserve"/>
        </x:is>
      </x:c>
    </x:row>
    <x:row r="548">
      <x:c r="A548" s="17" t="inlineStr">
        <x:is>
          <x:t xml:space="preserve">P046</x:t>
        </x:is>
      </x:c>
      <x:c r="B548" s="17" t="n">
        <x:v>8</x:v>
      </x:c>
      <x:c r="C548" s="17" t="n">
        <x:v>4</x:v>
      </x:c>
      <x:c r="D548" s="17" t="inlineStr">
        <x:is>
          <x:t xml:space="preserve">V01</x:t>
        </x:is>
      </x:c>
      <x:c r="E548" s="17" t="inlineStr">
        <x:is>
          <x:t xml:space="preserve">Productivity</x:t>
        </x:is>
      </x:c>
      <x:c r="F548" s="17" t="inlineStr">
        <x:is>
          <x:t xml:space="preserve">BCC</x:t>
        </x:is>
      </x:c>
      <x:c r="G548" s="17" t="inlineStr">
        <x:is>
          <x:t xml:space="preserve">Audio-on</x:t>
        </x:is>
      </x:c>
      <x:c r="H548" s="17" t="inlineStr">
        <x:is>
          <x:t xml:space="preserve">Use mobile portrait playback</x:t>
        </x:is>
      </x:c>
      <x:c r="I548" s="17" t="inlineStr">
        <x:is>
          <x:t xml:space="preserve"/>
        </x:is>
      </x:c>
    </x:row>
    <x:row r="549">
      <x:c r="A549" s="16" t="inlineStr">
        <x:is>
          <x:t xml:space="preserve">P046</x:t>
        </x:is>
      </x:c>
      <x:c r="B549" s="16" t="n">
        <x:v>8</x:v>
      </x:c>
      <x:c r="C549" s="16" t="n">
        <x:v>5</x:v>
      </x:c>
      <x:c r="D549" s="16" t="inlineStr">
        <x:is>
          <x:t xml:space="preserve">V11</x:t>
        </x:is>
      </x:c>
      <x:c r="E549" s="16" t="inlineStr">
        <x:is>
          <x:t xml:space="preserve">Creator strategy</x:t>
        </x:is>
      </x:c>
      <x:c r="F549" s="16" t="inlineStr">
        <x:is>
          <x:t xml:space="preserve">Keyword highlight</x:t>
        </x:is>
      </x:c>
      <x:c r="G549" s="16" t="inlineStr">
        <x:is>
          <x:t xml:space="preserve">Audio-on</x:t>
        </x:is>
      </x:c>
      <x:c r="H549" s="16" t="inlineStr">
        <x:is>
          <x:t xml:space="preserve">Use mobile portrait playback</x:t>
        </x:is>
      </x:c>
      <x:c r="I549" s="16" t="inlineStr">
        <x:is>
          <x:t xml:space="preserve"/>
        </x:is>
      </x:c>
    </x:row>
    <x:row r="550">
      <x:c r="A550" s="17" t="inlineStr">
        <x:is>
          <x:t xml:space="preserve">P046</x:t>
        </x:is>
      </x:c>
      <x:c r="B550" s="17" t="n">
        <x:v>8</x:v>
      </x:c>
      <x:c r="C550" s="17" t="n">
        <x:v>6</x:v>
      </x:c>
      <x:c r="D550" s="17" t="inlineStr">
        <x:is>
          <x:t xml:space="preserve">V09</x:t>
        </x:is>
      </x:c>
      <x:c r="E550" s="17" t="inlineStr">
        <x:is>
          <x:t xml:space="preserve">Sleep habit</x:t>
        </x:is>
      </x:c>
      <x:c r="F550" s="17" t="inlineStr">
        <x:is>
          <x:t xml:space="preserve">Heavy bionic</x:t>
        </x:is>
      </x:c>
      <x:c r="G550" s="17" t="inlineStr">
        <x:is>
          <x:t xml:space="preserve">Audio-on</x:t>
        </x:is>
      </x:c>
      <x:c r="H550" s="17" t="inlineStr">
        <x:is>
          <x:t xml:space="preserve">Use mobile portrait playback</x:t>
        </x:is>
      </x:c>
      <x:c r="I550" s="17" t="inlineStr">
        <x:is>
          <x:t xml:space="preserve"/>
        </x:is>
      </x:c>
    </x:row>
    <x:row r="551">
      <x:c r="A551" s="16" t="inlineStr">
        <x:is>
          <x:t xml:space="preserve">P046</x:t>
        </x:is>
      </x:c>
      <x:c r="B551" s="16" t="n">
        <x:v>8</x:v>
      </x:c>
      <x:c r="C551" s="16" t="n">
        <x:v>7</x:v>
      </x:c>
      <x:c r="D551" s="16" t="inlineStr">
        <x:is>
          <x:t xml:space="preserve">V03</x:t>
        </x:is>
      </x:c>
      <x:c r="E551" s="16" t="inlineStr">
        <x:is>
          <x:t xml:space="preserve">Fitness</x:t>
        </x:is>
      </x:c>
      <x:c r="F551" s="16" t="inlineStr">
        <x:is>
          <x:t xml:space="preserve">Heavy bionic</x:t>
        </x:is>
      </x:c>
      <x:c r="G551" s="16" t="inlineStr">
        <x:is>
          <x:t xml:space="preserve">Audio-on</x:t>
        </x:is>
      </x:c>
      <x:c r="H551" s="16" t="inlineStr">
        <x:is>
          <x:t xml:space="preserve">Use mobile portrait playback</x:t>
        </x:is>
      </x:c>
      <x:c r="I551" s="16" t="inlineStr">
        <x:is>
          <x:t xml:space="preserve"/>
        </x:is>
      </x:c>
    </x:row>
    <x:row r="552">
      <x:c r="A552" s="17" t="inlineStr">
        <x:is>
          <x:t xml:space="preserve">P046</x:t>
        </x:is>
      </x:c>
      <x:c r="B552" s="17" t="n">
        <x:v>8</x:v>
      </x:c>
      <x:c r="C552" s="17" t="n">
        <x:v>8</x:v>
      </x:c>
      <x:c r="D552" s="17" t="inlineStr">
        <x:is>
          <x:t xml:space="preserve">V06</x:t>
        </x:is>
      </x:c>
      <x:c r="E552" s="17" t="inlineStr">
        <x:is>
          <x:t xml:space="preserve">Overload</x:t>
        </x:is>
      </x:c>
      <x:c r="F552" s="17" t="inlineStr">
        <x:is>
          <x:t xml:space="preserve">Semantic compression</x:t>
        </x:is>
      </x:c>
      <x:c r="G552" s="17" t="inlineStr">
        <x:is>
          <x:t xml:space="preserve">Audio-on</x:t>
        </x:is>
      </x:c>
      <x:c r="H552" s="17" t="inlineStr">
        <x:is>
          <x:t xml:space="preserve">Use mobile portrait playback</x:t>
        </x:is>
      </x:c>
      <x:c r="I552" s="17" t="inlineStr">
        <x:is>
          <x:t xml:space="preserve"/>
        </x:is>
      </x:c>
    </x:row>
    <x:row r="553">
      <x:c r="A553" s="16" t="inlineStr">
        <x:is>
          <x:t xml:space="preserve">P046</x:t>
        </x:is>
      </x:c>
      <x:c r="B553" s="16" t="n">
        <x:v>8</x:v>
      </x:c>
      <x:c r="C553" s="16" t="n">
        <x:v>9</x:v>
      </x:c>
      <x:c r="D553" s="16" t="inlineStr">
        <x:is>
          <x:t xml:space="preserve">V02</x:t>
        </x:is>
      </x:c>
      <x:c r="E553" s="16" t="inlineStr">
        <x:is>
          <x:t xml:space="preserve">Study</x:t>
        </x:is>
      </x:c>
      <x:c r="F553" s="16" t="inlineStr">
        <x:is>
          <x:t xml:space="preserve">BCC+</x:t>
        </x:is>
      </x:c>
      <x:c r="G553" s="16" t="inlineStr">
        <x:is>
          <x:t xml:space="preserve">Audio-on</x:t>
        </x:is>
      </x:c>
      <x:c r="H553" s="16" t="inlineStr">
        <x:is>
          <x:t xml:space="preserve">Use mobile portrait playback</x:t>
        </x:is>
      </x:c>
      <x:c r="I553" s="16" t="inlineStr">
        <x:is>
          <x:t xml:space="preserve"/>
        </x:is>
      </x:c>
    </x:row>
    <x:row r="554">
      <x:c r="A554" s="17" t="inlineStr">
        <x:is>
          <x:t xml:space="preserve">P046</x:t>
        </x:is>
      </x:c>
      <x:c r="B554" s="17" t="n">
        <x:v>8</x:v>
      </x:c>
      <x:c r="C554" s="17" t="n">
        <x:v>10</x:v>
      </x:c>
      <x:c r="D554" s="17" t="inlineStr">
        <x:is>
          <x:t xml:space="preserve">V12</x:t>
        </x:is>
      </x:c>
      <x:c r="E554" s="17" t="inlineStr">
        <x:is>
          <x:t xml:space="preserve">Time management</x:t>
        </x:is>
      </x:c>
      <x:c r="F554" s="17" t="inlineStr">
        <x:is>
          <x:t xml:space="preserve">Semantic compression</x:t>
        </x:is>
      </x:c>
      <x:c r="G554" s="17" t="inlineStr">
        <x:is>
          <x:t xml:space="preserve">Audio-on</x:t>
        </x:is>
      </x:c>
      <x:c r="H554" s="17" t="inlineStr">
        <x:is>
          <x:t xml:space="preserve">Use mobile portrait playback</x:t>
        </x:is>
      </x:c>
      <x:c r="I554" s="17" t="inlineStr">
        <x:is>
          <x:t xml:space="preserve"/>
        </x:is>
      </x:c>
    </x:row>
    <x:row r="555">
      <x:c r="A555" s="16" t="inlineStr">
        <x:is>
          <x:t xml:space="preserve">P046</x:t>
        </x:is>
      </x:c>
      <x:c r="B555" s="16" t="n">
        <x:v>8</x:v>
      </x:c>
      <x:c r="C555" s="16" t="n">
        <x:v>11</x:v>
      </x:c>
      <x:c r="D555" s="16" t="inlineStr">
        <x:is>
          <x:t xml:space="preserve">V10</x:t>
        </x:is>
      </x:c>
      <x:c r="E555" s="16" t="inlineStr">
        <x:is>
          <x:t xml:space="preserve">Product demo</x:t>
        </x:is>
      </x:c>
      <x:c r="F555" s="16" t="inlineStr">
        <x:is>
          <x:t xml:space="preserve">Full transcript</x:t>
        </x:is>
      </x:c>
      <x:c r="G555" s="16" t="inlineStr">
        <x:is>
          <x:t xml:space="preserve">Audio-on</x:t>
        </x:is>
      </x:c>
      <x:c r="H555" s="16" t="inlineStr">
        <x:is>
          <x:t xml:space="preserve">Use mobile portrait playback</x:t>
        </x:is>
      </x:c>
      <x:c r="I555" s="16" t="inlineStr">
        <x:is>
          <x:t xml:space="preserve"/>
        </x:is>
      </x:c>
    </x:row>
    <x:row r="556">
      <x:c r="A556" s="17" t="inlineStr">
        <x:is>
          <x:t xml:space="preserve">P046</x:t>
        </x:is>
      </x:c>
      <x:c r="B556" s="17" t="n">
        <x:v>8</x:v>
      </x:c>
      <x:c r="C556" s="17" t="n">
        <x:v>12</x:v>
      </x:c>
      <x:c r="D556" s="17" t="inlineStr">
        <x:is>
          <x:t xml:space="preserve">V08</x:t>
        </x:is>
      </x:c>
      <x:c r="E556" s="17" t="inlineStr">
        <x:is>
          <x:t xml:space="preserve">Coding</x:t>
        </x:is>
      </x:c>
      <x:c r="F556" s="17" t="inlineStr">
        <x:is>
          <x:t xml:space="preserve">BCC+</x:t>
        </x:is>
      </x:c>
      <x:c r="G556" s="17" t="inlineStr">
        <x:is>
          <x:t xml:space="preserve">Audio-on</x:t>
        </x:is>
      </x:c>
      <x:c r="H556" s="17" t="inlineStr">
        <x:is>
          <x:t xml:space="preserve">Use mobile portrait playback</x:t>
        </x:is>
      </x:c>
      <x:c r="I556" s="17" t="inlineStr">
        <x:is>
          <x:t xml:space="preserve"/>
        </x:is>
      </x:c>
    </x:row>
    <x:row r="557">
      <x:c r="A557" s="16" t="inlineStr">
        <x:is>
          <x:t xml:space="preserve">P047</x:t>
        </x:is>
      </x:c>
      <x:c r="B557" s="16" t="n">
        <x:v>8</x:v>
      </x:c>
      <x:c r="C557" s="16" t="n">
        <x:v>1</x:v>
      </x:c>
      <x:c r="D557" s="16" t="inlineStr">
        <x:is>
          <x:t xml:space="preserve">V09</x:t>
        </x:is>
      </x:c>
      <x:c r="E557" s="16" t="inlineStr">
        <x:is>
          <x:t xml:space="preserve">Sleep habit</x:t>
        </x:is>
      </x:c>
      <x:c r="F557" s="16" t="inlineStr">
        <x:is>
          <x:t xml:space="preserve">Full transcript</x:t>
        </x:is>
      </x:c>
      <x:c r="G557" s="16" t="inlineStr">
        <x:is>
          <x:t xml:space="preserve">Audio-on</x:t>
        </x:is>
      </x:c>
      <x:c r="H557" s="16" t="inlineStr">
        <x:is>
          <x:t xml:space="preserve">Use mobile portrait playback</x:t>
        </x:is>
      </x:c>
      <x:c r="I557" s="16" t="inlineStr">
        <x:is>
          <x:t xml:space="preserve"/>
        </x:is>
      </x:c>
    </x:row>
    <x:row r="558">
      <x:c r="A558" s="17" t="inlineStr">
        <x:is>
          <x:t xml:space="preserve">P047</x:t>
        </x:is>
      </x:c>
      <x:c r="B558" s="17" t="n">
        <x:v>8</x:v>
      </x:c>
      <x:c r="C558" s="17" t="n">
        <x:v>2</x:v>
      </x:c>
      <x:c r="D558" s="17" t="inlineStr">
        <x:is>
          <x:t xml:space="preserve">V01</x:t>
        </x:is>
      </x:c>
      <x:c r="E558" s="17" t="inlineStr">
        <x:is>
          <x:t xml:space="preserve">Productivity</x:t>
        </x:is>
      </x:c>
      <x:c r="F558" s="17" t="inlineStr">
        <x:is>
          <x:t xml:space="preserve">BCC+</x:t>
        </x:is>
      </x:c>
      <x:c r="G558" s="17" t="inlineStr">
        <x:is>
          <x:t xml:space="preserve">Audio-on</x:t>
        </x:is>
      </x:c>
      <x:c r="H558" s="17" t="inlineStr">
        <x:is>
          <x:t xml:space="preserve">Use mobile portrait playback</x:t>
        </x:is>
      </x:c>
      <x:c r="I558" s="17" t="inlineStr">
        <x:is>
          <x:t xml:space="preserve"/>
        </x:is>
      </x:c>
    </x:row>
    <x:row r="559">
      <x:c r="A559" s="16" t="inlineStr">
        <x:is>
          <x:t xml:space="preserve">P047</x:t>
        </x:is>
      </x:c>
      <x:c r="B559" s="16" t="n">
        <x:v>8</x:v>
      </x:c>
      <x:c r="C559" s="16" t="n">
        <x:v>3</x:v>
      </x:c>
      <x:c r="D559" s="16" t="inlineStr">
        <x:is>
          <x:t xml:space="preserve">V06</x:t>
        </x:is>
      </x:c>
      <x:c r="E559" s="16" t="inlineStr">
        <x:is>
          <x:t xml:space="preserve">Overload</x:t>
        </x:is>
      </x:c>
      <x:c r="F559" s="16" t="inlineStr">
        <x:is>
          <x:t xml:space="preserve">BCC</x:t>
        </x:is>
      </x:c>
      <x:c r="G559" s="16" t="inlineStr">
        <x:is>
          <x:t xml:space="preserve">Audio-on</x:t>
        </x:is>
      </x:c>
      <x:c r="H559" s="16" t="inlineStr">
        <x:is>
          <x:t xml:space="preserve">Use mobile portrait playback</x:t>
        </x:is>
      </x:c>
      <x:c r="I559" s="16" t="inlineStr">
        <x:is>
          <x:t xml:space="preserve"/>
        </x:is>
      </x:c>
    </x:row>
    <x:row r="560">
      <x:c r="A560" s="17" t="inlineStr">
        <x:is>
          <x:t xml:space="preserve">P047</x:t>
        </x:is>
      </x:c>
      <x:c r="B560" s="17" t="n">
        <x:v>8</x:v>
      </x:c>
      <x:c r="C560" s="17" t="n">
        <x:v>4</x:v>
      </x:c>
      <x:c r="D560" s="17" t="inlineStr">
        <x:is>
          <x:t xml:space="preserve">V03</x:t>
        </x:is>
      </x:c>
      <x:c r="E560" s="17" t="inlineStr">
        <x:is>
          <x:t xml:space="preserve">Fitness</x:t>
        </x:is>
      </x:c>
      <x:c r="F560" s="17" t="inlineStr">
        <x:is>
          <x:t xml:space="preserve">Full transcript</x:t>
        </x:is>
      </x:c>
      <x:c r="G560" s="17" t="inlineStr">
        <x:is>
          <x:t xml:space="preserve">Audio-on</x:t>
        </x:is>
      </x:c>
      <x:c r="H560" s="17" t="inlineStr">
        <x:is>
          <x:t xml:space="preserve">Use mobile portrait playback</x:t>
        </x:is>
      </x:c>
      <x:c r="I560" s="17" t="inlineStr">
        <x:is>
          <x:t xml:space="preserve"/>
        </x:is>
      </x:c>
    </x:row>
    <x:row r="561">
      <x:c r="A561" s="16" t="inlineStr">
        <x:is>
          <x:t xml:space="preserve">P047</x:t>
        </x:is>
      </x:c>
      <x:c r="B561" s="16" t="n">
        <x:v>8</x:v>
      </x:c>
      <x:c r="C561" s="16" t="n">
        <x:v>5</x:v>
      </x:c>
      <x:c r="D561" s="16" t="inlineStr">
        <x:is>
          <x:t xml:space="preserve">V12</x:t>
        </x:is>
      </x:c>
      <x:c r="E561" s="16" t="inlineStr">
        <x:is>
          <x:t xml:space="preserve">Time management</x:t>
        </x:is>
      </x:c>
      <x:c r="F561" s="16" t="inlineStr">
        <x:is>
          <x:t xml:space="preserve">BCC</x:t>
        </x:is>
      </x:c>
      <x:c r="G561" s="16" t="inlineStr">
        <x:is>
          <x:t xml:space="preserve">Audio-on</x:t>
        </x:is>
      </x:c>
      <x:c r="H561" s="16" t="inlineStr">
        <x:is>
          <x:t xml:space="preserve">Use mobile portrait playback</x:t>
        </x:is>
      </x:c>
      <x:c r="I561" s="16" t="inlineStr">
        <x:is>
          <x:t xml:space="preserve"/>
        </x:is>
      </x:c>
    </x:row>
    <x:row r="562">
      <x:c r="A562" s="17" t="inlineStr">
        <x:is>
          <x:t xml:space="preserve">P047</x:t>
        </x:is>
      </x:c>
      <x:c r="B562" s="17" t="n">
        <x:v>8</x:v>
      </x:c>
      <x:c r="C562" s="17" t="n">
        <x:v>6</x:v>
      </x:c>
      <x:c r="D562" s="17" t="inlineStr">
        <x:is>
          <x:t xml:space="preserve">V10</x:t>
        </x:is>
      </x:c>
      <x:c r="E562" s="17" t="inlineStr">
        <x:is>
          <x:t xml:space="preserve">Product demo</x:t>
        </x:is>
      </x:c>
      <x:c r="F562" s="17" t="inlineStr">
        <x:is>
          <x:t xml:space="preserve">Keyword highlight</x:t>
        </x:is>
      </x:c>
      <x:c r="G562" s="17" t="inlineStr">
        <x:is>
          <x:t xml:space="preserve">Audio-on</x:t>
        </x:is>
      </x:c>
      <x:c r="H562" s="17" t="inlineStr">
        <x:is>
          <x:t xml:space="preserve">Use mobile portrait playback</x:t>
        </x:is>
      </x:c>
      <x:c r="I562" s="17" t="inlineStr">
        <x:is>
          <x:t xml:space="preserve"/>
        </x:is>
      </x:c>
    </x:row>
    <x:row r="563">
      <x:c r="A563" s="16" t="inlineStr">
        <x:is>
          <x:t xml:space="preserve">P047</x:t>
        </x:is>
      </x:c>
      <x:c r="B563" s="16" t="n">
        <x:v>8</x:v>
      </x:c>
      <x:c r="C563" s="16" t="n">
        <x:v>7</x:v>
      </x:c>
      <x:c r="D563" s="16" t="inlineStr">
        <x:is>
          <x:t xml:space="preserve">V04</x:t>
        </x:is>
      </x:c>
      <x:c r="E563" s="16" t="inlineStr">
        <x:is>
          <x:t xml:space="preserve">Finance</x:t>
        </x:is>
      </x:c>
      <x:c r="F563" s="16" t="inlineStr">
        <x:is>
          <x:t xml:space="preserve">Keyword highlight</x:t>
        </x:is>
      </x:c>
      <x:c r="G563" s="16" t="inlineStr">
        <x:is>
          <x:t xml:space="preserve">Audio-on</x:t>
        </x:is>
      </x:c>
      <x:c r="H563" s="16" t="inlineStr">
        <x:is>
          <x:t xml:space="preserve">Use mobile portrait playback</x:t>
        </x:is>
      </x:c>
      <x:c r="I563" s="16" t="inlineStr">
        <x:is>
          <x:t xml:space="preserve"/>
        </x:is>
      </x:c>
    </x:row>
    <x:row r="564">
      <x:c r="A564" s="17" t="inlineStr">
        <x:is>
          <x:t xml:space="preserve">P047</x:t>
        </x:is>
      </x:c>
      <x:c r="B564" s="17" t="n">
        <x:v>8</x:v>
      </x:c>
      <x:c r="C564" s="17" t="n">
        <x:v>8</x:v>
      </x:c>
      <x:c r="D564" s="17" t="inlineStr">
        <x:is>
          <x:t xml:space="preserve">V08</x:t>
        </x:is>
      </x:c>
      <x:c r="E564" s="17" t="inlineStr">
        <x:is>
          <x:t xml:space="preserve">Coding</x:t>
        </x:is>
      </x:c>
      <x:c r="F564" s="17" t="inlineStr">
        <x:is>
          <x:t xml:space="preserve">Heavy bionic</x:t>
        </x:is>
      </x:c>
      <x:c r="G564" s="17" t="inlineStr">
        <x:is>
          <x:t xml:space="preserve">Audio-on</x:t>
        </x:is>
      </x:c>
      <x:c r="H564" s="17" t="inlineStr">
        <x:is>
          <x:t xml:space="preserve">Use mobile portrait playback</x:t>
        </x:is>
      </x:c>
      <x:c r="I564" s="17" t="inlineStr">
        <x:is>
          <x:t xml:space="preserve"/>
        </x:is>
      </x:c>
    </x:row>
    <x:row r="565">
      <x:c r="A565" s="16" t="inlineStr">
        <x:is>
          <x:t xml:space="preserve">P047</x:t>
        </x:is>
      </x:c>
      <x:c r="B565" s="16" t="n">
        <x:v>8</x:v>
      </x:c>
      <x:c r="C565" s="16" t="n">
        <x:v>9</x:v>
      </x:c>
      <x:c r="D565" s="16" t="inlineStr">
        <x:is>
          <x:t xml:space="preserve">V11</x:t>
        </x:is>
      </x:c>
      <x:c r="E565" s="16" t="inlineStr">
        <x:is>
          <x:t xml:space="preserve">Creator strategy</x:t>
        </x:is>
      </x:c>
      <x:c r="F565" s="16" t="inlineStr">
        <x:is>
          <x:t xml:space="preserve">Semantic compression</x:t>
        </x:is>
      </x:c>
      <x:c r="G565" s="16" t="inlineStr">
        <x:is>
          <x:t xml:space="preserve">Audio-on</x:t>
        </x:is>
      </x:c>
      <x:c r="H565" s="16" t="inlineStr">
        <x:is>
          <x:t xml:space="preserve">Use mobile portrait playback</x:t>
        </x:is>
      </x:c>
      <x:c r="I565" s="16" t="inlineStr">
        <x:is>
          <x:t xml:space="preserve"/>
        </x:is>
      </x:c>
    </x:row>
    <x:row r="566">
      <x:c r="A566" s="17" t="inlineStr">
        <x:is>
          <x:t xml:space="preserve">P047</x:t>
        </x:is>
      </x:c>
      <x:c r="B566" s="17" t="n">
        <x:v>8</x:v>
      </x:c>
      <x:c r="C566" s="17" t="n">
        <x:v>10</x:v>
      </x:c>
      <x:c r="D566" s="17" t="inlineStr">
        <x:is>
          <x:t xml:space="preserve">V07</x:t>
        </x:is>
      </x:c>
      <x:c r="E566" s="17" t="inlineStr">
        <x:is>
          <x:t xml:space="preserve">Business</x:t>
        </x:is>
      </x:c>
      <x:c r="F566" s="17" t="inlineStr">
        <x:is>
          <x:t xml:space="preserve">BCC+</x:t>
        </x:is>
      </x:c>
      <x:c r="G566" s="17" t="inlineStr">
        <x:is>
          <x:t xml:space="preserve">Audio-on</x:t>
        </x:is>
      </x:c>
      <x:c r="H566" s="17" t="inlineStr">
        <x:is>
          <x:t xml:space="preserve">Use mobile portrait playback</x:t>
        </x:is>
      </x:c>
      <x:c r="I566" s="17" t="inlineStr">
        <x:is>
          <x:t xml:space="preserve"/>
        </x:is>
      </x:c>
    </x:row>
    <x:row r="567">
      <x:c r="A567" s="16" t="inlineStr">
        <x:is>
          <x:t xml:space="preserve">P047</x:t>
        </x:is>
      </x:c>
      <x:c r="B567" s="16" t="n">
        <x:v>8</x:v>
      </x:c>
      <x:c r="C567" s="16" t="n">
        <x:v>11</x:v>
      </x:c>
      <x:c r="D567" s="16" t="inlineStr">
        <x:is>
          <x:t xml:space="preserve">V05</x:t>
        </x:is>
      </x:c>
      <x:c r="E567" s="16" t="inlineStr">
        <x:is>
          <x:t xml:space="preserve">Tutorial</x:t>
        </x:is>
      </x:c>
      <x:c r="F567" s="16" t="inlineStr">
        <x:is>
          <x:t xml:space="preserve">Semantic compression</x:t>
        </x:is>
      </x:c>
      <x:c r="G567" s="16" t="inlineStr">
        <x:is>
          <x:t xml:space="preserve">Audio-on</x:t>
        </x:is>
      </x:c>
      <x:c r="H567" s="16" t="inlineStr">
        <x:is>
          <x:t xml:space="preserve">Use mobile portrait playback</x:t>
        </x:is>
      </x:c>
      <x:c r="I567" s="16" t="inlineStr">
        <x:is>
          <x:t xml:space="preserve"/>
        </x:is>
      </x:c>
    </x:row>
    <x:row r="568">
      <x:c r="A568" s="17" t="inlineStr">
        <x:is>
          <x:t xml:space="preserve">P047</x:t>
        </x:is>
      </x:c>
      <x:c r="B568" s="17" t="n">
        <x:v>8</x:v>
      </x:c>
      <x:c r="C568" s="17" t="n">
        <x:v>12</x:v>
      </x:c>
      <x:c r="D568" s="17" t="inlineStr">
        <x:is>
          <x:t xml:space="preserve">V02</x:t>
        </x:is>
      </x:c>
      <x:c r="E568" s="17" t="inlineStr">
        <x:is>
          <x:t xml:space="preserve">Study</x:t>
        </x:is>
      </x:c>
      <x:c r="F568" s="17" t="inlineStr">
        <x:is>
          <x:t xml:space="preserve">Heavy bionic</x:t>
        </x:is>
      </x:c>
      <x:c r="G568" s="17" t="inlineStr">
        <x:is>
          <x:t xml:space="preserve">Audio-on</x:t>
        </x:is>
      </x:c>
      <x:c r="H568" s="17" t="inlineStr">
        <x:is>
          <x:t xml:space="preserve">Use mobile portrait playback</x:t>
        </x:is>
      </x:c>
      <x:c r="I568" s="17" t="inlineStr">
        <x:is>
          <x:t xml:space="preserve"/>
        </x:is>
      </x:c>
    </x:row>
    <x:row r="569">
      <x:c r="A569" s="16" t="inlineStr">
        <x:is>
          <x:t xml:space="preserve">P048</x:t>
        </x:is>
      </x:c>
      <x:c r="B569" s="16" t="n">
        <x:v>8</x:v>
      </x:c>
      <x:c r="C569" s="16" t="n">
        <x:v>1</x:v>
      </x:c>
      <x:c r="D569" s="16" t="inlineStr">
        <x:is>
          <x:t xml:space="preserve">V11</x:t>
        </x:is>
      </x:c>
      <x:c r="E569" s="16" t="inlineStr">
        <x:is>
          <x:t xml:space="preserve">Creator strategy</x:t>
        </x:is>
      </x:c>
      <x:c r="F569" s="16" t="inlineStr">
        <x:is>
          <x:t xml:space="preserve">BCC</x:t>
        </x:is>
      </x:c>
      <x:c r="G569" s="16" t="inlineStr">
        <x:is>
          <x:t xml:space="preserve">Audio-on</x:t>
        </x:is>
      </x:c>
      <x:c r="H569" s="16" t="inlineStr">
        <x:is>
          <x:t xml:space="preserve">Use mobile portrait playback</x:t>
        </x:is>
      </x:c>
      <x:c r="I569" s="16" t="inlineStr">
        <x:is>
          <x:t xml:space="preserve"/>
        </x:is>
      </x:c>
    </x:row>
    <x:row r="570">
      <x:c r="A570" s="17" t="inlineStr">
        <x:is>
          <x:t xml:space="preserve">P048</x:t>
        </x:is>
      </x:c>
      <x:c r="B570" s="17" t="n">
        <x:v>8</x:v>
      </x:c>
      <x:c r="C570" s="17" t="n">
        <x:v>2</x:v>
      </x:c>
      <x:c r="D570" s="17" t="inlineStr">
        <x:is>
          <x:t xml:space="preserve">V07</x:t>
        </x:is>
      </x:c>
      <x:c r="E570" s="17" t="inlineStr">
        <x:is>
          <x:t xml:space="preserve">Business</x:t>
        </x:is>
      </x:c>
      <x:c r="F570" s="17" t="inlineStr">
        <x:is>
          <x:t xml:space="preserve">Heavy bionic</x:t>
        </x:is>
      </x:c>
      <x:c r="G570" s="17" t="inlineStr">
        <x:is>
          <x:t xml:space="preserve">Audio-on</x:t>
        </x:is>
      </x:c>
      <x:c r="H570" s="17" t="inlineStr">
        <x:is>
          <x:t xml:space="preserve">Use mobile portrait playback</x:t>
        </x:is>
      </x:c>
      <x:c r="I570" s="17" t="inlineStr">
        <x:is>
          <x:t xml:space="preserve"/>
        </x:is>
      </x:c>
    </x:row>
    <x:row r="571">
      <x:c r="A571" s="16" t="inlineStr">
        <x:is>
          <x:t xml:space="preserve">P048</x:t>
        </x:is>
      </x:c>
      <x:c r="B571" s="16" t="n">
        <x:v>8</x:v>
      </x:c>
      <x:c r="C571" s="16" t="n">
        <x:v>3</x:v>
      </x:c>
      <x:c r="D571" s="16" t="inlineStr">
        <x:is>
          <x:t xml:space="preserve">V09</x:t>
        </x:is>
      </x:c>
      <x:c r="E571" s="16" t="inlineStr">
        <x:is>
          <x:t xml:space="preserve">Sleep habit</x:t>
        </x:is>
      </x:c>
      <x:c r="F571" s="16" t="inlineStr">
        <x:is>
          <x:t xml:space="preserve">Keyword highlight</x:t>
        </x:is>
      </x:c>
      <x:c r="G571" s="16" t="inlineStr">
        <x:is>
          <x:t xml:space="preserve">Audio-on</x:t>
        </x:is>
      </x:c>
      <x:c r="H571" s="16" t="inlineStr">
        <x:is>
          <x:t xml:space="preserve">Use mobile portrait playback</x:t>
        </x:is>
      </x:c>
      <x:c r="I571" s="16" t="inlineStr">
        <x:is>
          <x:t xml:space="preserve"/>
        </x:is>
      </x:c>
    </x:row>
    <x:row r="572">
      <x:c r="A572" s="17" t="inlineStr">
        <x:is>
          <x:t xml:space="preserve">P048</x:t>
        </x:is>
      </x:c>
      <x:c r="B572" s="17" t="n">
        <x:v>8</x:v>
      </x:c>
      <x:c r="C572" s="17" t="n">
        <x:v>4</x:v>
      </x:c>
      <x:c r="D572" s="17" t="inlineStr">
        <x:is>
          <x:t xml:space="preserve">V02</x:t>
        </x:is>
      </x:c>
      <x:c r="E572" s="17" t="inlineStr">
        <x:is>
          <x:t xml:space="preserve">Study</x:t>
        </x:is>
      </x:c>
      <x:c r="F572" s="17" t="inlineStr">
        <x:is>
          <x:t xml:space="preserve">Full transcript</x:t>
        </x:is>
      </x:c>
      <x:c r="G572" s="17" t="inlineStr">
        <x:is>
          <x:t xml:space="preserve">Audio-on</x:t>
        </x:is>
      </x:c>
      <x:c r="H572" s="17" t="inlineStr">
        <x:is>
          <x:t xml:space="preserve">Use mobile portrait playback</x:t>
        </x:is>
      </x:c>
      <x:c r="I572" s="17" t="inlineStr">
        <x:is>
          <x:t xml:space="preserve"/>
        </x:is>
      </x:c>
    </x:row>
    <x:row r="573">
      <x:c r="A573" s="16" t="inlineStr">
        <x:is>
          <x:t xml:space="preserve">P048</x:t>
        </x:is>
      </x:c>
      <x:c r="B573" s="16" t="n">
        <x:v>8</x:v>
      </x:c>
      <x:c r="C573" s="16" t="n">
        <x:v>5</x:v>
      </x:c>
      <x:c r="D573" s="16" t="inlineStr">
        <x:is>
          <x:t xml:space="preserve">V10</x:t>
        </x:is>
      </x:c>
      <x:c r="E573" s="16" t="inlineStr">
        <x:is>
          <x:t xml:space="preserve">Product demo</x:t>
        </x:is>
      </x:c>
      <x:c r="F573" s="16" t="inlineStr">
        <x:is>
          <x:t xml:space="preserve">Semantic compression</x:t>
        </x:is>
      </x:c>
      <x:c r="G573" s="16" t="inlineStr">
        <x:is>
          <x:t xml:space="preserve">Audio-on</x:t>
        </x:is>
      </x:c>
      <x:c r="H573" s="16" t="inlineStr">
        <x:is>
          <x:t xml:space="preserve">Use mobile portrait playback</x:t>
        </x:is>
      </x:c>
      <x:c r="I573" s="16" t="inlineStr">
        <x:is>
          <x:t xml:space="preserve"/>
        </x:is>
      </x:c>
    </x:row>
    <x:row r="574">
      <x:c r="A574" s="17" t="inlineStr">
        <x:is>
          <x:t xml:space="preserve">P048</x:t>
        </x:is>
      </x:c>
      <x:c r="B574" s="17" t="n">
        <x:v>8</x:v>
      </x:c>
      <x:c r="C574" s="17" t="n">
        <x:v>6</x:v>
      </x:c>
      <x:c r="D574" s="17" t="inlineStr">
        <x:is>
          <x:t xml:space="preserve">V08</x:t>
        </x:is>
      </x:c>
      <x:c r="E574" s="17" t="inlineStr">
        <x:is>
          <x:t xml:space="preserve">Coding</x:t>
        </x:is>
      </x:c>
      <x:c r="F574" s="17" t="inlineStr">
        <x:is>
          <x:t xml:space="preserve">Full transcript</x:t>
        </x:is>
      </x:c>
      <x:c r="G574" s="17" t="inlineStr">
        <x:is>
          <x:t xml:space="preserve">Audio-on</x:t>
        </x:is>
      </x:c>
      <x:c r="H574" s="17" t="inlineStr">
        <x:is>
          <x:t xml:space="preserve">Use mobile portrait playback</x:t>
        </x:is>
      </x:c>
      <x:c r="I574" s="17" t="inlineStr">
        <x:is>
          <x:t xml:space="preserve"/>
        </x:is>
      </x:c>
    </x:row>
    <x:row r="575">
      <x:c r="A575" s="16" t="inlineStr">
        <x:is>
          <x:t xml:space="preserve">P048</x:t>
        </x:is>
      </x:c>
      <x:c r="B575" s="16" t="n">
        <x:v>8</x:v>
      </x:c>
      <x:c r="C575" s="16" t="n">
        <x:v>7</x:v>
      </x:c>
      <x:c r="D575" s="16" t="inlineStr">
        <x:is>
          <x:t xml:space="preserve">V06</x:t>
        </x:is>
      </x:c>
      <x:c r="E575" s="16" t="inlineStr">
        <x:is>
          <x:t xml:space="preserve">Overload</x:t>
        </x:is>
      </x:c>
      <x:c r="F575" s="16" t="inlineStr">
        <x:is>
          <x:t xml:space="preserve">BCC+</x:t>
        </x:is>
      </x:c>
      <x:c r="G575" s="16" t="inlineStr">
        <x:is>
          <x:t xml:space="preserve">Audio-on</x:t>
        </x:is>
      </x:c>
      <x:c r="H575" s="16" t="inlineStr">
        <x:is>
          <x:t xml:space="preserve">Use mobile portrait playback</x:t>
        </x:is>
      </x:c>
      <x:c r="I575" s="16" t="inlineStr">
        <x:is>
          <x:t xml:space="preserve"/>
        </x:is>
      </x:c>
    </x:row>
    <x:row r="576">
      <x:c r="A576" s="17" t="inlineStr">
        <x:is>
          <x:t xml:space="preserve">P048</x:t>
        </x:is>
      </x:c>
      <x:c r="B576" s="17" t="n">
        <x:v>8</x:v>
      </x:c>
      <x:c r="C576" s="17" t="n">
        <x:v>8</x:v>
      </x:c>
      <x:c r="D576" s="17" t="inlineStr">
        <x:is>
          <x:t xml:space="preserve">V01</x:t>
        </x:is>
      </x:c>
      <x:c r="E576" s="17" t="inlineStr">
        <x:is>
          <x:t xml:space="preserve">Productivity</x:t>
        </x:is>
      </x:c>
      <x:c r="F576" s="17" t="inlineStr">
        <x:is>
          <x:t xml:space="preserve">Heavy bionic</x:t>
        </x:is>
      </x:c>
      <x:c r="G576" s="17" t="inlineStr">
        <x:is>
          <x:t xml:space="preserve">Audio-on</x:t>
        </x:is>
      </x:c>
      <x:c r="H576" s="17" t="inlineStr">
        <x:is>
          <x:t xml:space="preserve">Use mobile portrait playback</x:t>
        </x:is>
      </x:c>
      <x:c r="I576" s="17" t="inlineStr">
        <x:is>
          <x:t xml:space="preserve"/>
        </x:is>
      </x:c>
    </x:row>
    <x:row r="577">
      <x:c r="A577" s="16" t="inlineStr">
        <x:is>
          <x:t xml:space="preserve">P048</x:t>
        </x:is>
      </x:c>
      <x:c r="B577" s="16" t="n">
        <x:v>8</x:v>
      </x:c>
      <x:c r="C577" s="16" t="n">
        <x:v>9</x:v>
      </x:c>
      <x:c r="D577" s="16" t="inlineStr">
        <x:is>
          <x:t xml:space="preserve">V04</x:t>
        </x:is>
      </x:c>
      <x:c r="E577" s="16" t="inlineStr">
        <x:is>
          <x:t xml:space="preserve">Finance</x:t>
        </x:is>
      </x:c>
      <x:c r="F577" s="16" t="inlineStr">
        <x:is>
          <x:t xml:space="preserve">Semantic compression</x:t>
        </x:is>
      </x:c>
      <x:c r="G577" s="16" t="inlineStr">
        <x:is>
          <x:t xml:space="preserve">Audio-on</x:t>
        </x:is>
      </x:c>
      <x:c r="H577" s="16" t="inlineStr">
        <x:is>
          <x:t xml:space="preserve">Use mobile portrait playback</x:t>
        </x:is>
      </x:c>
      <x:c r="I577" s="16" t="inlineStr">
        <x:is>
          <x:t xml:space="preserve"/>
        </x:is>
      </x:c>
    </x:row>
    <x:row r="578">
      <x:c r="A578" s="17" t="inlineStr">
        <x:is>
          <x:t xml:space="preserve">P048</x:t>
        </x:is>
      </x:c>
      <x:c r="B578" s="17" t="n">
        <x:v>8</x:v>
      </x:c>
      <x:c r="C578" s="17" t="n">
        <x:v>10</x:v>
      </x:c>
      <x:c r="D578" s="17" t="inlineStr">
        <x:is>
          <x:t xml:space="preserve">V03</x:t>
        </x:is>
      </x:c>
      <x:c r="E578" s="17" t="inlineStr">
        <x:is>
          <x:t xml:space="preserve">Fitness</x:t>
        </x:is>
      </x:c>
      <x:c r="F578" s="17" t="inlineStr">
        <x:is>
          <x:t xml:space="preserve">Keyword highlight</x:t>
        </x:is>
      </x:c>
      <x:c r="G578" s="17" t="inlineStr">
        <x:is>
          <x:t xml:space="preserve">Audio-on</x:t>
        </x:is>
      </x:c>
      <x:c r="H578" s="17" t="inlineStr">
        <x:is>
          <x:t xml:space="preserve">Use mobile portrait playback</x:t>
        </x:is>
      </x:c>
      <x:c r="I578" s="17" t="inlineStr">
        <x:is>
          <x:t xml:space="preserve"/>
        </x:is>
      </x:c>
    </x:row>
    <x:row r="579">
      <x:c r="A579" s="16" t="inlineStr">
        <x:is>
          <x:t xml:space="preserve">P048</x:t>
        </x:is>
      </x:c>
      <x:c r="B579" s="16" t="n">
        <x:v>8</x:v>
      </x:c>
      <x:c r="C579" s="16" t="n">
        <x:v>11</x:v>
      </x:c>
      <x:c r="D579" s="16" t="inlineStr">
        <x:is>
          <x:t xml:space="preserve">V12</x:t>
        </x:is>
      </x:c>
      <x:c r="E579" s="16" t="inlineStr">
        <x:is>
          <x:t xml:space="preserve">Time management</x:t>
        </x:is>
      </x:c>
      <x:c r="F579" s="16" t="inlineStr">
        <x:is>
          <x:t xml:space="preserve">BCC+</x:t>
        </x:is>
      </x:c>
      <x:c r="G579" s="16" t="inlineStr">
        <x:is>
          <x:t xml:space="preserve">Audio-on</x:t>
        </x:is>
      </x:c>
      <x:c r="H579" s="16" t="inlineStr">
        <x:is>
          <x:t xml:space="preserve">Use mobile portrait playback</x:t>
        </x:is>
      </x:c>
      <x:c r="I579" s="16" t="inlineStr">
        <x:is>
          <x:t xml:space="preserve"/>
        </x:is>
      </x:c>
    </x:row>
    <x:row r="580">
      <x:c r="A580" s="17" t="inlineStr">
        <x:is>
          <x:t xml:space="preserve">P048</x:t>
        </x:is>
      </x:c>
      <x:c r="B580" s="17" t="n">
        <x:v>8</x:v>
      </x:c>
      <x:c r="C580" s="17" t="n">
        <x:v>12</x:v>
      </x:c>
      <x:c r="D580" s="17" t="inlineStr">
        <x:is>
          <x:t xml:space="preserve">V05</x:t>
        </x:is>
      </x:c>
      <x:c r="E580" s="17" t="inlineStr">
        <x:is>
          <x:t xml:space="preserve">Tutorial</x:t>
        </x:is>
      </x:c>
      <x:c r="F580" s="17" t="inlineStr">
        <x:is>
          <x:t xml:space="preserve">BCC</x:t>
        </x:is>
      </x:c>
      <x:c r="G580" s="17" t="inlineStr">
        <x:is>
          <x:t xml:space="preserve">Audio-on</x:t>
        </x:is>
      </x:c>
      <x:c r="H580" s="17" t="inlineStr">
        <x:is>
          <x:t xml:space="preserve">Use mobile portrait playback</x:t>
        </x:is>
      </x:c>
      <x:c r="I580" s="17" t="inlineStr">
        <x:is>
          <x:t xml:space="preserve"/>
        </x:is>
      </x:c>
    </x:row>
  </x:sheetData>
  <x:mergeCells>
    <x:mergeCell ref="A1:I1"/>
    <x:mergeCell ref="A2:I2"/>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18" customWidth="1"/>
    <x:col min="4" max="4" width="58" customWidth="1"/>
    <x:col min="5" max="5" width="28" customWidth="1"/>
    <x:col min="6" max="6" width="34" customWidth="1"/>
  </x:cols>
  <x:sheetData>
    <x:row r="1" ht="24" customHeight="1">
      <x:c r="A1" s="14" t="inlineStr">
        <x:is>
          <x:t xml:space="preserve">Participant Survey — Trial and Final Questions</x:t>
        </x:is>
      </x:c>
    </x:row>
    <x:row r="2" ht="32" customHeight="1">
      <x:c r="A2" s="3" t="inlineStr">
        <x:is>
          <x:t xml:space="preserve">Questions to collect after each trial and at the end. Use exact variable names in Data Entry Template.</x:t>
        </x:is>
      </x:c>
    </x:row>
    <x:row r="4">
      <x:c r="A4" s="15" t="inlineStr">
        <x:is>
          <x:t xml:space="preserve">Stage</x:t>
        </x:is>
      </x:c>
      <x:c r="B4" s="15" t="inlineStr">
        <x:is>
          <x:t xml:space="preserve">Variable name</x:t>
        </x:is>
      </x:c>
      <x:c r="C4" s="15" t="inlineStr">
        <x:is>
          <x:t xml:space="preserve">Response type</x:t>
        </x:is>
      </x:c>
      <x:c r="D4" s="15" t="inlineStr">
        <x:is>
          <x:t xml:space="preserve">Question text</x:t>
        </x:is>
      </x:c>
      <x:c r="E4" s="15" t="inlineStr">
        <x:is>
          <x:t xml:space="preserve">Scoring</x:t>
        </x:is>
      </x:c>
      <x:c r="F4" s="15" t="inlineStr">
        <x:is>
          <x:t xml:space="preserve">Notes</x:t>
        </x:is>
      </x:c>
    </x:row>
    <x:row r="5" ht="54" customHeight="1">
      <x:c r="A5" s="16" t="inlineStr">
        <x:is>
          <x:t xml:space="preserve">Per trial</x:t>
        </x:is>
      </x:c>
      <x:c r="B5" s="16" t="inlineStr">
        <x:is>
          <x:t xml:space="preserve">gist_free_text</x:t>
        </x:is>
      </x:c>
      <x:c r="C5" s="16" t="inlineStr">
        <x:is>
          <x:t xml:space="preserve">Open text</x:t>
        </x:is>
      </x:c>
      <x:c r="D5" s="16" t="inlineStr">
        <x:is>
          <x:t xml:space="preserve">What was the main point of the video?</x:t>
        </x:is>
      </x:c>
      <x:c r="E5" s="16" t="inlineStr">
        <x:is>
          <x:t xml:space="preserve">Score manually 0/1</x:t>
        </x:is>
      </x:c>
      <x:c r="F5" s="16" t="inlineStr">
        <x:is>
          <x:t xml:space="preserve">Main comprehension outcome.</x:t>
        </x:is>
      </x:c>
    </x:row>
    <x:row r="6" ht="54" customHeight="1">
      <x:c r="A6" s="17" t="inlineStr">
        <x:is>
          <x:t xml:space="preserve">Per trial</x:t>
        </x:is>
      </x:c>
      <x:c r="B6" s="17" t="inlineStr">
        <x:is>
          <x:t xml:space="preserve">action_free_text</x:t>
        </x:is>
      </x:c>
      <x:c r="C6" s="17" t="inlineStr">
        <x:is>
          <x:t xml:space="preserve">Open text</x:t>
        </x:is>
      </x:c>
      <x:c r="D6" s="17" t="inlineStr">
        <x:is>
          <x:t xml:space="preserve">What action, if any, did the video tell you to take?</x:t>
        </x:is>
      </x:c>
      <x:c r="E6" s="17" t="inlineStr">
        <x:is>
          <x:t xml:space="preserve">Score manually 0/1</x:t>
        </x:is>
      </x:c>
      <x:c r="F6" s="17" t="inlineStr">
        <x:is>
          <x:t xml:space="preserve">Action recall outcome.</x:t>
        </x:is>
      </x:c>
    </x:row>
    <x:row r="7" ht="54" customHeight="1">
      <x:c r="A7" s="16" t="inlineStr">
        <x:is>
          <x:t xml:space="preserve">Per trial</x:t>
        </x:is>
      </x:c>
      <x:c r="B7" s="16" t="inlineStr">
        <x:is>
          <x:t xml:space="preserve">contrast_free_text</x:t>
        </x:is>
      </x:c>
      <x:c r="C7" s="16" t="inlineStr">
        <x:is>
          <x:t xml:space="preserve">Open text</x:t>
        </x:is>
      </x:c>
      <x:c r="D7" s="16" t="inlineStr">
        <x:is>
          <x:t xml:space="preserve">What false belief or contrast did the video correct?</x:t>
        </x:is>
      </x:c>
      <x:c r="E7" s="16" t="inlineStr">
        <x:is>
          <x:t xml:space="preserve">Score manually 0/1</x:t>
        </x:is>
      </x:c>
      <x:c r="F7" s="16" t="inlineStr">
        <x:is>
          <x:t xml:space="preserve">Critical for Not X → Y videos.</x:t>
        </x:is>
      </x:c>
    </x:row>
    <x:row r="8" ht="54" customHeight="1">
      <x:c r="A8" s="17" t="inlineStr">
        <x:is>
          <x:t xml:space="preserve">Per trial</x:t>
        </x:is>
      </x:c>
      <x:c r="B8" s="17" t="inlineStr">
        <x:is>
          <x:t xml:space="preserve">exact_phrase</x:t>
        </x:is>
      </x:c>
      <x:c r="C8" s="17" t="inlineStr">
        <x:is>
          <x:t xml:space="preserve">Open text</x:t>
        </x:is>
      </x:c>
      <x:c r="D8" s="17" t="inlineStr">
        <x:is>
          <x:t xml:space="preserve">Write any exact phrase you remember.</x:t>
        </x:is>
      </x:c>
      <x:c r="E8" s="17" t="inlineStr">
        <x:is>
          <x:t xml:space="preserve">Score 0–2</x:t>
        </x:is>
      </x:c>
      <x:c r="F8" s="17" t="inlineStr">
        <x:is>
          <x:t xml:space="preserve">Captures exact recall; full transcript may win.</x:t>
        </x:is>
      </x:c>
    </x:row>
    <x:row r="9" ht="54" customHeight="1">
      <x:c r="A9" s="16" t="inlineStr">
        <x:is>
          <x:t xml:space="preserve">Per trial</x:t>
        </x:is>
      </x:c>
      <x:c r="B9" s="16" t="inlineStr">
        <x:is>
          <x:t xml:space="preserve">visual_recall</x:t>
        </x:is>
      </x:c>
      <x:c r="C9" s="16" t="inlineStr">
        <x:is>
          <x:t xml:space="preserve">Open text</x:t>
        </x:is>
      </x:c>
      <x:c r="D9" s="16" t="inlineStr">
        <x:is>
          <x:t xml:space="preserve">What did you see visually in the video?</x:t>
        </x:is>
      </x:c>
      <x:c r="E9" s="16" t="inlineStr">
        <x:is>
          <x:t xml:space="preserve">Score manually 0/1</x:t>
        </x:is>
      </x:c>
      <x:c r="F9" s="16" t="inlineStr">
        <x:is>
          <x:t xml:space="preserve">Measures whether text stole attention from visuals.</x:t>
        </x:is>
      </x:c>
    </x:row>
    <x:row r="10" ht="54" customHeight="1">
      <x:c r="A10" s="17" t="inlineStr">
        <x:is>
          <x:t xml:space="preserve">Per trial</x:t>
        </x:is>
      </x:c>
      <x:c r="B10" s="17" t="inlineStr">
        <x:is>
          <x:t xml:space="preserve">effort_1_7</x:t>
        </x:is>
      </x:c>
      <x:c r="C10" s="17" t="inlineStr">
        <x:is>
          <x:t xml:space="preserve">Likert 1–7</x:t>
        </x:is>
      </x:c>
      <x:c r="D10" s="17" t="inlineStr">
        <x:is>
          <x:t xml:space="preserve">How mentally effortful was the video to follow?</x:t>
        </x:is>
      </x:c>
      <x:c r="E10" s="17" t="inlineStr">
        <x:is>
          <x:t xml:space="preserve">1 very low, 7 very high</x:t>
        </x:is>
      </x:c>
      <x:c r="F10" s="17" t="inlineStr">
        <x:is>
          <x:t xml:space="preserve">Lower is better.</x:t>
        </x:is>
      </x:c>
    </x:row>
    <x:row r="11" ht="54" customHeight="1">
      <x:c r="A11" s="16" t="inlineStr">
        <x:is>
          <x:t xml:space="preserve">Per trial</x:t>
        </x:is>
      </x:c>
      <x:c r="B11" s="16" t="inlineStr">
        <x:is>
          <x:t xml:space="preserve">helpful_text_1_7</x:t>
        </x:is>
      </x:c>
      <x:c r="C11" s="16" t="inlineStr">
        <x:is>
          <x:t xml:space="preserve">Likert 1–7</x:t>
        </x:is>
      </x:c>
      <x:c r="D11" s="16" t="inlineStr">
        <x:is>
          <x:t xml:space="preserve">How much did the on-screen text help you understand the video?</x:t>
        </x:is>
      </x:c>
      <x:c r="E11" s="16" t="inlineStr">
        <x:is>
          <x:t xml:space="preserve">1 not at all, 7 very much</x:t>
        </x:is>
      </x:c>
      <x:c r="F11" s="16" t="inlineStr">
        <x:is>
          <x:t xml:space="preserve">Higher is better.</x:t>
        </x:is>
      </x:c>
    </x:row>
    <x:row r="12" ht="54" customHeight="1">
      <x:c r="A12" s="17" t="inlineStr">
        <x:is>
          <x:t xml:space="preserve">Per trial</x:t>
        </x:is>
      </x:c>
      <x:c r="B12" s="17" t="inlineStr">
        <x:is>
          <x:t xml:space="preserve">distracting_text_1_7</x:t>
        </x:is>
      </x:c>
      <x:c r="C12" s="17" t="inlineStr">
        <x:is>
          <x:t xml:space="preserve">Likert 1–7</x:t>
        </x:is>
      </x:c>
      <x:c r="D12" s="17" t="inlineStr">
        <x:is>
          <x:t xml:space="preserve">How distracting was the on-screen text?</x:t>
        </x:is>
      </x:c>
      <x:c r="E12" s="17" t="inlineStr">
        <x:is>
          <x:t xml:space="preserve">1 not distracting, 7 very distracting</x:t>
        </x:is>
      </x:c>
      <x:c r="F12" s="17" t="inlineStr">
        <x:is>
          <x:t xml:space="preserve">Lower is better.</x:t>
        </x:is>
      </x:c>
    </x:row>
    <x:row r="13" ht="54" customHeight="1">
      <x:c r="A13" s="16" t="inlineStr">
        <x:is>
          <x:t xml:space="preserve">Per trial</x:t>
        </x:is>
      </x:c>
      <x:c r="B13" s="16" t="inlineStr">
        <x:is>
          <x:t xml:space="preserve">clarity_1_7</x:t>
        </x:is>
      </x:c>
      <x:c r="C13" s="16" t="inlineStr">
        <x:is>
          <x:t xml:space="preserve">Likert 1–7</x:t>
        </x:is>
      </x:c>
      <x:c r="D13" s="16" t="inlineStr">
        <x:is>
          <x:t xml:space="preserve">How clear was the main point?</x:t>
        </x:is>
      </x:c>
      <x:c r="E13" s="16" t="inlineStr">
        <x:is>
          <x:t xml:space="preserve">1 unclear, 7 very clear</x:t>
        </x:is>
      </x:c>
      <x:c r="F13" s="16" t="inlineStr">
        <x:is>
          <x:t xml:space="preserve">Higher is better.</x:t>
        </x:is>
      </x:c>
    </x:row>
    <x:row r="14" ht="54" customHeight="1">
      <x:c r="A14" s="17" t="inlineStr">
        <x:is>
          <x:t xml:space="preserve">Final</x:t>
        </x:is>
      </x:c>
      <x:c r="B14" s="17" t="inlineStr">
        <x:is>
          <x:t xml:space="preserve">preferred_style</x:t>
        </x:is>
      </x:c>
      <x:c r="C14" s="17" t="inlineStr">
        <x:is>
          <x:t xml:space="preserve">Single choice</x:t>
        </x:is>
      </x:c>
      <x:c r="D14" s="17" t="inlineStr">
        <x:is>
          <x:t xml:space="preserve">Which text style felt easiest to follow?</x:t>
        </x:is>
      </x:c>
      <x:c r="E14" s="17" t="inlineStr">
        <x:is>
          <x:t xml:space="preserve">Variant list</x:t>
        </x:is>
      </x:c>
      <x:c r="F14" s="17" t="inlineStr">
        <x:is>
          <x:t xml:space="preserve">Preference.</x:t>
        </x:is>
      </x:c>
    </x:row>
    <x:row r="15" ht="54" customHeight="1">
      <x:c r="A15" s="16" t="inlineStr">
        <x:is>
          <x:t xml:space="preserve">Final</x:t>
        </x:is>
      </x:c>
      <x:c r="B15" s="16" t="inlineStr">
        <x:is>
          <x:t xml:space="preserve">least_preferred_style</x:t>
        </x:is>
      </x:c>
      <x:c r="C15" s="16" t="inlineStr">
        <x:is>
          <x:t xml:space="preserve">Single choice</x:t>
        </x:is>
      </x:c>
      <x:c r="D15" s="16" t="inlineStr">
        <x:is>
          <x:t xml:space="preserve">Which text style felt most distracting?</x:t>
        </x:is>
      </x:c>
      <x:c r="E15" s="16" t="inlineStr">
        <x:is>
          <x:t xml:space="preserve">Variant list</x:t>
        </x:is>
      </x:c>
      <x:c r="F15" s="16" t="inlineStr">
        <x:is>
          <x:t xml:space="preserve">Noise detection.</x:t>
        </x:is>
      </x:c>
    </x:row>
    <x:row r="16" ht="54" customHeight="1">
      <x:c r="A16" s="17" t="inlineStr">
        <x:is>
          <x:t xml:space="preserve">Final</x:t>
        </x:is>
      </x:c>
      <x:c r="B16" s="17" t="inlineStr">
        <x:is>
          <x:t xml:space="preserve">device_context</x:t>
        </x:is>
      </x:c>
      <x:c r="C16" s="17" t="inlineStr">
        <x:is>
          <x:t xml:space="preserve">Multiple choice</x:t>
        </x:is>
      </x:c>
      <x:c r="D16" s="17" t="inlineStr">
        <x:is>
          <x:t xml:space="preserve">How did you watch?</x:t>
        </x:is>
      </x:c>
      <x:c r="E16" s="17" t="inlineStr">
        <x:is>
          <x:t xml:space="preserve">phone/computer; headphones/no headphones</x:t>
        </x:is>
      </x:c>
      <x:c r="F16" s="17" t="inlineStr">
        <x:is>
          <x:t xml:space="preserve">Context control.</x:t>
        </x:is>
      </x:c>
    </x:row>
    <x:row r="17" ht="54" customHeight="1">
      <x:c r="A17" s="16" t="inlineStr">
        <x:is>
          <x:t xml:space="preserve">Attention check</x:t>
        </x:is>
      </x:c>
      <x:c r="B17" s="16" t="inlineStr">
        <x:is>
          <x:t xml:space="preserve">attention_check</x:t>
        </x:is>
      </x:c>
      <x:c r="C17" s="16" t="inlineStr">
        <x:is>
          <x:t xml:space="preserve">Multiple choice</x:t>
        </x:is>
      </x:c>
      <x:c r="D17" s="16" t="inlineStr">
        <x:is>
          <x:t xml:space="preserve">Select “Structure” for this item.</x:t>
        </x:is>
      </x:c>
      <x:c r="E17" s="16" t="inlineStr">
        <x:is>
          <x:t xml:space="preserve">Correct/incorrect</x:t>
        </x:is>
      </x:c>
      <x:c r="F17" s="16" t="inlineStr">
        <x:is>
          <x:t xml:space="preserve">Exclude failed responses.</x:t>
        </x:is>
      </x:c>
    </x:row>
  </x:sheetData>
  <x:mergeCells>
    <x:mergeCell ref="A2:H2"/>
    <x:mergeCell ref="A1:H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14" customWidth="1"/>
    <x:col min="2" max="2" width="11" customWidth="1"/>
    <x:col min="3" max="3" width="10" customWidth="1"/>
    <x:col min="4" max="4" width="16" customWidth="1"/>
    <x:col min="5" max="5" width="24" customWidth="1"/>
    <x:col min="6" max="6" width="12" customWidth="1"/>
    <x:col min="7" max="7" width="15" customWidth="1"/>
    <x:col min="8" max="8" width="15" customWidth="1"/>
    <x:col min="9" max="9" width="13" customWidth="1"/>
    <x:col min="10" max="10" width="16" customWidth="1"/>
    <x:col min="11" max="11" width="17" customWidth="1"/>
    <x:col min="12" max="12" width="18" customWidth="1"/>
    <x:col min="13" max="13" width="16" customWidth="1"/>
    <x:col min="14" max="14" width="16" customWidth="1"/>
    <x:col min="15" max="15" width="12" customWidth="1"/>
    <x:col min="16" max="16" width="15" customWidth="1"/>
    <x:col min="17" max="17" width="15" customWidth="1"/>
    <x:col min="18" max="18" width="12" customWidth="1"/>
    <x:col min="19" max="19" width="16" customWidth="1"/>
    <x:col min="20" max="20" width="16" customWidth="1"/>
    <x:col min="21" max="21" width="22" customWidth="1"/>
    <x:col min="22" max="22" width="28" customWidth="1"/>
  </x:cols>
  <x:sheetData>
    <x:row r="1" ht="24" customHeight="1">
      <x:c r="A1" s="14" t="inlineStr">
        <x:is>
          <x:t xml:space="preserve">Data Entry Template — Controlled Pilot</x:t>
        </x:is>
      </x:c>
    </x:row>
    <x:row r="2" ht="32" customHeight="1">
      <x:c r="A2" s="3" t="inlineStr">
        <x:is>
          <x:t xml:space="preserve">Pre-filled with randomized trials. Enter watch time and coded recall scores; formulas calculate retention/comprehension efficiency.</x:t>
        </x:is>
      </x:c>
    </x:row>
    <x:row r="4">
      <x:c r="A4" s="15" t="inlineStr">
        <x:is>
          <x:t xml:space="preserve">Participant_ID</x:t>
        </x:is>
      </x:c>
      <x:c r="B4" s="15" t="inlineStr">
        <x:is>
          <x:t xml:space="preserve">Trial_Order</x:t>
        </x:is>
      </x:c>
      <x:c r="C4" s="15" t="inlineStr">
        <x:is>
          <x:t xml:space="preserve">Video_ID</x:t>
        </x:is>
      </x:c>
      <x:c r="D4" s="15" t="inlineStr">
        <x:is>
          <x:t xml:space="preserve">Category</x:t>
        </x:is>
      </x:c>
      <x:c r="E4" s="15" t="inlineStr">
        <x:is>
          <x:t xml:space="preserve">Variant</x:t>
        </x:is>
      </x:c>
      <x:c r="F4" s="15" t="inlineStr">
        <x:is>
          <x:t xml:space="preserve">Audio_Mode</x:t>
        </x:is>
      </x:c>
      <x:c r="G4" s="15" t="inlineStr">
        <x:is>
          <x:t xml:space="preserve">Video_Length_sec</x:t>
        </x:is>
      </x:c>
      <x:c r="H4" s="15" t="inlineStr">
        <x:is>
          <x:t xml:space="preserve">Watch_Time_sec</x:t>
        </x:is>
      </x:c>
      <x:c r="I4" s="15" t="inlineStr">
        <x:is>
          <x:t xml:space="preserve">Rewatch_Count</x:t>
        </x:is>
      </x:c>
      <x:c r="J4" s="15" t="inlineStr">
        <x:is>
          <x:t xml:space="preserve">Gist_Correct_0_1</x:t>
        </x:is>
      </x:c>
      <x:c r="K4" s="15" t="inlineStr">
        <x:is>
          <x:t xml:space="preserve">Action_Correct_0_1</x:t>
        </x:is>
      </x:c>
      <x:c r="L4" s="15" t="inlineStr">
        <x:is>
          <x:t xml:space="preserve">Contrast_Correct_0_1</x:t>
        </x:is>
      </x:c>
      <x:c r="M4" s="15" t="inlineStr">
        <x:is>
          <x:t xml:space="preserve">Exact_Recall_0_2</x:t>
        </x:is>
      </x:c>
      <x:c r="N4" s="15" t="inlineStr">
        <x:is>
          <x:t xml:space="preserve">Visual_Recall_0_1</x:t>
        </x:is>
      </x:c>
      <x:c r="O4" s="15" t="inlineStr">
        <x:is>
          <x:t xml:space="preserve">Effort_1_7</x:t>
        </x:is>
      </x:c>
      <x:c r="P4" s="15" t="inlineStr">
        <x:is>
          <x:t xml:space="preserve">Helpfulness_1_7</x:t>
        </x:is>
      </x:c>
      <x:c r="Q4" s="15" t="inlineStr">
        <x:is>
          <x:t xml:space="preserve">Distracting_1_7</x:t>
        </x:is>
      </x:c>
      <x:c r="R4" s="15" t="inlineStr">
        <x:is>
          <x:t xml:space="preserve">Clarity_1_7</x:t>
        </x:is>
      </x:c>
      <x:c r="S4" s="15" t="inlineStr">
        <x:is>
          <x:t xml:space="preserve">Completion_Rate</x:t>
        </x:is>
      </x:c>
      <x:c r="T4" s="15" t="inlineStr">
        <x:is>
          <x:t xml:space="preserve">Meaning_per_Sec</x:t>
        </x:is>
      </x:c>
      <x:c r="U4" s="15" t="inlineStr">
        <x:is>
          <x:t xml:space="preserve">Composite_Comprehension</x:t>
        </x:is>
      </x:c>
      <x:c r="V4" s="15" t="inlineStr">
        <x:is>
          <x:t xml:space="preserve">Notes</x:t>
        </x:is>
      </x:c>
    </x:row>
    <x:row r="5">
      <x:c r="A5" s="16" t="inlineStr">
        <x:is>
          <x:t xml:space="preserve">P001</x:t>
        </x:is>
      </x:c>
      <x:c r="B5" s="16" t="n">
        <x:v>1</x:v>
      </x:c>
      <x:c r="C5" s="16" t="inlineStr">
        <x:is>
          <x:t xml:space="preserve">V12</x:t>
        </x:is>
      </x:c>
      <x:c r="D5" s="16" t="inlineStr">
        <x:is>
          <x:t xml:space="preserve">Time management</x:t>
        </x:is>
      </x:c>
      <x:c r="E5" s="16" t="inlineStr">
        <x:is>
          <x:t xml:space="preserve">Heavy bionic</x:t>
        </x:is>
      </x:c>
      <x:c r="F5" s="16" t="inlineStr">
        <x:is>
          <x:t xml:space="preserve">Muted</x:t>
        </x:is>
      </x:c>
      <x:c r="G5" s="21" t="n">
        <x:v>21</x:v>
      </x:c>
      <x:c r="H5" s="21" t="inlineStr">
        <x:is>
          <x:t xml:space="preserve"/>
        </x:is>
      </x:c>
      <x:c r="I5" s="21" t="inlineStr">
        <x:is>
          <x:t xml:space="preserve"/>
        </x:is>
      </x:c>
      <x:c r="J5" s="21" t="inlineStr">
        <x:is>
          <x:t xml:space="preserve"/>
        </x:is>
      </x:c>
      <x:c r="K5" s="21" t="inlineStr">
        <x:is>
          <x:t xml:space="preserve"/>
        </x:is>
      </x:c>
      <x:c r="L5" s="21" t="inlineStr">
        <x:is>
          <x:t xml:space="preserve"/>
        </x:is>
      </x:c>
      <x:c r="M5" s="21" t="inlineStr">
        <x:is>
          <x:t xml:space="preserve"/>
        </x:is>
      </x:c>
      <x:c r="N5" s="21" t="inlineStr">
        <x:is>
          <x:t xml:space="preserve"/>
        </x:is>
      </x:c>
      <x:c r="O5" s="21" t="inlineStr">
        <x:is>
          <x:t xml:space="preserve"/>
        </x:is>
      </x:c>
      <x:c r="P5" s="21" t="inlineStr">
        <x:is>
          <x:t xml:space="preserve"/>
        </x:is>
      </x:c>
      <x:c r="Q5" s="21" t="inlineStr">
        <x:is>
          <x:t xml:space="preserve"/>
        </x:is>
      </x:c>
      <x:c r="R5" s="21" t="inlineStr">
        <x:is>
          <x:t xml:space="preserve"/>
        </x:is>
      </x:c>
      <x:c r="S5" s="22">
        <x:f>IF(H5="","",IFERROR(H5/G5,""))</x:f>
      </x:c>
      <x:c r="T5" s="23">
        <x:f>IF(H5="","",IFERROR((J5+K5+L5+N5)/H5,""))</x:f>
      </x:c>
      <x:c r="U5" s="22">
        <x:f>IF(COUNTA(J5:L5,N5)=0,"",IFERROR(AVERAGE(J5:L5,N5),""))</x:f>
      </x:c>
      <x:c r="V5" s="16" t="inlineStr">
        <x:is>
          <x:t xml:space="preserve"/>
        </x:is>
      </x:c>
    </x:row>
    <x:row r="6">
      <x:c r="A6" s="17" t="inlineStr">
        <x:is>
          <x:t xml:space="preserve">P001</x:t>
        </x:is>
      </x:c>
      <x:c r="B6" s="17" t="n">
        <x:v>2</x:v>
      </x:c>
      <x:c r="C6" s="17" t="inlineStr">
        <x:is>
          <x:t xml:space="preserve">V06</x:t>
        </x:is>
      </x:c>
      <x:c r="D6" s="17" t="inlineStr">
        <x:is>
          <x:t xml:space="preserve">Overload</x:t>
        </x:is>
      </x:c>
      <x:c r="E6" s="17" t="inlineStr">
        <x:is>
          <x:t xml:space="preserve">Heavy bionic</x:t>
        </x:is>
      </x:c>
      <x:c r="F6" s="17" t="inlineStr">
        <x:is>
          <x:t xml:space="preserve">Muted</x:t>
        </x:is>
      </x:c>
      <x:c r="G6" s="24" t="n">
        <x:v>16</x:v>
      </x:c>
      <x:c r="H6" s="24" t="inlineStr">
        <x:is>
          <x:t xml:space="preserve"/>
        </x:is>
      </x:c>
      <x:c r="I6" s="24" t="inlineStr">
        <x:is>
          <x:t xml:space="preserve"/>
        </x:is>
      </x:c>
      <x:c r="J6" s="24" t="inlineStr">
        <x:is>
          <x:t xml:space="preserve"/>
        </x:is>
      </x:c>
      <x:c r="K6" s="24" t="inlineStr">
        <x:is>
          <x:t xml:space="preserve"/>
        </x:is>
      </x:c>
      <x:c r="L6" s="24" t="inlineStr">
        <x:is>
          <x:t xml:space="preserve"/>
        </x:is>
      </x:c>
      <x:c r="M6" s="24" t="inlineStr">
        <x:is>
          <x:t xml:space="preserve"/>
        </x:is>
      </x:c>
      <x:c r="N6" s="24" t="inlineStr">
        <x:is>
          <x:t xml:space="preserve"/>
        </x:is>
      </x:c>
      <x:c r="O6" s="24" t="inlineStr">
        <x:is>
          <x:t xml:space="preserve"/>
        </x:is>
      </x:c>
      <x:c r="P6" s="24" t="inlineStr">
        <x:is>
          <x:t xml:space="preserve"/>
        </x:is>
      </x:c>
      <x:c r="Q6" s="24" t="inlineStr">
        <x:is>
          <x:t xml:space="preserve"/>
        </x:is>
      </x:c>
      <x:c r="R6" s="24" t="inlineStr">
        <x:is>
          <x:t xml:space="preserve"/>
        </x:is>
      </x:c>
      <x:c r="S6" s="25">
        <x:f>IF(H6="","",IFERROR(H6/G6,""))</x:f>
      </x:c>
      <x:c r="T6" s="26">
        <x:f>IF(H6="","",IFERROR((J6+K6+L6+N6)/H6,""))</x:f>
      </x:c>
      <x:c r="U6" s="25">
        <x:f>IF(COUNTA(J6:L6,N6)=0,"",IFERROR(AVERAGE(J6:L6,N6),""))</x:f>
      </x:c>
      <x:c r="V6" s="17" t="inlineStr">
        <x:is>
          <x:t xml:space="preserve"/>
        </x:is>
      </x:c>
    </x:row>
    <x:row r="7">
      <x:c r="A7" s="16" t="inlineStr">
        <x:is>
          <x:t xml:space="preserve">P001</x:t>
        </x:is>
      </x:c>
      <x:c r="B7" s="16" t="n">
        <x:v>3</x:v>
      </x:c>
      <x:c r="C7" s="16" t="inlineStr">
        <x:is>
          <x:t xml:space="preserve">V05</x:t>
        </x:is>
      </x:c>
      <x:c r="D7" s="16" t="inlineStr">
        <x:is>
          <x:t xml:space="preserve">Tutorial</x:t>
        </x:is>
      </x:c>
      <x:c r="E7" s="16" t="inlineStr">
        <x:is>
          <x:t xml:space="preserve">BCC+</x:t>
        </x:is>
      </x:c>
      <x:c r="F7" s="16" t="inlineStr">
        <x:is>
          <x:t xml:space="preserve">Muted</x:t>
        </x:is>
      </x:c>
      <x:c r="G7" s="21" t="n">
        <x:v>20</x:v>
      </x:c>
      <x:c r="H7" s="21" t="inlineStr">
        <x:is>
          <x:t xml:space="preserve"/>
        </x:is>
      </x:c>
      <x:c r="I7" s="21" t="inlineStr">
        <x:is>
          <x:t xml:space="preserve"/>
        </x:is>
      </x:c>
      <x:c r="J7" s="21" t="inlineStr">
        <x:is>
          <x:t xml:space="preserve"/>
        </x:is>
      </x:c>
      <x:c r="K7" s="21" t="inlineStr">
        <x:is>
          <x:t xml:space="preserve"/>
        </x:is>
      </x:c>
      <x:c r="L7" s="21" t="inlineStr">
        <x:is>
          <x:t xml:space="preserve"/>
        </x:is>
      </x:c>
      <x:c r="M7" s="21" t="inlineStr">
        <x:is>
          <x:t xml:space="preserve"/>
        </x:is>
      </x:c>
      <x:c r="N7" s="21" t="inlineStr">
        <x:is>
          <x:t xml:space="preserve"/>
        </x:is>
      </x:c>
      <x:c r="O7" s="21" t="inlineStr">
        <x:is>
          <x:t xml:space="preserve"/>
        </x:is>
      </x:c>
      <x:c r="P7" s="21" t="inlineStr">
        <x:is>
          <x:t xml:space="preserve"/>
        </x:is>
      </x:c>
      <x:c r="Q7" s="21" t="inlineStr">
        <x:is>
          <x:t xml:space="preserve"/>
        </x:is>
      </x:c>
      <x:c r="R7" s="21" t="inlineStr">
        <x:is>
          <x:t xml:space="preserve"/>
        </x:is>
      </x:c>
      <x:c r="S7" s="22">
        <x:f>IF(H7="","",IFERROR(H7/G7,""))</x:f>
      </x:c>
      <x:c r="T7" s="23">
        <x:f>IF(H7="","",IFERROR((J7+K7+L7+N7)/H7,""))</x:f>
      </x:c>
      <x:c r="U7" s="22">
        <x:f>IF(COUNTA(J7:L7,N7)=0,"",IFERROR(AVERAGE(J7:L7,N7),""))</x:f>
      </x:c>
      <x:c r="V7" s="16" t="inlineStr">
        <x:is>
          <x:t xml:space="preserve"/>
        </x:is>
      </x:c>
    </x:row>
    <x:row r="8">
      <x:c r="A8" s="17" t="inlineStr">
        <x:is>
          <x:t xml:space="preserve">P001</x:t>
        </x:is>
      </x:c>
      <x:c r="B8" s="17" t="n">
        <x:v>4</x:v>
      </x:c>
      <x:c r="C8" s="17" t="inlineStr">
        <x:is>
          <x:t xml:space="preserve">V03</x:t>
        </x:is>
      </x:c>
      <x:c r="D8" s="17" t="inlineStr">
        <x:is>
          <x:t xml:space="preserve">Fitness</x:t>
        </x:is>
      </x:c>
      <x:c r="E8" s="17" t="inlineStr">
        <x:is>
          <x:t xml:space="preserve">Semantic compression</x:t>
        </x:is>
      </x:c>
      <x:c r="F8" s="17" t="inlineStr">
        <x:is>
          <x:t xml:space="preserve">Muted</x:t>
        </x:is>
      </x:c>
      <x:c r="G8" s="24" t="n">
        <x:v>18</x:v>
      </x:c>
      <x:c r="H8" s="24" t="inlineStr">
        <x:is>
          <x:t xml:space="preserve"/>
        </x:is>
      </x:c>
      <x:c r="I8" s="24" t="inlineStr">
        <x:is>
          <x:t xml:space="preserve"/>
        </x:is>
      </x:c>
      <x:c r="J8" s="24" t="inlineStr">
        <x:is>
          <x:t xml:space="preserve"/>
        </x:is>
      </x:c>
      <x:c r="K8" s="24" t="inlineStr">
        <x:is>
          <x:t xml:space="preserve"/>
        </x:is>
      </x:c>
      <x:c r="L8" s="24" t="inlineStr">
        <x:is>
          <x:t xml:space="preserve"/>
        </x:is>
      </x:c>
      <x:c r="M8" s="24" t="inlineStr">
        <x:is>
          <x:t xml:space="preserve"/>
        </x:is>
      </x:c>
      <x:c r="N8" s="24" t="inlineStr">
        <x:is>
          <x:t xml:space="preserve"/>
        </x:is>
      </x:c>
      <x:c r="O8" s="24" t="inlineStr">
        <x:is>
          <x:t xml:space="preserve"/>
        </x:is>
      </x:c>
      <x:c r="P8" s="24" t="inlineStr">
        <x:is>
          <x:t xml:space="preserve"/>
        </x:is>
      </x:c>
      <x:c r="Q8" s="24" t="inlineStr">
        <x:is>
          <x:t xml:space="preserve"/>
        </x:is>
      </x:c>
      <x:c r="R8" s="24" t="inlineStr">
        <x:is>
          <x:t xml:space="preserve"/>
        </x:is>
      </x:c>
      <x:c r="S8" s="25">
        <x:f>IF(H8="","",IFERROR(H8/G8,""))</x:f>
      </x:c>
      <x:c r="T8" s="26">
        <x:f>IF(H8="","",IFERROR((J8+K8+L8+N8)/H8,""))</x:f>
      </x:c>
      <x:c r="U8" s="25">
        <x:f>IF(COUNTA(J8:L8,N8)=0,"",IFERROR(AVERAGE(J8:L8,N8),""))</x:f>
      </x:c>
      <x:c r="V8" s="17" t="inlineStr">
        <x:is>
          <x:t xml:space="preserve"/>
        </x:is>
      </x:c>
    </x:row>
    <x:row r="9">
      <x:c r="A9" s="16" t="inlineStr">
        <x:is>
          <x:t xml:space="preserve">P001</x:t>
        </x:is>
      </x:c>
      <x:c r="B9" s="16" t="n">
        <x:v>5</x:v>
      </x:c>
      <x:c r="C9" s="16" t="inlineStr">
        <x:is>
          <x:t xml:space="preserve">V11</x:t>
        </x:is>
      </x:c>
      <x:c r="D9" s="16" t="inlineStr">
        <x:is>
          <x:t xml:space="preserve">Creator strategy</x:t>
        </x:is>
      </x:c>
      <x:c r="E9" s="16" t="inlineStr">
        <x:is>
          <x:t xml:space="preserve">BCC+</x:t>
        </x:is>
      </x:c>
      <x:c r="F9" s="16" t="inlineStr">
        <x:is>
          <x:t xml:space="preserve">Muted</x:t>
        </x:is>
      </x:c>
      <x:c r="G9" s="21" t="n">
        <x:v>17</x:v>
      </x:c>
      <x:c r="H9" s="21" t="inlineStr">
        <x:is>
          <x:t xml:space="preserve"/>
        </x:is>
      </x:c>
      <x:c r="I9" s="21" t="inlineStr">
        <x:is>
          <x:t xml:space="preserve"/>
        </x:is>
      </x:c>
      <x:c r="J9" s="21" t="inlineStr">
        <x:is>
          <x:t xml:space="preserve"/>
        </x:is>
      </x:c>
      <x:c r="K9" s="21" t="inlineStr">
        <x:is>
          <x:t xml:space="preserve"/>
        </x:is>
      </x:c>
      <x:c r="L9" s="21" t="inlineStr">
        <x:is>
          <x:t xml:space="preserve"/>
        </x:is>
      </x:c>
      <x:c r="M9" s="21" t="inlineStr">
        <x:is>
          <x:t xml:space="preserve"/>
        </x:is>
      </x:c>
      <x:c r="N9" s="21" t="inlineStr">
        <x:is>
          <x:t xml:space="preserve"/>
        </x:is>
      </x:c>
      <x:c r="O9" s="21" t="inlineStr">
        <x:is>
          <x:t xml:space="preserve"/>
        </x:is>
      </x:c>
      <x:c r="P9" s="21" t="inlineStr">
        <x:is>
          <x:t xml:space="preserve"/>
        </x:is>
      </x:c>
      <x:c r="Q9" s="21" t="inlineStr">
        <x:is>
          <x:t xml:space="preserve"/>
        </x:is>
      </x:c>
      <x:c r="R9" s="21" t="inlineStr">
        <x:is>
          <x:t xml:space="preserve"/>
        </x:is>
      </x:c>
      <x:c r="S9" s="22">
        <x:f>IF(H9="","",IFERROR(H9/G9,""))</x:f>
      </x:c>
      <x:c r="T9" s="23">
        <x:f>IF(H9="","",IFERROR((J9+K9+L9+N9)/H9,""))</x:f>
      </x:c>
      <x:c r="U9" s="22">
        <x:f>IF(COUNTA(J9:L9,N9)=0,"",IFERROR(AVERAGE(J9:L9,N9),""))</x:f>
      </x:c>
      <x:c r="V9" s="16" t="inlineStr">
        <x:is>
          <x:t xml:space="preserve"/>
        </x:is>
      </x:c>
    </x:row>
    <x:row r="10">
      <x:c r="A10" s="17" t="inlineStr">
        <x:is>
          <x:t xml:space="preserve">P001</x:t>
        </x:is>
      </x:c>
      <x:c r="B10" s="17" t="n">
        <x:v>6</x:v>
      </x:c>
      <x:c r="C10" s="17" t="inlineStr">
        <x:is>
          <x:t xml:space="preserve">V10</x:t>
        </x:is>
      </x:c>
      <x:c r="D10" s="17" t="inlineStr">
        <x:is>
          <x:t xml:space="preserve">Product demo</x:t>
        </x:is>
      </x:c>
      <x:c r="E10" s="17" t="inlineStr">
        <x:is>
          <x:t xml:space="preserve">BCC</x:t>
        </x:is>
      </x:c>
      <x:c r="F10" s="17" t="inlineStr">
        <x:is>
          <x:t xml:space="preserve">Muted</x:t>
        </x:is>
      </x:c>
      <x:c r="G10" s="24" t="n">
        <x:v>15</x:v>
      </x:c>
      <x:c r="H10" s="24" t="inlineStr">
        <x:is>
          <x:t xml:space="preserve"/>
        </x:is>
      </x:c>
      <x:c r="I10" s="24" t="inlineStr">
        <x:is>
          <x:t xml:space="preserve"/>
        </x:is>
      </x:c>
      <x:c r="J10" s="24" t="inlineStr">
        <x:is>
          <x:t xml:space="preserve"/>
        </x:is>
      </x:c>
      <x:c r="K10" s="24" t="inlineStr">
        <x:is>
          <x:t xml:space="preserve"/>
        </x:is>
      </x:c>
      <x:c r="L10" s="24" t="inlineStr">
        <x:is>
          <x:t xml:space="preserve"/>
        </x:is>
      </x:c>
      <x:c r="M10" s="24" t="inlineStr">
        <x:is>
          <x:t xml:space="preserve"/>
        </x:is>
      </x:c>
      <x:c r="N10" s="24" t="inlineStr">
        <x:is>
          <x:t xml:space="preserve"/>
        </x:is>
      </x:c>
      <x:c r="O10" s="24" t="inlineStr">
        <x:is>
          <x:t xml:space="preserve"/>
        </x:is>
      </x:c>
      <x:c r="P10" s="24" t="inlineStr">
        <x:is>
          <x:t xml:space="preserve"/>
        </x:is>
      </x:c>
      <x:c r="Q10" s="24" t="inlineStr">
        <x:is>
          <x:t xml:space="preserve"/>
        </x:is>
      </x:c>
      <x:c r="R10" s="24" t="inlineStr">
        <x:is>
          <x:t xml:space="preserve"/>
        </x:is>
      </x:c>
      <x:c r="S10" s="25">
        <x:f>IF(H10="","",IFERROR(H10/G10,""))</x:f>
      </x:c>
      <x:c r="T10" s="26">
        <x:f>IF(H10="","",IFERROR((J10+K10+L10+N10)/H10,""))</x:f>
      </x:c>
      <x:c r="U10" s="25">
        <x:f>IF(COUNTA(J10:L10,N10)=0,"",IFERROR(AVERAGE(J10:L10,N10),""))</x:f>
      </x:c>
      <x:c r="V10" s="17" t="inlineStr">
        <x:is>
          <x:t xml:space="preserve"/>
        </x:is>
      </x:c>
    </x:row>
    <x:row r="11">
      <x:c r="A11" s="16" t="inlineStr">
        <x:is>
          <x:t xml:space="preserve">P001</x:t>
        </x:is>
      </x:c>
      <x:c r="B11" s="16" t="n">
        <x:v>7</x:v>
      </x:c>
      <x:c r="C11" s="16" t="inlineStr">
        <x:is>
          <x:t xml:space="preserve">V08</x:t>
        </x:is>
      </x:c>
      <x:c r="D11" s="16" t="inlineStr">
        <x:is>
          <x:t xml:space="preserve">Coding</x:t>
        </x:is>
      </x:c>
      <x:c r="E11" s="16" t="inlineStr">
        <x:is>
          <x:t xml:space="preserve">Keyword highlight</x:t>
        </x:is>
      </x:c>
      <x:c r="F11" s="16" t="inlineStr">
        <x:is>
          <x:t xml:space="preserve">Muted</x:t>
        </x:is>
      </x:c>
      <x:c r="G11" s="21" t="n">
        <x:v>24</x:v>
      </x:c>
      <x:c r="H11" s="21" t="inlineStr">
        <x:is>
          <x:t xml:space="preserve"/>
        </x:is>
      </x:c>
      <x:c r="I11" s="21" t="inlineStr">
        <x:is>
          <x:t xml:space="preserve"/>
        </x:is>
      </x:c>
      <x:c r="J11" s="21" t="inlineStr">
        <x:is>
          <x:t xml:space="preserve"/>
        </x:is>
      </x:c>
      <x:c r="K11" s="21" t="inlineStr">
        <x:is>
          <x:t xml:space="preserve"/>
        </x:is>
      </x:c>
      <x:c r="L11" s="21" t="inlineStr">
        <x:is>
          <x:t xml:space="preserve"/>
        </x:is>
      </x:c>
      <x:c r="M11" s="21" t="inlineStr">
        <x:is>
          <x:t xml:space="preserve"/>
        </x:is>
      </x:c>
      <x:c r="N11" s="21" t="inlineStr">
        <x:is>
          <x:t xml:space="preserve"/>
        </x:is>
      </x:c>
      <x:c r="O11" s="21" t="inlineStr">
        <x:is>
          <x:t xml:space="preserve"/>
        </x:is>
      </x:c>
      <x:c r="P11" s="21" t="inlineStr">
        <x:is>
          <x:t xml:space="preserve"/>
        </x:is>
      </x:c>
      <x:c r="Q11" s="21" t="inlineStr">
        <x:is>
          <x:t xml:space="preserve"/>
        </x:is>
      </x:c>
      <x:c r="R11" s="21" t="inlineStr">
        <x:is>
          <x:t xml:space="preserve"/>
        </x:is>
      </x:c>
      <x:c r="S11" s="22">
        <x:f>IF(H11="","",IFERROR(H11/G11,""))</x:f>
      </x:c>
      <x:c r="T11" s="23">
        <x:f>IF(H11="","",IFERROR((J11+K11+L11+N11)/H11,""))</x:f>
      </x:c>
      <x:c r="U11" s="22">
        <x:f>IF(COUNTA(J11:L11,N11)=0,"",IFERROR(AVERAGE(J11:L11,N11),""))</x:f>
      </x:c>
      <x:c r="V11" s="16" t="inlineStr">
        <x:is>
          <x:t xml:space="preserve"/>
        </x:is>
      </x:c>
    </x:row>
    <x:row r="12">
      <x:c r="A12" s="17" t="inlineStr">
        <x:is>
          <x:t xml:space="preserve">P001</x:t>
        </x:is>
      </x:c>
      <x:c r="B12" s="17" t="n">
        <x:v>8</x:v>
      </x:c>
      <x:c r="C12" s="17" t="inlineStr">
        <x:is>
          <x:t xml:space="preserve">V07</x:t>
        </x:is>
      </x:c>
      <x:c r="D12" s="17" t="inlineStr">
        <x:is>
          <x:t xml:space="preserve">Business</x:t>
        </x:is>
      </x:c>
      <x:c r="E12" s="17" t="inlineStr">
        <x:is>
          <x:t xml:space="preserve">Full transcript</x:t>
        </x:is>
      </x:c>
      <x:c r="F12" s="17" t="inlineStr">
        <x:is>
          <x:t xml:space="preserve">Muted</x:t>
        </x:is>
      </x:c>
      <x:c r="G12" s="24" t="n">
        <x:v>18</x:v>
      </x:c>
      <x:c r="H12" s="24" t="inlineStr">
        <x:is>
          <x:t xml:space="preserve"/>
        </x:is>
      </x:c>
      <x:c r="I12" s="24" t="inlineStr">
        <x:is>
          <x:t xml:space="preserve"/>
        </x:is>
      </x:c>
      <x:c r="J12" s="24" t="inlineStr">
        <x:is>
          <x:t xml:space="preserve"/>
        </x:is>
      </x:c>
      <x:c r="K12" s="24" t="inlineStr">
        <x:is>
          <x:t xml:space="preserve"/>
        </x:is>
      </x:c>
      <x:c r="L12" s="24" t="inlineStr">
        <x:is>
          <x:t xml:space="preserve"/>
        </x:is>
      </x:c>
      <x:c r="M12" s="24" t="inlineStr">
        <x:is>
          <x:t xml:space="preserve"/>
        </x:is>
      </x:c>
      <x:c r="N12" s="24" t="inlineStr">
        <x:is>
          <x:t xml:space="preserve"/>
        </x:is>
      </x:c>
      <x:c r="O12" s="24" t="inlineStr">
        <x:is>
          <x:t xml:space="preserve"/>
        </x:is>
      </x:c>
      <x:c r="P12" s="24" t="inlineStr">
        <x:is>
          <x:t xml:space="preserve"/>
        </x:is>
      </x:c>
      <x:c r="Q12" s="24" t="inlineStr">
        <x:is>
          <x:t xml:space="preserve"/>
        </x:is>
      </x:c>
      <x:c r="R12" s="24" t="inlineStr">
        <x:is>
          <x:t xml:space="preserve"/>
        </x:is>
      </x:c>
      <x:c r="S12" s="25">
        <x:f>IF(H12="","",IFERROR(H12/G12,""))</x:f>
      </x:c>
      <x:c r="T12" s="26">
        <x:f>IF(H12="","",IFERROR((J12+K12+L12+N12)/H12,""))</x:f>
      </x:c>
      <x:c r="U12" s="25">
        <x:f>IF(COUNTA(J12:L12,N12)=0,"",IFERROR(AVERAGE(J12:L12,N12),""))</x:f>
      </x:c>
      <x:c r="V12" s="17" t="inlineStr">
        <x:is>
          <x:t xml:space="preserve"/>
        </x:is>
      </x:c>
    </x:row>
    <x:row r="13">
      <x:c r="A13" s="16" t="inlineStr">
        <x:is>
          <x:t xml:space="preserve">P001</x:t>
        </x:is>
      </x:c>
      <x:c r="B13" s="16" t="n">
        <x:v>9</x:v>
      </x:c>
      <x:c r="C13" s="16" t="inlineStr">
        <x:is>
          <x:t xml:space="preserve">V09</x:t>
        </x:is>
      </x:c>
      <x:c r="D13" s="16" t="inlineStr">
        <x:is>
          <x:t xml:space="preserve">Sleep habit</x:t>
        </x:is>
      </x:c>
      <x:c r="E13" s="16" t="inlineStr">
        <x:is>
          <x:t xml:space="preserve">Semantic compression</x:t>
        </x:is>
      </x:c>
      <x:c r="F13" s="16" t="inlineStr">
        <x:is>
          <x:t xml:space="preserve">Muted</x:t>
        </x:is>
      </x:c>
      <x:c r="G13" s="21" t="n">
        <x:v>19</x:v>
      </x:c>
      <x:c r="H13" s="21" t="inlineStr">
        <x:is>
          <x:t xml:space="preserve"/>
        </x:is>
      </x:c>
      <x:c r="I13" s="21" t="inlineStr">
        <x:is>
          <x:t xml:space="preserve"/>
        </x:is>
      </x:c>
      <x:c r="J13" s="21" t="inlineStr">
        <x:is>
          <x:t xml:space="preserve"/>
        </x:is>
      </x:c>
      <x:c r="K13" s="21" t="inlineStr">
        <x:is>
          <x:t xml:space="preserve"/>
        </x:is>
      </x:c>
      <x:c r="L13" s="21" t="inlineStr">
        <x:is>
          <x:t xml:space="preserve"/>
        </x:is>
      </x:c>
      <x:c r="M13" s="21" t="inlineStr">
        <x:is>
          <x:t xml:space="preserve"/>
        </x:is>
      </x:c>
      <x:c r="N13" s="21" t="inlineStr">
        <x:is>
          <x:t xml:space="preserve"/>
        </x:is>
      </x:c>
      <x:c r="O13" s="21" t="inlineStr">
        <x:is>
          <x:t xml:space="preserve"/>
        </x:is>
      </x:c>
      <x:c r="P13" s="21" t="inlineStr">
        <x:is>
          <x:t xml:space="preserve"/>
        </x:is>
      </x:c>
      <x:c r="Q13" s="21" t="inlineStr">
        <x:is>
          <x:t xml:space="preserve"/>
        </x:is>
      </x:c>
      <x:c r="R13" s="21" t="inlineStr">
        <x:is>
          <x:t xml:space="preserve"/>
        </x:is>
      </x:c>
      <x:c r="S13" s="22">
        <x:f>IF(H13="","",IFERROR(H13/G13,""))</x:f>
      </x:c>
      <x:c r="T13" s="23">
        <x:f>IF(H13="","",IFERROR((J13+K13+L13+N13)/H13,""))</x:f>
      </x:c>
      <x:c r="U13" s="22">
        <x:f>IF(COUNTA(J13:L13,N13)=0,"",IFERROR(AVERAGE(J13:L13,N13),""))</x:f>
      </x:c>
      <x:c r="V13" s="16" t="inlineStr">
        <x:is>
          <x:t xml:space="preserve"/>
        </x:is>
      </x:c>
    </x:row>
    <x:row r="14">
      <x:c r="A14" s="17" t="inlineStr">
        <x:is>
          <x:t xml:space="preserve">P001</x:t>
        </x:is>
      </x:c>
      <x:c r="B14" s="17" t="n">
        <x:v>10</x:v>
      </x:c>
      <x:c r="C14" s="17" t="inlineStr">
        <x:is>
          <x:t xml:space="preserve">V02</x:t>
        </x:is>
      </x:c>
      <x:c r="D14" s="17" t="inlineStr">
        <x:is>
          <x:t xml:space="preserve">Study</x:t>
        </x:is>
      </x:c>
      <x:c r="E14" s="17" t="inlineStr">
        <x:is>
          <x:t xml:space="preserve">Keyword highlight</x:t>
        </x:is>
      </x:c>
      <x:c r="F14" s="17" t="inlineStr">
        <x:is>
          <x:t xml:space="preserve">Muted</x:t>
        </x:is>
      </x:c>
      <x:c r="G14" s="24" t="n">
        <x:v>18</x:v>
      </x:c>
      <x:c r="H14" s="24" t="inlineStr">
        <x:is>
          <x:t xml:space="preserve"/>
        </x:is>
      </x:c>
      <x:c r="I14" s="24" t="inlineStr">
        <x:is>
          <x:t xml:space="preserve"/>
        </x:is>
      </x:c>
      <x:c r="J14" s="24" t="inlineStr">
        <x:is>
          <x:t xml:space="preserve"/>
        </x:is>
      </x:c>
      <x:c r="K14" s="24" t="inlineStr">
        <x:is>
          <x:t xml:space="preserve"/>
        </x:is>
      </x:c>
      <x:c r="L14" s="24" t="inlineStr">
        <x:is>
          <x:t xml:space="preserve"/>
        </x:is>
      </x:c>
      <x:c r="M14" s="24" t="inlineStr">
        <x:is>
          <x:t xml:space="preserve"/>
        </x:is>
      </x:c>
      <x:c r="N14" s="24" t="inlineStr">
        <x:is>
          <x:t xml:space="preserve"/>
        </x:is>
      </x:c>
      <x:c r="O14" s="24" t="inlineStr">
        <x:is>
          <x:t xml:space="preserve"/>
        </x:is>
      </x:c>
      <x:c r="P14" s="24" t="inlineStr">
        <x:is>
          <x:t xml:space="preserve"/>
        </x:is>
      </x:c>
      <x:c r="Q14" s="24" t="inlineStr">
        <x:is>
          <x:t xml:space="preserve"/>
        </x:is>
      </x:c>
      <x:c r="R14" s="24" t="inlineStr">
        <x:is>
          <x:t xml:space="preserve"/>
        </x:is>
      </x:c>
      <x:c r="S14" s="25">
        <x:f>IF(H14="","",IFERROR(H14/G14,""))</x:f>
      </x:c>
      <x:c r="T14" s="26">
        <x:f>IF(H14="","",IFERROR((J14+K14+L14+N14)/H14,""))</x:f>
      </x:c>
      <x:c r="U14" s="25">
        <x:f>IF(COUNTA(J14:L14,N14)=0,"",IFERROR(AVERAGE(J14:L14,N14),""))</x:f>
      </x:c>
      <x:c r="V14" s="17" t="inlineStr">
        <x:is>
          <x:t xml:space="preserve"/>
        </x:is>
      </x:c>
    </x:row>
    <x:row r="15">
      <x:c r="A15" s="16" t="inlineStr">
        <x:is>
          <x:t xml:space="preserve">P001</x:t>
        </x:is>
      </x:c>
      <x:c r="B15" s="16" t="n">
        <x:v>11</x:v>
      </x:c>
      <x:c r="C15" s="16" t="inlineStr">
        <x:is>
          <x:t xml:space="preserve">V04</x:t>
        </x:is>
      </x:c>
      <x:c r="D15" s="16" t="inlineStr">
        <x:is>
          <x:t xml:space="preserve">Finance</x:t>
        </x:is>
      </x:c>
      <x:c r="E15" s="16" t="inlineStr">
        <x:is>
          <x:t xml:space="preserve">BCC</x:t>
        </x:is>
      </x:c>
      <x:c r="F15" s="16" t="inlineStr">
        <x:is>
          <x:t xml:space="preserve">Muted</x:t>
        </x:is>
      </x:c>
      <x:c r="G15" s="21" t="n">
        <x:v>20</x:v>
      </x:c>
      <x:c r="H15" s="21" t="inlineStr">
        <x:is>
          <x:t xml:space="preserve"/>
        </x:is>
      </x:c>
      <x:c r="I15" s="21" t="inlineStr">
        <x:is>
          <x:t xml:space="preserve"/>
        </x:is>
      </x:c>
      <x:c r="J15" s="21" t="inlineStr">
        <x:is>
          <x:t xml:space="preserve"/>
        </x:is>
      </x:c>
      <x:c r="K15" s="21" t="inlineStr">
        <x:is>
          <x:t xml:space="preserve"/>
        </x:is>
      </x:c>
      <x:c r="L15" s="21" t="inlineStr">
        <x:is>
          <x:t xml:space="preserve"/>
        </x:is>
      </x:c>
      <x:c r="M15" s="21" t="inlineStr">
        <x:is>
          <x:t xml:space="preserve"/>
        </x:is>
      </x:c>
      <x:c r="N15" s="21" t="inlineStr">
        <x:is>
          <x:t xml:space="preserve"/>
        </x:is>
      </x:c>
      <x:c r="O15" s="21" t="inlineStr">
        <x:is>
          <x:t xml:space="preserve"/>
        </x:is>
      </x:c>
      <x:c r="P15" s="21" t="inlineStr">
        <x:is>
          <x:t xml:space="preserve"/>
        </x:is>
      </x:c>
      <x:c r="Q15" s="21" t="inlineStr">
        <x:is>
          <x:t xml:space="preserve"/>
        </x:is>
      </x:c>
      <x:c r="R15" s="21" t="inlineStr">
        <x:is>
          <x:t xml:space="preserve"/>
        </x:is>
      </x:c>
      <x:c r="S15" s="22">
        <x:f>IF(H15="","",IFERROR(H15/G15,""))</x:f>
      </x:c>
      <x:c r="T15" s="23">
        <x:f>IF(H15="","",IFERROR((J15+K15+L15+N15)/H15,""))</x:f>
      </x:c>
      <x:c r="U15" s="22">
        <x:f>IF(COUNTA(J15:L15,N15)=0,"",IFERROR(AVERAGE(J15:L15,N15),""))</x:f>
      </x:c>
      <x:c r="V15" s="16" t="inlineStr">
        <x:is>
          <x:t xml:space="preserve"/>
        </x:is>
      </x:c>
    </x:row>
    <x:row r="16">
      <x:c r="A16" s="17" t="inlineStr">
        <x:is>
          <x:t xml:space="preserve">P001</x:t>
        </x:is>
      </x:c>
      <x:c r="B16" s="17" t="n">
        <x:v>12</x:v>
      </x:c>
      <x:c r="C16" s="17" t="inlineStr">
        <x:is>
          <x:t xml:space="preserve">V01</x:t>
        </x:is>
      </x:c>
      <x:c r="D16" s="17" t="inlineStr">
        <x:is>
          <x:t xml:space="preserve">Productivity</x:t>
        </x:is>
      </x:c>
      <x:c r="E16" s="17" t="inlineStr">
        <x:is>
          <x:t xml:space="preserve">Full transcript</x:t>
        </x:is>
      </x:c>
      <x:c r="F16" s="17" t="inlineStr">
        <x:is>
          <x:t xml:space="preserve">Muted</x:t>
        </x:is>
      </x:c>
      <x:c r="G16" s="24" t="n">
        <x:v>25</x:v>
      </x:c>
      <x:c r="H16" s="24" t="inlineStr">
        <x:is>
          <x:t xml:space="preserve"/>
        </x:is>
      </x:c>
      <x:c r="I16" s="24" t="inlineStr">
        <x:is>
          <x:t xml:space="preserve"/>
        </x:is>
      </x:c>
      <x:c r="J16" s="24" t="inlineStr">
        <x:is>
          <x:t xml:space="preserve"/>
        </x:is>
      </x:c>
      <x:c r="K16" s="24" t="inlineStr">
        <x:is>
          <x:t xml:space="preserve"/>
        </x:is>
      </x:c>
      <x:c r="L16" s="24" t="inlineStr">
        <x:is>
          <x:t xml:space="preserve"/>
        </x:is>
      </x:c>
      <x:c r="M16" s="24" t="inlineStr">
        <x:is>
          <x:t xml:space="preserve"/>
        </x:is>
      </x:c>
      <x:c r="N16" s="24" t="inlineStr">
        <x:is>
          <x:t xml:space="preserve"/>
        </x:is>
      </x:c>
      <x:c r="O16" s="24" t="inlineStr">
        <x:is>
          <x:t xml:space="preserve"/>
        </x:is>
      </x:c>
      <x:c r="P16" s="24" t="inlineStr">
        <x:is>
          <x:t xml:space="preserve"/>
        </x:is>
      </x:c>
      <x:c r="Q16" s="24" t="inlineStr">
        <x:is>
          <x:t xml:space="preserve"/>
        </x:is>
      </x:c>
      <x:c r="R16" s="24" t="inlineStr">
        <x:is>
          <x:t xml:space="preserve"/>
        </x:is>
      </x:c>
      <x:c r="S16" s="25">
        <x:f>IF(H16="","",IFERROR(H16/G16,""))</x:f>
      </x:c>
      <x:c r="T16" s="26">
        <x:f>IF(H16="","",IFERROR((J16+K16+L16+N16)/H16,""))</x:f>
      </x:c>
      <x:c r="U16" s="25">
        <x:f>IF(COUNTA(J16:L16,N16)=0,"",IFERROR(AVERAGE(J16:L16,N16),""))</x:f>
      </x:c>
      <x:c r="V16" s="17" t="inlineStr">
        <x:is>
          <x:t xml:space="preserve"/>
        </x:is>
      </x:c>
    </x:row>
    <x:row r="17">
      <x:c r="A17" s="16" t="inlineStr">
        <x:is>
          <x:t xml:space="preserve">P002</x:t>
        </x:is>
      </x:c>
      <x:c r="B17" s="16" t="n">
        <x:v>1</x:v>
      </x:c>
      <x:c r="C17" s="16" t="inlineStr">
        <x:is>
          <x:t xml:space="preserve">V05</x:t>
        </x:is>
      </x:c>
      <x:c r="D17" s="16" t="inlineStr">
        <x:is>
          <x:t xml:space="preserve">Tutorial</x:t>
        </x:is>
      </x:c>
      <x:c r="E17" s="16" t="inlineStr">
        <x:is>
          <x:t xml:space="preserve">Heavy bionic</x:t>
        </x:is>
      </x:c>
      <x:c r="F17" s="16" t="inlineStr">
        <x:is>
          <x:t xml:space="preserve">Muted</x:t>
        </x:is>
      </x:c>
      <x:c r="G17" s="21" t="n">
        <x:v>20</x:v>
      </x:c>
      <x:c r="H17" s="21" t="inlineStr">
        <x:is>
          <x:t xml:space="preserve"/>
        </x:is>
      </x:c>
      <x:c r="I17" s="21" t="inlineStr">
        <x:is>
          <x:t xml:space="preserve"/>
        </x:is>
      </x:c>
      <x:c r="J17" s="21" t="inlineStr">
        <x:is>
          <x:t xml:space="preserve"/>
        </x:is>
      </x:c>
      <x:c r="K17" s="21" t="inlineStr">
        <x:is>
          <x:t xml:space="preserve"/>
        </x:is>
      </x:c>
      <x:c r="L17" s="21" t="inlineStr">
        <x:is>
          <x:t xml:space="preserve"/>
        </x:is>
      </x:c>
      <x:c r="M17" s="21" t="inlineStr">
        <x:is>
          <x:t xml:space="preserve"/>
        </x:is>
      </x:c>
      <x:c r="N17" s="21" t="inlineStr">
        <x:is>
          <x:t xml:space="preserve"/>
        </x:is>
      </x:c>
      <x:c r="O17" s="21" t="inlineStr">
        <x:is>
          <x:t xml:space="preserve"/>
        </x:is>
      </x:c>
      <x:c r="P17" s="21" t="inlineStr">
        <x:is>
          <x:t xml:space="preserve"/>
        </x:is>
      </x:c>
      <x:c r="Q17" s="21" t="inlineStr">
        <x:is>
          <x:t xml:space="preserve"/>
        </x:is>
      </x:c>
      <x:c r="R17" s="21" t="inlineStr">
        <x:is>
          <x:t xml:space="preserve"/>
        </x:is>
      </x:c>
      <x:c r="S17" s="22">
        <x:f>IF(H17="","",IFERROR(H17/G17,""))</x:f>
      </x:c>
      <x:c r="T17" s="23">
        <x:f>IF(H17="","",IFERROR((J17+K17+L17+N17)/H17,""))</x:f>
      </x:c>
      <x:c r="U17" s="22">
        <x:f>IF(COUNTA(J17:L17,N17)=0,"",IFERROR(AVERAGE(J17:L17,N17),""))</x:f>
      </x:c>
      <x:c r="V17" s="16" t="inlineStr">
        <x:is>
          <x:t xml:space="preserve"/>
        </x:is>
      </x:c>
    </x:row>
    <x:row r="18">
      <x:c r="A18" s="17" t="inlineStr">
        <x:is>
          <x:t xml:space="preserve">P002</x:t>
        </x:is>
      </x:c>
      <x:c r="B18" s="17" t="n">
        <x:v>2</x:v>
      </x:c>
      <x:c r="C18" s="17" t="inlineStr">
        <x:is>
          <x:t xml:space="preserve">V01</x:t>
        </x:is>
      </x:c>
      <x:c r="D18" s="17" t="inlineStr">
        <x:is>
          <x:t xml:space="preserve">Productivity</x:t>
        </x:is>
      </x:c>
      <x:c r="E18" s="17" t="inlineStr">
        <x:is>
          <x:t xml:space="preserve">Keyword highlight</x:t>
        </x:is>
      </x:c>
      <x:c r="F18" s="17" t="inlineStr">
        <x:is>
          <x:t xml:space="preserve">Muted</x:t>
        </x:is>
      </x:c>
      <x:c r="G18" s="24" t="n">
        <x:v>25</x:v>
      </x:c>
      <x:c r="H18" s="24" t="inlineStr">
        <x:is>
          <x:t xml:space="preserve"/>
        </x:is>
      </x:c>
      <x:c r="I18" s="24" t="inlineStr">
        <x:is>
          <x:t xml:space="preserve"/>
        </x:is>
      </x:c>
      <x:c r="J18" s="24" t="inlineStr">
        <x:is>
          <x:t xml:space="preserve"/>
        </x:is>
      </x:c>
      <x:c r="K18" s="24" t="inlineStr">
        <x:is>
          <x:t xml:space="preserve"/>
        </x:is>
      </x:c>
      <x:c r="L18" s="24" t="inlineStr">
        <x:is>
          <x:t xml:space="preserve"/>
        </x:is>
      </x:c>
      <x:c r="M18" s="24" t="inlineStr">
        <x:is>
          <x:t xml:space="preserve"/>
        </x:is>
      </x:c>
      <x:c r="N18" s="24" t="inlineStr">
        <x:is>
          <x:t xml:space="preserve"/>
        </x:is>
      </x:c>
      <x:c r="O18" s="24" t="inlineStr">
        <x:is>
          <x:t xml:space="preserve"/>
        </x:is>
      </x:c>
      <x:c r="P18" s="24" t="inlineStr">
        <x:is>
          <x:t xml:space="preserve"/>
        </x:is>
      </x:c>
      <x:c r="Q18" s="24" t="inlineStr">
        <x:is>
          <x:t xml:space="preserve"/>
        </x:is>
      </x:c>
      <x:c r="R18" s="24" t="inlineStr">
        <x:is>
          <x:t xml:space="preserve"/>
        </x:is>
      </x:c>
      <x:c r="S18" s="25">
        <x:f>IF(H18="","",IFERROR(H18/G18,""))</x:f>
      </x:c>
      <x:c r="T18" s="26">
        <x:f>IF(H18="","",IFERROR((J18+K18+L18+N18)/H18,""))</x:f>
      </x:c>
      <x:c r="U18" s="25">
        <x:f>IF(COUNTA(J18:L18,N18)=0,"",IFERROR(AVERAGE(J18:L18,N18),""))</x:f>
      </x:c>
      <x:c r="V18" s="17" t="inlineStr">
        <x:is>
          <x:t xml:space="preserve"/>
        </x:is>
      </x:c>
    </x:row>
    <x:row r="19">
      <x:c r="A19" s="16" t="inlineStr">
        <x:is>
          <x:t xml:space="preserve">P002</x:t>
        </x:is>
      </x:c>
      <x:c r="B19" s="16" t="n">
        <x:v>3</x:v>
      </x:c>
      <x:c r="C19" s="16" t="inlineStr">
        <x:is>
          <x:t xml:space="preserve">V06</x:t>
        </x:is>
      </x:c>
      <x:c r="D19" s="16" t="inlineStr">
        <x:is>
          <x:t xml:space="preserve">Overload</x:t>
        </x:is>
      </x:c>
      <x:c r="E19" s="16" t="inlineStr">
        <x:is>
          <x:t xml:space="preserve">Full transcript</x:t>
        </x:is>
      </x:c>
      <x:c r="F19" s="16" t="inlineStr">
        <x:is>
          <x:t xml:space="preserve">Muted</x:t>
        </x:is>
      </x:c>
      <x:c r="G19" s="21" t="n">
        <x:v>16</x:v>
      </x:c>
      <x:c r="H19" s="21" t="inlineStr">
        <x:is>
          <x:t xml:space="preserve"/>
        </x:is>
      </x:c>
      <x:c r="I19" s="21" t="inlineStr">
        <x:is>
          <x:t xml:space="preserve"/>
        </x:is>
      </x:c>
      <x:c r="J19" s="21" t="inlineStr">
        <x:is>
          <x:t xml:space="preserve"/>
        </x:is>
      </x:c>
      <x:c r="K19" s="21" t="inlineStr">
        <x:is>
          <x:t xml:space="preserve"/>
        </x:is>
      </x:c>
      <x:c r="L19" s="21" t="inlineStr">
        <x:is>
          <x:t xml:space="preserve"/>
        </x:is>
      </x:c>
      <x:c r="M19" s="21" t="inlineStr">
        <x:is>
          <x:t xml:space="preserve"/>
        </x:is>
      </x:c>
      <x:c r="N19" s="21" t="inlineStr">
        <x:is>
          <x:t xml:space="preserve"/>
        </x:is>
      </x:c>
      <x:c r="O19" s="21" t="inlineStr">
        <x:is>
          <x:t xml:space="preserve"/>
        </x:is>
      </x:c>
      <x:c r="P19" s="21" t="inlineStr">
        <x:is>
          <x:t xml:space="preserve"/>
        </x:is>
      </x:c>
      <x:c r="Q19" s="21" t="inlineStr">
        <x:is>
          <x:t xml:space="preserve"/>
        </x:is>
      </x:c>
      <x:c r="R19" s="21" t="inlineStr">
        <x:is>
          <x:t xml:space="preserve"/>
        </x:is>
      </x:c>
      <x:c r="S19" s="22">
        <x:f>IF(H19="","",IFERROR(H19/G19,""))</x:f>
      </x:c>
      <x:c r="T19" s="23">
        <x:f>IF(H19="","",IFERROR((J19+K19+L19+N19)/H19,""))</x:f>
      </x:c>
      <x:c r="U19" s="22">
        <x:f>IF(COUNTA(J19:L19,N19)=0,"",IFERROR(AVERAGE(J19:L19,N19),""))</x:f>
      </x:c>
      <x:c r="V19" s="16" t="inlineStr">
        <x:is>
          <x:t xml:space="preserve"/>
        </x:is>
      </x:c>
    </x:row>
    <x:row r="20">
      <x:c r="A20" s="17" t="inlineStr">
        <x:is>
          <x:t xml:space="preserve">P002</x:t>
        </x:is>
      </x:c>
      <x:c r="B20" s="17" t="n">
        <x:v>4</x:v>
      </x:c>
      <x:c r="C20" s="17" t="inlineStr">
        <x:is>
          <x:t xml:space="preserve">V11</x:t>
        </x:is>
      </x:c>
      <x:c r="D20" s="17" t="inlineStr">
        <x:is>
          <x:t xml:space="preserve">Creator strategy</x:t>
        </x:is>
      </x:c>
      <x:c r="E20" s="17" t="inlineStr">
        <x:is>
          <x:t xml:space="preserve">Heavy bionic</x:t>
        </x:is>
      </x:c>
      <x:c r="F20" s="17" t="inlineStr">
        <x:is>
          <x:t xml:space="preserve">Muted</x:t>
        </x:is>
      </x:c>
      <x:c r="G20" s="24" t="n">
        <x:v>17</x:v>
      </x:c>
      <x:c r="H20" s="24" t="inlineStr">
        <x:is>
          <x:t xml:space="preserve"/>
        </x:is>
      </x:c>
      <x:c r="I20" s="24" t="inlineStr">
        <x:is>
          <x:t xml:space="preserve"/>
        </x:is>
      </x:c>
      <x:c r="J20" s="24" t="inlineStr">
        <x:is>
          <x:t xml:space="preserve"/>
        </x:is>
      </x:c>
      <x:c r="K20" s="24" t="inlineStr">
        <x:is>
          <x:t xml:space="preserve"/>
        </x:is>
      </x:c>
      <x:c r="L20" s="24" t="inlineStr">
        <x:is>
          <x:t xml:space="preserve"/>
        </x:is>
      </x:c>
      <x:c r="M20" s="24" t="inlineStr">
        <x:is>
          <x:t xml:space="preserve"/>
        </x:is>
      </x:c>
      <x:c r="N20" s="24" t="inlineStr">
        <x:is>
          <x:t xml:space="preserve"/>
        </x:is>
      </x:c>
      <x:c r="O20" s="24" t="inlineStr">
        <x:is>
          <x:t xml:space="preserve"/>
        </x:is>
      </x:c>
      <x:c r="P20" s="24" t="inlineStr">
        <x:is>
          <x:t xml:space="preserve"/>
        </x:is>
      </x:c>
      <x:c r="Q20" s="24" t="inlineStr">
        <x:is>
          <x:t xml:space="preserve"/>
        </x:is>
      </x:c>
      <x:c r="R20" s="24" t="inlineStr">
        <x:is>
          <x:t xml:space="preserve"/>
        </x:is>
      </x:c>
      <x:c r="S20" s="25">
        <x:f>IF(H20="","",IFERROR(H20/G20,""))</x:f>
      </x:c>
      <x:c r="T20" s="26">
        <x:f>IF(H20="","",IFERROR((J20+K20+L20+N20)/H20,""))</x:f>
      </x:c>
      <x:c r="U20" s="25">
        <x:f>IF(COUNTA(J20:L20,N20)=0,"",IFERROR(AVERAGE(J20:L20,N20),""))</x:f>
      </x:c>
      <x:c r="V20" s="17" t="inlineStr">
        <x:is>
          <x:t xml:space="preserve"/>
        </x:is>
      </x:c>
    </x:row>
    <x:row r="21">
      <x:c r="A21" s="16" t="inlineStr">
        <x:is>
          <x:t xml:space="preserve">P002</x:t>
        </x:is>
      </x:c>
      <x:c r="B21" s="16" t="n">
        <x:v>5</x:v>
      </x:c>
      <x:c r="C21" s="16" t="inlineStr">
        <x:is>
          <x:t xml:space="preserve">V12</x:t>
        </x:is>
      </x:c>
      <x:c r="D21" s="16" t="inlineStr">
        <x:is>
          <x:t xml:space="preserve">Time management</x:t>
        </x:is>
      </x:c>
      <x:c r="E21" s="16" t="inlineStr">
        <x:is>
          <x:t xml:space="preserve">Full transcript</x:t>
        </x:is>
      </x:c>
      <x:c r="F21" s="16" t="inlineStr">
        <x:is>
          <x:t xml:space="preserve">Muted</x:t>
        </x:is>
      </x:c>
      <x:c r="G21" s="21" t="n">
        <x:v>21</x:v>
      </x:c>
      <x:c r="H21" s="21" t="inlineStr">
        <x:is>
          <x:t xml:space="preserve"/>
        </x:is>
      </x:c>
      <x:c r="I21" s="21" t="inlineStr">
        <x:is>
          <x:t xml:space="preserve"/>
        </x:is>
      </x:c>
      <x:c r="J21" s="21" t="inlineStr">
        <x:is>
          <x:t xml:space="preserve"/>
        </x:is>
      </x:c>
      <x:c r="K21" s="21" t="inlineStr">
        <x:is>
          <x:t xml:space="preserve"/>
        </x:is>
      </x:c>
      <x:c r="L21" s="21" t="inlineStr">
        <x:is>
          <x:t xml:space="preserve"/>
        </x:is>
      </x:c>
      <x:c r="M21" s="21" t="inlineStr">
        <x:is>
          <x:t xml:space="preserve"/>
        </x:is>
      </x:c>
      <x:c r="N21" s="21" t="inlineStr">
        <x:is>
          <x:t xml:space="preserve"/>
        </x:is>
      </x:c>
      <x:c r="O21" s="21" t="inlineStr">
        <x:is>
          <x:t xml:space="preserve"/>
        </x:is>
      </x:c>
      <x:c r="P21" s="21" t="inlineStr">
        <x:is>
          <x:t xml:space="preserve"/>
        </x:is>
      </x:c>
      <x:c r="Q21" s="21" t="inlineStr">
        <x:is>
          <x:t xml:space="preserve"/>
        </x:is>
      </x:c>
      <x:c r="R21" s="21" t="inlineStr">
        <x:is>
          <x:t xml:space="preserve"/>
        </x:is>
      </x:c>
      <x:c r="S21" s="22">
        <x:f>IF(H21="","",IFERROR(H21/G21,""))</x:f>
      </x:c>
      <x:c r="T21" s="23">
        <x:f>IF(H21="","",IFERROR((J21+K21+L21+N21)/H21,""))</x:f>
      </x:c>
      <x:c r="U21" s="22">
        <x:f>IF(COUNTA(J21:L21,N21)=0,"",IFERROR(AVERAGE(J21:L21,N21),""))</x:f>
      </x:c>
      <x:c r="V21" s="16" t="inlineStr">
        <x:is>
          <x:t xml:space="preserve"/>
        </x:is>
      </x:c>
    </x:row>
    <x:row r="22">
      <x:c r="A22" s="17" t="inlineStr">
        <x:is>
          <x:t xml:space="preserve">P002</x:t>
        </x:is>
      </x:c>
      <x:c r="B22" s="17" t="n">
        <x:v>6</x:v>
      </x:c>
      <x:c r="C22" s="17" t="inlineStr">
        <x:is>
          <x:t xml:space="preserve">V08</x:t>
        </x:is>
      </x:c>
      <x:c r="D22" s="17" t="inlineStr">
        <x:is>
          <x:t xml:space="preserve">Coding</x:t>
        </x:is>
      </x:c>
      <x:c r="E22" s="17" t="inlineStr">
        <x:is>
          <x:t xml:space="preserve">Semantic compression</x:t>
        </x:is>
      </x:c>
      <x:c r="F22" s="17" t="inlineStr">
        <x:is>
          <x:t xml:space="preserve">Muted</x:t>
        </x:is>
      </x:c>
      <x:c r="G22" s="24" t="n">
        <x:v>24</x:v>
      </x:c>
      <x:c r="H22" s="24" t="inlineStr">
        <x:is>
          <x:t xml:space="preserve"/>
        </x:is>
      </x:c>
      <x:c r="I22" s="24" t="inlineStr">
        <x:is>
          <x:t xml:space="preserve"/>
        </x:is>
      </x:c>
      <x:c r="J22" s="24" t="inlineStr">
        <x:is>
          <x:t xml:space="preserve"/>
        </x:is>
      </x:c>
      <x:c r="K22" s="24" t="inlineStr">
        <x:is>
          <x:t xml:space="preserve"/>
        </x:is>
      </x:c>
      <x:c r="L22" s="24" t="inlineStr">
        <x:is>
          <x:t xml:space="preserve"/>
        </x:is>
      </x:c>
      <x:c r="M22" s="24" t="inlineStr">
        <x:is>
          <x:t xml:space="preserve"/>
        </x:is>
      </x:c>
      <x:c r="N22" s="24" t="inlineStr">
        <x:is>
          <x:t xml:space="preserve"/>
        </x:is>
      </x:c>
      <x:c r="O22" s="24" t="inlineStr">
        <x:is>
          <x:t xml:space="preserve"/>
        </x:is>
      </x:c>
      <x:c r="P22" s="24" t="inlineStr">
        <x:is>
          <x:t xml:space="preserve"/>
        </x:is>
      </x:c>
      <x:c r="Q22" s="24" t="inlineStr">
        <x:is>
          <x:t xml:space="preserve"/>
        </x:is>
      </x:c>
      <x:c r="R22" s="24" t="inlineStr">
        <x:is>
          <x:t xml:space="preserve"/>
        </x:is>
      </x:c>
      <x:c r="S22" s="25">
        <x:f>IF(H22="","",IFERROR(H22/G22,""))</x:f>
      </x:c>
      <x:c r="T22" s="26">
        <x:f>IF(H22="","",IFERROR((J22+K22+L22+N22)/H22,""))</x:f>
      </x:c>
      <x:c r="U22" s="25">
        <x:f>IF(COUNTA(J22:L22,N22)=0,"",IFERROR(AVERAGE(J22:L22,N22),""))</x:f>
      </x:c>
      <x:c r="V22" s="17" t="inlineStr">
        <x:is>
          <x:t xml:space="preserve"/>
        </x:is>
      </x:c>
    </x:row>
    <x:row r="23">
      <x:c r="A23" s="16" t="inlineStr">
        <x:is>
          <x:t xml:space="preserve">P002</x:t>
        </x:is>
      </x:c>
      <x:c r="B23" s="16" t="n">
        <x:v>7</x:v>
      </x:c>
      <x:c r="C23" s="16" t="inlineStr">
        <x:is>
          <x:t xml:space="preserve">V02</x:t>
        </x:is>
      </x:c>
      <x:c r="D23" s="16" t="inlineStr">
        <x:is>
          <x:t xml:space="preserve">Study</x:t>
        </x:is>
      </x:c>
      <x:c r="E23" s="16" t="inlineStr">
        <x:is>
          <x:t xml:space="preserve">Semantic compression</x:t>
        </x:is>
      </x:c>
      <x:c r="F23" s="16" t="inlineStr">
        <x:is>
          <x:t xml:space="preserve">Muted</x:t>
        </x:is>
      </x:c>
      <x:c r="G23" s="21" t="n">
        <x:v>18</x:v>
      </x:c>
      <x:c r="H23" s="21" t="inlineStr">
        <x:is>
          <x:t xml:space="preserve"/>
        </x:is>
      </x:c>
      <x:c r="I23" s="21" t="inlineStr">
        <x:is>
          <x:t xml:space="preserve"/>
        </x:is>
      </x:c>
      <x:c r="J23" s="21" t="inlineStr">
        <x:is>
          <x:t xml:space="preserve"/>
        </x:is>
      </x:c>
      <x:c r="K23" s="21" t="inlineStr">
        <x:is>
          <x:t xml:space="preserve"/>
        </x:is>
      </x:c>
      <x:c r="L23" s="21" t="inlineStr">
        <x:is>
          <x:t xml:space="preserve"/>
        </x:is>
      </x:c>
      <x:c r="M23" s="21" t="inlineStr">
        <x:is>
          <x:t xml:space="preserve"/>
        </x:is>
      </x:c>
      <x:c r="N23" s="21" t="inlineStr">
        <x:is>
          <x:t xml:space="preserve"/>
        </x:is>
      </x:c>
      <x:c r="O23" s="21" t="inlineStr">
        <x:is>
          <x:t xml:space="preserve"/>
        </x:is>
      </x:c>
      <x:c r="P23" s="21" t="inlineStr">
        <x:is>
          <x:t xml:space="preserve"/>
        </x:is>
      </x:c>
      <x:c r="Q23" s="21" t="inlineStr">
        <x:is>
          <x:t xml:space="preserve"/>
        </x:is>
      </x:c>
      <x:c r="R23" s="21" t="inlineStr">
        <x:is>
          <x:t xml:space="preserve"/>
        </x:is>
      </x:c>
      <x:c r="S23" s="22">
        <x:f>IF(H23="","",IFERROR(H23/G23,""))</x:f>
      </x:c>
      <x:c r="T23" s="23">
        <x:f>IF(H23="","",IFERROR((J23+K23+L23+N23)/H23,""))</x:f>
      </x:c>
      <x:c r="U23" s="22">
        <x:f>IF(COUNTA(J23:L23,N23)=0,"",IFERROR(AVERAGE(J23:L23,N23),""))</x:f>
      </x:c>
      <x:c r="V23" s="16" t="inlineStr">
        <x:is>
          <x:t xml:space="preserve"/>
        </x:is>
      </x:c>
    </x:row>
    <x:row r="24">
      <x:c r="A24" s="17" t="inlineStr">
        <x:is>
          <x:t xml:space="preserve">P002</x:t>
        </x:is>
      </x:c>
      <x:c r="B24" s="17" t="n">
        <x:v>8</x:v>
      </x:c>
      <x:c r="C24" s="17" t="inlineStr">
        <x:is>
          <x:t xml:space="preserve">V03</x:t>
        </x:is>
      </x:c>
      <x:c r="D24" s="17" t="inlineStr">
        <x:is>
          <x:t xml:space="preserve">Fitness</x:t>
        </x:is>
      </x:c>
      <x:c r="E24" s="17" t="inlineStr">
        <x:is>
          <x:t xml:space="preserve">BCC</x:t>
        </x:is>
      </x:c>
      <x:c r="F24" s="17" t="inlineStr">
        <x:is>
          <x:t xml:space="preserve">Muted</x:t>
        </x:is>
      </x:c>
      <x:c r="G24" s="24" t="n">
        <x:v>18</x:v>
      </x:c>
      <x:c r="H24" s="24" t="inlineStr">
        <x:is>
          <x:t xml:space="preserve"/>
        </x:is>
      </x:c>
      <x:c r="I24" s="24" t="inlineStr">
        <x:is>
          <x:t xml:space="preserve"/>
        </x:is>
      </x:c>
      <x:c r="J24" s="24" t="inlineStr">
        <x:is>
          <x:t xml:space="preserve"/>
        </x:is>
      </x:c>
      <x:c r="K24" s="24" t="inlineStr">
        <x:is>
          <x:t xml:space="preserve"/>
        </x:is>
      </x:c>
      <x:c r="L24" s="24" t="inlineStr">
        <x:is>
          <x:t xml:space="preserve"/>
        </x:is>
      </x:c>
      <x:c r="M24" s="24" t="inlineStr">
        <x:is>
          <x:t xml:space="preserve"/>
        </x:is>
      </x:c>
      <x:c r="N24" s="24" t="inlineStr">
        <x:is>
          <x:t xml:space="preserve"/>
        </x:is>
      </x:c>
      <x:c r="O24" s="24" t="inlineStr">
        <x:is>
          <x:t xml:space="preserve"/>
        </x:is>
      </x:c>
      <x:c r="P24" s="24" t="inlineStr">
        <x:is>
          <x:t xml:space="preserve"/>
        </x:is>
      </x:c>
      <x:c r="Q24" s="24" t="inlineStr">
        <x:is>
          <x:t xml:space="preserve"/>
        </x:is>
      </x:c>
      <x:c r="R24" s="24" t="inlineStr">
        <x:is>
          <x:t xml:space="preserve"/>
        </x:is>
      </x:c>
      <x:c r="S24" s="25">
        <x:f>IF(H24="","",IFERROR(H24/G24,""))</x:f>
      </x:c>
      <x:c r="T24" s="26">
        <x:f>IF(H24="","",IFERROR((J24+K24+L24+N24)/H24,""))</x:f>
      </x:c>
      <x:c r="U24" s="25">
        <x:f>IF(COUNTA(J24:L24,N24)=0,"",IFERROR(AVERAGE(J24:L24,N24),""))</x:f>
      </x:c>
      <x:c r="V24" s="17" t="inlineStr">
        <x:is>
          <x:t xml:space="preserve"/>
        </x:is>
      </x:c>
    </x:row>
    <x:row r="25">
      <x:c r="A25" s="16" t="inlineStr">
        <x:is>
          <x:t xml:space="preserve">P002</x:t>
        </x:is>
      </x:c>
      <x:c r="B25" s="16" t="n">
        <x:v>9</x:v>
      </x:c>
      <x:c r="C25" s="16" t="inlineStr">
        <x:is>
          <x:t xml:space="preserve">V04</x:t>
        </x:is>
      </x:c>
      <x:c r="D25" s="16" t="inlineStr">
        <x:is>
          <x:t xml:space="preserve">Finance</x:t>
        </x:is>
      </x:c>
      <x:c r="E25" s="16" t="inlineStr">
        <x:is>
          <x:t xml:space="preserve">BCC+</x:t>
        </x:is>
      </x:c>
      <x:c r="F25" s="16" t="inlineStr">
        <x:is>
          <x:t xml:space="preserve">Muted</x:t>
        </x:is>
      </x:c>
      <x:c r="G25" s="21" t="n">
        <x:v>20</x:v>
      </x:c>
      <x:c r="H25" s="21" t="inlineStr">
        <x:is>
          <x:t xml:space="preserve"/>
        </x:is>
      </x:c>
      <x:c r="I25" s="21" t="inlineStr">
        <x:is>
          <x:t xml:space="preserve"/>
        </x:is>
      </x:c>
      <x:c r="J25" s="21" t="inlineStr">
        <x:is>
          <x:t xml:space="preserve"/>
        </x:is>
      </x:c>
      <x:c r="K25" s="21" t="inlineStr">
        <x:is>
          <x:t xml:space="preserve"/>
        </x:is>
      </x:c>
      <x:c r="L25" s="21" t="inlineStr">
        <x:is>
          <x:t xml:space="preserve"/>
        </x:is>
      </x:c>
      <x:c r="M25" s="21" t="inlineStr">
        <x:is>
          <x:t xml:space="preserve"/>
        </x:is>
      </x:c>
      <x:c r="N25" s="21" t="inlineStr">
        <x:is>
          <x:t xml:space="preserve"/>
        </x:is>
      </x:c>
      <x:c r="O25" s="21" t="inlineStr">
        <x:is>
          <x:t xml:space="preserve"/>
        </x:is>
      </x:c>
      <x:c r="P25" s="21" t="inlineStr">
        <x:is>
          <x:t xml:space="preserve"/>
        </x:is>
      </x:c>
      <x:c r="Q25" s="21" t="inlineStr">
        <x:is>
          <x:t xml:space="preserve"/>
        </x:is>
      </x:c>
      <x:c r="R25" s="21" t="inlineStr">
        <x:is>
          <x:t xml:space="preserve"/>
        </x:is>
      </x:c>
      <x:c r="S25" s="22">
        <x:f>IF(H25="","",IFERROR(H25/G25,""))</x:f>
      </x:c>
      <x:c r="T25" s="23">
        <x:f>IF(H25="","",IFERROR((J25+K25+L25+N25)/H25,""))</x:f>
      </x:c>
      <x:c r="U25" s="22">
        <x:f>IF(COUNTA(J25:L25,N25)=0,"",IFERROR(AVERAGE(J25:L25,N25),""))</x:f>
      </x:c>
      <x:c r="V25" s="16" t="inlineStr">
        <x:is>
          <x:t xml:space="preserve"/>
        </x:is>
      </x:c>
    </x:row>
    <x:row r="26">
      <x:c r="A26" s="17" t="inlineStr">
        <x:is>
          <x:t xml:space="preserve">P002</x:t>
        </x:is>
      </x:c>
      <x:c r="B26" s="17" t="n">
        <x:v>10</x:v>
      </x:c>
      <x:c r="C26" s="17" t="inlineStr">
        <x:is>
          <x:t xml:space="preserve">V07</x:t>
        </x:is>
      </x:c>
      <x:c r="D26" s="17" t="inlineStr">
        <x:is>
          <x:t xml:space="preserve">Business</x:t>
        </x:is>
      </x:c>
      <x:c r="E26" s="17" t="inlineStr">
        <x:is>
          <x:t xml:space="preserve">Keyword highlight</x:t>
        </x:is>
      </x:c>
      <x:c r="F26" s="17" t="inlineStr">
        <x:is>
          <x:t xml:space="preserve">Muted</x:t>
        </x:is>
      </x:c>
      <x:c r="G26" s="24" t="n">
        <x:v>18</x:v>
      </x:c>
      <x:c r="H26" s="24" t="inlineStr">
        <x:is>
          <x:t xml:space="preserve"/>
        </x:is>
      </x:c>
      <x:c r="I26" s="24" t="inlineStr">
        <x:is>
          <x:t xml:space="preserve"/>
        </x:is>
      </x:c>
      <x:c r="J26" s="24" t="inlineStr">
        <x:is>
          <x:t xml:space="preserve"/>
        </x:is>
      </x:c>
      <x:c r="K26" s="24" t="inlineStr">
        <x:is>
          <x:t xml:space="preserve"/>
        </x:is>
      </x:c>
      <x:c r="L26" s="24" t="inlineStr">
        <x:is>
          <x:t xml:space="preserve"/>
        </x:is>
      </x:c>
      <x:c r="M26" s="24" t="inlineStr">
        <x:is>
          <x:t xml:space="preserve"/>
        </x:is>
      </x:c>
      <x:c r="N26" s="24" t="inlineStr">
        <x:is>
          <x:t xml:space="preserve"/>
        </x:is>
      </x:c>
      <x:c r="O26" s="24" t="inlineStr">
        <x:is>
          <x:t xml:space="preserve"/>
        </x:is>
      </x:c>
      <x:c r="P26" s="24" t="inlineStr">
        <x:is>
          <x:t xml:space="preserve"/>
        </x:is>
      </x:c>
      <x:c r="Q26" s="24" t="inlineStr">
        <x:is>
          <x:t xml:space="preserve"/>
        </x:is>
      </x:c>
      <x:c r="R26" s="24" t="inlineStr">
        <x:is>
          <x:t xml:space="preserve"/>
        </x:is>
      </x:c>
      <x:c r="S26" s="25">
        <x:f>IF(H26="","",IFERROR(H26/G26,""))</x:f>
      </x:c>
      <x:c r="T26" s="26">
        <x:f>IF(H26="","",IFERROR((J26+K26+L26+N26)/H26,""))</x:f>
      </x:c>
      <x:c r="U26" s="25">
        <x:f>IF(COUNTA(J26:L26,N26)=0,"",IFERROR(AVERAGE(J26:L26,N26),""))</x:f>
      </x:c>
      <x:c r="V26" s="17" t="inlineStr">
        <x:is>
          <x:t xml:space="preserve"/>
        </x:is>
      </x:c>
    </x:row>
    <x:row r="27">
      <x:c r="A27" s="16" t="inlineStr">
        <x:is>
          <x:t xml:space="preserve">P002</x:t>
        </x:is>
      </x:c>
      <x:c r="B27" s="16" t="n">
        <x:v>11</x:v>
      </x:c>
      <x:c r="C27" s="16" t="inlineStr">
        <x:is>
          <x:t xml:space="preserve">V10</x:t>
        </x:is>
      </x:c>
      <x:c r="D27" s="16" t="inlineStr">
        <x:is>
          <x:t xml:space="preserve">Product demo</x:t>
        </x:is>
      </x:c>
      <x:c r="E27" s="16" t="inlineStr">
        <x:is>
          <x:t xml:space="preserve">BCC+</x:t>
        </x:is>
      </x:c>
      <x:c r="F27" s="16" t="inlineStr">
        <x:is>
          <x:t xml:space="preserve">Muted</x:t>
        </x:is>
      </x:c>
      <x:c r="G27" s="21" t="n">
        <x:v>15</x:v>
      </x:c>
      <x:c r="H27" s="21" t="inlineStr">
        <x:is>
          <x:t xml:space="preserve"/>
        </x:is>
      </x:c>
      <x:c r="I27" s="21" t="inlineStr">
        <x:is>
          <x:t xml:space="preserve"/>
        </x:is>
      </x:c>
      <x:c r="J27" s="21" t="inlineStr">
        <x:is>
          <x:t xml:space="preserve"/>
        </x:is>
      </x:c>
      <x:c r="K27" s="21" t="inlineStr">
        <x:is>
          <x:t xml:space="preserve"/>
        </x:is>
      </x:c>
      <x:c r="L27" s="21" t="inlineStr">
        <x:is>
          <x:t xml:space="preserve"/>
        </x:is>
      </x:c>
      <x:c r="M27" s="21" t="inlineStr">
        <x:is>
          <x:t xml:space="preserve"/>
        </x:is>
      </x:c>
      <x:c r="N27" s="21" t="inlineStr">
        <x:is>
          <x:t xml:space="preserve"/>
        </x:is>
      </x:c>
      <x:c r="O27" s="21" t="inlineStr">
        <x:is>
          <x:t xml:space="preserve"/>
        </x:is>
      </x:c>
      <x:c r="P27" s="21" t="inlineStr">
        <x:is>
          <x:t xml:space="preserve"/>
        </x:is>
      </x:c>
      <x:c r="Q27" s="21" t="inlineStr">
        <x:is>
          <x:t xml:space="preserve"/>
        </x:is>
      </x:c>
      <x:c r="R27" s="21" t="inlineStr">
        <x:is>
          <x:t xml:space="preserve"/>
        </x:is>
      </x:c>
      <x:c r="S27" s="22">
        <x:f>IF(H27="","",IFERROR(H27/G27,""))</x:f>
      </x:c>
      <x:c r="T27" s="23">
        <x:f>IF(H27="","",IFERROR((J27+K27+L27+N27)/H27,""))</x:f>
      </x:c>
      <x:c r="U27" s="22">
        <x:f>IF(COUNTA(J27:L27,N27)=0,"",IFERROR(AVERAGE(J27:L27,N27),""))</x:f>
      </x:c>
      <x:c r="V27" s="16" t="inlineStr">
        <x:is>
          <x:t xml:space="preserve"/>
        </x:is>
      </x:c>
    </x:row>
    <x:row r="28">
      <x:c r="A28" s="17" t="inlineStr">
        <x:is>
          <x:t xml:space="preserve">P002</x:t>
        </x:is>
      </x:c>
      <x:c r="B28" s="17" t="n">
        <x:v>12</x:v>
      </x:c>
      <x:c r="C28" s="17" t="inlineStr">
        <x:is>
          <x:t xml:space="preserve">V09</x:t>
        </x:is>
      </x:c>
      <x:c r="D28" s="17" t="inlineStr">
        <x:is>
          <x:t xml:space="preserve">Sleep habit</x:t>
        </x:is>
      </x:c>
      <x:c r="E28" s="17" t="inlineStr">
        <x:is>
          <x:t xml:space="preserve">BCC</x:t>
        </x:is>
      </x:c>
      <x:c r="F28" s="17" t="inlineStr">
        <x:is>
          <x:t xml:space="preserve">Muted</x:t>
        </x:is>
      </x:c>
      <x:c r="G28" s="24" t="n">
        <x:v>19</x:v>
      </x:c>
      <x:c r="H28" s="24" t="inlineStr">
        <x:is>
          <x:t xml:space="preserve"/>
        </x:is>
      </x:c>
      <x:c r="I28" s="24" t="inlineStr">
        <x:is>
          <x:t xml:space="preserve"/>
        </x:is>
      </x:c>
      <x:c r="J28" s="24" t="inlineStr">
        <x:is>
          <x:t xml:space="preserve"/>
        </x:is>
      </x:c>
      <x:c r="K28" s="24" t="inlineStr">
        <x:is>
          <x:t xml:space="preserve"/>
        </x:is>
      </x:c>
      <x:c r="L28" s="24" t="inlineStr">
        <x:is>
          <x:t xml:space="preserve"/>
        </x:is>
      </x:c>
      <x:c r="M28" s="24" t="inlineStr">
        <x:is>
          <x:t xml:space="preserve"/>
        </x:is>
      </x:c>
      <x:c r="N28" s="24" t="inlineStr">
        <x:is>
          <x:t xml:space="preserve"/>
        </x:is>
      </x:c>
      <x:c r="O28" s="24" t="inlineStr">
        <x:is>
          <x:t xml:space="preserve"/>
        </x:is>
      </x:c>
      <x:c r="P28" s="24" t="inlineStr">
        <x:is>
          <x:t xml:space="preserve"/>
        </x:is>
      </x:c>
      <x:c r="Q28" s="24" t="inlineStr">
        <x:is>
          <x:t xml:space="preserve"/>
        </x:is>
      </x:c>
      <x:c r="R28" s="24" t="inlineStr">
        <x:is>
          <x:t xml:space="preserve"/>
        </x:is>
      </x:c>
      <x:c r="S28" s="25">
        <x:f>IF(H28="","",IFERROR(H28/G28,""))</x:f>
      </x:c>
      <x:c r="T28" s="26">
        <x:f>IF(H28="","",IFERROR((J28+K28+L28+N28)/H28,""))</x:f>
      </x:c>
      <x:c r="U28" s="25">
        <x:f>IF(COUNTA(J28:L28,N28)=0,"",IFERROR(AVERAGE(J28:L28,N28),""))</x:f>
      </x:c>
      <x:c r="V28" s="17" t="inlineStr">
        <x:is>
          <x:t xml:space="preserve"/>
        </x:is>
      </x:c>
    </x:row>
    <x:row r="29">
      <x:c r="A29" s="16" t="inlineStr">
        <x:is>
          <x:t xml:space="preserve">P003</x:t>
        </x:is>
      </x:c>
      <x:c r="B29" s="16" t="n">
        <x:v>1</x:v>
      </x:c>
      <x:c r="C29" s="16" t="inlineStr">
        <x:is>
          <x:t xml:space="preserve">V03</x:t>
        </x:is>
      </x:c>
      <x:c r="D29" s="16" t="inlineStr">
        <x:is>
          <x:t xml:space="preserve">Fitness</x:t>
        </x:is>
      </x:c>
      <x:c r="E29" s="16" t="inlineStr">
        <x:is>
          <x:t xml:space="preserve">BCC+</x:t>
        </x:is>
      </x:c>
      <x:c r="F29" s="16" t="inlineStr">
        <x:is>
          <x:t xml:space="preserve">Muted</x:t>
        </x:is>
      </x:c>
      <x:c r="G29" s="21" t="n">
        <x:v>18</x:v>
      </x:c>
      <x:c r="H29" s="21" t="inlineStr">
        <x:is>
          <x:t xml:space="preserve"/>
        </x:is>
      </x:c>
      <x:c r="I29" s="21" t="inlineStr">
        <x:is>
          <x:t xml:space="preserve"/>
        </x:is>
      </x:c>
      <x:c r="J29" s="21" t="inlineStr">
        <x:is>
          <x:t xml:space="preserve"/>
        </x:is>
      </x:c>
      <x:c r="K29" s="21" t="inlineStr">
        <x:is>
          <x:t xml:space="preserve"/>
        </x:is>
      </x:c>
      <x:c r="L29" s="21" t="inlineStr">
        <x:is>
          <x:t xml:space="preserve"/>
        </x:is>
      </x:c>
      <x:c r="M29" s="21" t="inlineStr">
        <x:is>
          <x:t xml:space="preserve"/>
        </x:is>
      </x:c>
      <x:c r="N29" s="21" t="inlineStr">
        <x:is>
          <x:t xml:space="preserve"/>
        </x:is>
      </x:c>
      <x:c r="O29" s="21" t="inlineStr">
        <x:is>
          <x:t xml:space="preserve"/>
        </x:is>
      </x:c>
      <x:c r="P29" s="21" t="inlineStr">
        <x:is>
          <x:t xml:space="preserve"/>
        </x:is>
      </x:c>
      <x:c r="Q29" s="21" t="inlineStr">
        <x:is>
          <x:t xml:space="preserve"/>
        </x:is>
      </x:c>
      <x:c r="R29" s="21" t="inlineStr">
        <x:is>
          <x:t xml:space="preserve"/>
        </x:is>
      </x:c>
      <x:c r="S29" s="22">
        <x:f>IF(H29="","",IFERROR(H29/G29,""))</x:f>
      </x:c>
      <x:c r="T29" s="23">
        <x:f>IF(H29="","",IFERROR((J29+K29+L29+N29)/H29,""))</x:f>
      </x:c>
      <x:c r="U29" s="22">
        <x:f>IF(COUNTA(J29:L29,N29)=0,"",IFERROR(AVERAGE(J29:L29,N29),""))</x:f>
      </x:c>
      <x:c r="V29" s="16" t="inlineStr">
        <x:is>
          <x:t xml:space="preserve"/>
        </x:is>
      </x:c>
    </x:row>
    <x:row r="30">
      <x:c r="A30" s="17" t="inlineStr">
        <x:is>
          <x:t xml:space="preserve">P003</x:t>
        </x:is>
      </x:c>
      <x:c r="B30" s="17" t="n">
        <x:v>2</x:v>
      </x:c>
      <x:c r="C30" s="17" t="inlineStr">
        <x:is>
          <x:t xml:space="preserve">V02</x:t>
        </x:is>
      </x:c>
      <x:c r="D30" s="17" t="inlineStr">
        <x:is>
          <x:t xml:space="preserve">Study</x:t>
        </x:is>
      </x:c>
      <x:c r="E30" s="17" t="inlineStr">
        <x:is>
          <x:t xml:space="preserve">BCC</x:t>
        </x:is>
      </x:c>
      <x:c r="F30" s="17" t="inlineStr">
        <x:is>
          <x:t xml:space="preserve">Muted</x:t>
        </x:is>
      </x:c>
      <x:c r="G30" s="24" t="n">
        <x:v>18</x:v>
      </x:c>
      <x:c r="H30" s="24" t="inlineStr">
        <x:is>
          <x:t xml:space="preserve"/>
        </x:is>
      </x:c>
      <x:c r="I30" s="24" t="inlineStr">
        <x:is>
          <x:t xml:space="preserve"/>
        </x:is>
      </x:c>
      <x:c r="J30" s="24" t="inlineStr">
        <x:is>
          <x:t xml:space="preserve"/>
        </x:is>
      </x:c>
      <x:c r="K30" s="24" t="inlineStr">
        <x:is>
          <x:t xml:space="preserve"/>
        </x:is>
      </x:c>
      <x:c r="L30" s="24" t="inlineStr">
        <x:is>
          <x:t xml:space="preserve"/>
        </x:is>
      </x:c>
      <x:c r="M30" s="24" t="inlineStr">
        <x:is>
          <x:t xml:space="preserve"/>
        </x:is>
      </x:c>
      <x:c r="N30" s="24" t="inlineStr">
        <x:is>
          <x:t xml:space="preserve"/>
        </x:is>
      </x:c>
      <x:c r="O30" s="24" t="inlineStr">
        <x:is>
          <x:t xml:space="preserve"/>
        </x:is>
      </x:c>
      <x:c r="P30" s="24" t="inlineStr">
        <x:is>
          <x:t xml:space="preserve"/>
        </x:is>
      </x:c>
      <x:c r="Q30" s="24" t="inlineStr">
        <x:is>
          <x:t xml:space="preserve"/>
        </x:is>
      </x:c>
      <x:c r="R30" s="24" t="inlineStr">
        <x:is>
          <x:t xml:space="preserve"/>
        </x:is>
      </x:c>
      <x:c r="S30" s="25">
        <x:f>IF(H30="","",IFERROR(H30/G30,""))</x:f>
      </x:c>
      <x:c r="T30" s="26">
        <x:f>IF(H30="","",IFERROR((J30+K30+L30+N30)/H30,""))</x:f>
      </x:c>
      <x:c r="U30" s="25">
        <x:f>IF(COUNTA(J30:L30,N30)=0,"",IFERROR(AVERAGE(J30:L30,N30),""))</x:f>
      </x:c>
      <x:c r="V30" s="17" t="inlineStr">
        <x:is>
          <x:t xml:space="preserve"/>
        </x:is>
      </x:c>
    </x:row>
    <x:row r="31">
      <x:c r="A31" s="16" t="inlineStr">
        <x:is>
          <x:t xml:space="preserve">P003</x:t>
        </x:is>
      </x:c>
      <x:c r="B31" s="16" t="n">
        <x:v>3</x:v>
      </x:c>
      <x:c r="C31" s="16" t="inlineStr">
        <x:is>
          <x:t xml:space="preserve">V01</x:t>
        </x:is>
      </x:c>
      <x:c r="D31" s="16" t="inlineStr">
        <x:is>
          <x:t xml:space="preserve">Productivity</x:t>
        </x:is>
      </x:c>
      <x:c r="E31" s="16" t="inlineStr">
        <x:is>
          <x:t xml:space="preserve">Semantic compression</x:t>
        </x:is>
      </x:c>
      <x:c r="F31" s="16" t="inlineStr">
        <x:is>
          <x:t xml:space="preserve">Muted</x:t>
        </x:is>
      </x:c>
      <x:c r="G31" s="21" t="n">
        <x:v>25</x:v>
      </x:c>
      <x:c r="H31" s="21" t="inlineStr">
        <x:is>
          <x:t xml:space="preserve"/>
        </x:is>
      </x:c>
      <x:c r="I31" s="21" t="inlineStr">
        <x:is>
          <x:t xml:space="preserve"/>
        </x:is>
      </x:c>
      <x:c r="J31" s="21" t="inlineStr">
        <x:is>
          <x:t xml:space="preserve"/>
        </x:is>
      </x:c>
      <x:c r="K31" s="21" t="inlineStr">
        <x:is>
          <x:t xml:space="preserve"/>
        </x:is>
      </x:c>
      <x:c r="L31" s="21" t="inlineStr">
        <x:is>
          <x:t xml:space="preserve"/>
        </x:is>
      </x:c>
      <x:c r="M31" s="21" t="inlineStr">
        <x:is>
          <x:t xml:space="preserve"/>
        </x:is>
      </x:c>
      <x:c r="N31" s="21" t="inlineStr">
        <x:is>
          <x:t xml:space="preserve"/>
        </x:is>
      </x:c>
      <x:c r="O31" s="21" t="inlineStr">
        <x:is>
          <x:t xml:space="preserve"/>
        </x:is>
      </x:c>
      <x:c r="P31" s="21" t="inlineStr">
        <x:is>
          <x:t xml:space="preserve"/>
        </x:is>
      </x:c>
      <x:c r="Q31" s="21" t="inlineStr">
        <x:is>
          <x:t xml:space="preserve"/>
        </x:is>
      </x:c>
      <x:c r="R31" s="21" t="inlineStr">
        <x:is>
          <x:t xml:space="preserve"/>
        </x:is>
      </x:c>
      <x:c r="S31" s="22">
        <x:f>IF(H31="","",IFERROR(H31/G31,""))</x:f>
      </x:c>
      <x:c r="T31" s="23">
        <x:f>IF(H31="","",IFERROR((J31+K31+L31+N31)/H31,""))</x:f>
      </x:c>
      <x:c r="U31" s="22">
        <x:f>IF(COUNTA(J31:L31,N31)=0,"",IFERROR(AVERAGE(J31:L31,N31),""))</x:f>
      </x:c>
      <x:c r="V31" s="16" t="inlineStr">
        <x:is>
          <x:t xml:space="preserve"/>
        </x:is>
      </x:c>
    </x:row>
    <x:row r="32">
      <x:c r="A32" s="17" t="inlineStr">
        <x:is>
          <x:t xml:space="preserve">P003</x:t>
        </x:is>
      </x:c>
      <x:c r="B32" s="17" t="n">
        <x:v>4</x:v>
      </x:c>
      <x:c r="C32" s="17" t="inlineStr">
        <x:is>
          <x:t xml:space="preserve">V10</x:t>
        </x:is>
      </x:c>
      <x:c r="D32" s="17" t="inlineStr">
        <x:is>
          <x:t xml:space="preserve">Product demo</x:t>
        </x:is>
      </x:c>
      <x:c r="E32" s="17" t="inlineStr">
        <x:is>
          <x:t xml:space="preserve">Heavy bionic</x:t>
        </x:is>
      </x:c>
      <x:c r="F32" s="17" t="inlineStr">
        <x:is>
          <x:t xml:space="preserve">Muted</x:t>
        </x:is>
      </x:c>
      <x:c r="G32" s="24" t="n">
        <x:v>15</x:v>
      </x:c>
      <x:c r="H32" s="24" t="inlineStr">
        <x:is>
          <x:t xml:space="preserve"/>
        </x:is>
      </x:c>
      <x:c r="I32" s="24" t="inlineStr">
        <x:is>
          <x:t xml:space="preserve"/>
        </x:is>
      </x:c>
      <x:c r="J32" s="24" t="inlineStr">
        <x:is>
          <x:t xml:space="preserve"/>
        </x:is>
      </x:c>
      <x:c r="K32" s="24" t="inlineStr">
        <x:is>
          <x:t xml:space="preserve"/>
        </x:is>
      </x:c>
      <x:c r="L32" s="24" t="inlineStr">
        <x:is>
          <x:t xml:space="preserve"/>
        </x:is>
      </x:c>
      <x:c r="M32" s="24" t="inlineStr">
        <x:is>
          <x:t xml:space="preserve"/>
        </x:is>
      </x:c>
      <x:c r="N32" s="24" t="inlineStr">
        <x:is>
          <x:t xml:space="preserve"/>
        </x:is>
      </x:c>
      <x:c r="O32" s="24" t="inlineStr">
        <x:is>
          <x:t xml:space="preserve"/>
        </x:is>
      </x:c>
      <x:c r="P32" s="24" t="inlineStr">
        <x:is>
          <x:t xml:space="preserve"/>
        </x:is>
      </x:c>
      <x:c r="Q32" s="24" t="inlineStr">
        <x:is>
          <x:t xml:space="preserve"/>
        </x:is>
      </x:c>
      <x:c r="R32" s="24" t="inlineStr">
        <x:is>
          <x:t xml:space="preserve"/>
        </x:is>
      </x:c>
      <x:c r="S32" s="25">
        <x:f>IF(H32="","",IFERROR(H32/G32,""))</x:f>
      </x:c>
      <x:c r="T32" s="26">
        <x:f>IF(H32="","",IFERROR((J32+K32+L32+N32)/H32,""))</x:f>
      </x:c>
      <x:c r="U32" s="25">
        <x:f>IF(COUNTA(J32:L32,N32)=0,"",IFERROR(AVERAGE(J32:L32,N32),""))</x:f>
      </x:c>
      <x:c r="V32" s="17" t="inlineStr">
        <x:is>
          <x:t xml:space="preserve"/>
        </x:is>
      </x:c>
    </x:row>
    <x:row r="33">
      <x:c r="A33" s="16" t="inlineStr">
        <x:is>
          <x:t xml:space="preserve">P003</x:t>
        </x:is>
      </x:c>
      <x:c r="B33" s="16" t="n">
        <x:v>5</x:v>
      </x:c>
      <x:c r="C33" s="16" t="inlineStr">
        <x:is>
          <x:t xml:space="preserve">V07</x:t>
        </x:is>
      </x:c>
      <x:c r="D33" s="16" t="inlineStr">
        <x:is>
          <x:t xml:space="preserve">Business</x:t>
        </x:is>
      </x:c>
      <x:c r="E33" s="16" t="inlineStr">
        <x:is>
          <x:t xml:space="preserve">Semantic compression</x:t>
        </x:is>
      </x:c>
      <x:c r="F33" s="16" t="inlineStr">
        <x:is>
          <x:t xml:space="preserve">Muted</x:t>
        </x:is>
      </x:c>
      <x:c r="G33" s="21" t="n">
        <x:v>18</x:v>
      </x:c>
      <x:c r="H33" s="21" t="inlineStr">
        <x:is>
          <x:t xml:space="preserve"/>
        </x:is>
      </x:c>
      <x:c r="I33" s="21" t="inlineStr">
        <x:is>
          <x:t xml:space="preserve"/>
        </x:is>
      </x:c>
      <x:c r="J33" s="21" t="inlineStr">
        <x:is>
          <x:t xml:space="preserve"/>
        </x:is>
      </x:c>
      <x:c r="K33" s="21" t="inlineStr">
        <x:is>
          <x:t xml:space="preserve"/>
        </x:is>
      </x:c>
      <x:c r="L33" s="21" t="inlineStr">
        <x:is>
          <x:t xml:space="preserve"/>
        </x:is>
      </x:c>
      <x:c r="M33" s="21" t="inlineStr">
        <x:is>
          <x:t xml:space="preserve"/>
        </x:is>
      </x:c>
      <x:c r="N33" s="21" t="inlineStr">
        <x:is>
          <x:t xml:space="preserve"/>
        </x:is>
      </x:c>
      <x:c r="O33" s="21" t="inlineStr">
        <x:is>
          <x:t xml:space="preserve"/>
        </x:is>
      </x:c>
      <x:c r="P33" s="21" t="inlineStr">
        <x:is>
          <x:t xml:space="preserve"/>
        </x:is>
      </x:c>
      <x:c r="Q33" s="21" t="inlineStr">
        <x:is>
          <x:t xml:space="preserve"/>
        </x:is>
      </x:c>
      <x:c r="R33" s="21" t="inlineStr">
        <x:is>
          <x:t xml:space="preserve"/>
        </x:is>
      </x:c>
      <x:c r="S33" s="22">
        <x:f>IF(H33="","",IFERROR(H33/G33,""))</x:f>
      </x:c>
      <x:c r="T33" s="23">
        <x:f>IF(H33="","",IFERROR((J33+K33+L33+N33)/H33,""))</x:f>
      </x:c>
      <x:c r="U33" s="22">
        <x:f>IF(COUNTA(J33:L33,N33)=0,"",IFERROR(AVERAGE(J33:L33,N33),""))</x:f>
      </x:c>
      <x:c r="V33" s="16" t="inlineStr">
        <x:is>
          <x:t xml:space="preserve"/>
        </x:is>
      </x:c>
    </x:row>
    <x:row r="34">
      <x:c r="A34" s="17" t="inlineStr">
        <x:is>
          <x:t xml:space="preserve">P003</x:t>
        </x:is>
      </x:c>
      <x:c r="B34" s="17" t="n">
        <x:v>6</x:v>
      </x:c>
      <x:c r="C34" s="17" t="inlineStr">
        <x:is>
          <x:t xml:space="preserve">V05</x:t>
        </x:is>
      </x:c>
      <x:c r="D34" s="17" t="inlineStr">
        <x:is>
          <x:t xml:space="preserve">Tutorial</x:t>
        </x:is>
      </x:c>
      <x:c r="E34" s="17" t="inlineStr">
        <x:is>
          <x:t xml:space="preserve">Full transcript</x:t>
        </x:is>
      </x:c>
      <x:c r="F34" s="17" t="inlineStr">
        <x:is>
          <x:t xml:space="preserve">Muted</x:t>
        </x:is>
      </x:c>
      <x:c r="G34" s="24" t="n">
        <x:v>20</x:v>
      </x:c>
      <x:c r="H34" s="24" t="inlineStr">
        <x:is>
          <x:t xml:space="preserve"/>
        </x:is>
      </x:c>
      <x:c r="I34" s="24" t="inlineStr">
        <x:is>
          <x:t xml:space="preserve"/>
        </x:is>
      </x:c>
      <x:c r="J34" s="24" t="inlineStr">
        <x:is>
          <x:t xml:space="preserve"/>
        </x:is>
      </x:c>
      <x:c r="K34" s="24" t="inlineStr">
        <x:is>
          <x:t xml:space="preserve"/>
        </x:is>
      </x:c>
      <x:c r="L34" s="24" t="inlineStr">
        <x:is>
          <x:t xml:space="preserve"/>
        </x:is>
      </x:c>
      <x:c r="M34" s="24" t="inlineStr">
        <x:is>
          <x:t xml:space="preserve"/>
        </x:is>
      </x:c>
      <x:c r="N34" s="24" t="inlineStr">
        <x:is>
          <x:t xml:space="preserve"/>
        </x:is>
      </x:c>
      <x:c r="O34" s="24" t="inlineStr">
        <x:is>
          <x:t xml:space="preserve"/>
        </x:is>
      </x:c>
      <x:c r="P34" s="24" t="inlineStr">
        <x:is>
          <x:t xml:space="preserve"/>
        </x:is>
      </x:c>
      <x:c r="Q34" s="24" t="inlineStr">
        <x:is>
          <x:t xml:space="preserve"/>
        </x:is>
      </x:c>
      <x:c r="R34" s="24" t="inlineStr">
        <x:is>
          <x:t xml:space="preserve"/>
        </x:is>
      </x:c>
      <x:c r="S34" s="25">
        <x:f>IF(H34="","",IFERROR(H34/G34,""))</x:f>
      </x:c>
      <x:c r="T34" s="26">
        <x:f>IF(H34="","",IFERROR((J34+K34+L34+N34)/H34,""))</x:f>
      </x:c>
      <x:c r="U34" s="25">
        <x:f>IF(COUNTA(J34:L34,N34)=0,"",IFERROR(AVERAGE(J34:L34,N34),""))</x:f>
      </x:c>
      <x:c r="V34" s="17" t="inlineStr">
        <x:is>
          <x:t xml:space="preserve"/>
        </x:is>
      </x:c>
    </x:row>
    <x:row r="35">
      <x:c r="A35" s="16" t="inlineStr">
        <x:is>
          <x:t xml:space="preserve">P003</x:t>
        </x:is>
      </x:c>
      <x:c r="B35" s="16" t="n">
        <x:v>7</x:v>
      </x:c>
      <x:c r="C35" s="16" t="inlineStr">
        <x:is>
          <x:t xml:space="preserve">V11</x:t>
        </x:is>
      </x:c>
      <x:c r="D35" s="16" t="inlineStr">
        <x:is>
          <x:t xml:space="preserve">Creator strategy</x:t>
        </x:is>
      </x:c>
      <x:c r="E35" s="16" t="inlineStr">
        <x:is>
          <x:t xml:space="preserve">Full transcript</x:t>
        </x:is>
      </x:c>
      <x:c r="F35" s="16" t="inlineStr">
        <x:is>
          <x:t xml:space="preserve">Muted</x:t>
        </x:is>
      </x:c>
      <x:c r="G35" s="21" t="n">
        <x:v>17</x:v>
      </x:c>
      <x:c r="H35" s="21" t="inlineStr">
        <x:is>
          <x:t xml:space="preserve"/>
        </x:is>
      </x:c>
      <x:c r="I35" s="21" t="inlineStr">
        <x:is>
          <x:t xml:space="preserve"/>
        </x:is>
      </x:c>
      <x:c r="J35" s="21" t="inlineStr">
        <x:is>
          <x:t xml:space="preserve"/>
        </x:is>
      </x:c>
      <x:c r="K35" s="21" t="inlineStr">
        <x:is>
          <x:t xml:space="preserve"/>
        </x:is>
      </x:c>
      <x:c r="L35" s="21" t="inlineStr">
        <x:is>
          <x:t xml:space="preserve"/>
        </x:is>
      </x:c>
      <x:c r="M35" s="21" t="inlineStr">
        <x:is>
          <x:t xml:space="preserve"/>
        </x:is>
      </x:c>
      <x:c r="N35" s="21" t="inlineStr">
        <x:is>
          <x:t xml:space="preserve"/>
        </x:is>
      </x:c>
      <x:c r="O35" s="21" t="inlineStr">
        <x:is>
          <x:t xml:space="preserve"/>
        </x:is>
      </x:c>
      <x:c r="P35" s="21" t="inlineStr">
        <x:is>
          <x:t xml:space="preserve"/>
        </x:is>
      </x:c>
      <x:c r="Q35" s="21" t="inlineStr">
        <x:is>
          <x:t xml:space="preserve"/>
        </x:is>
      </x:c>
      <x:c r="R35" s="21" t="inlineStr">
        <x:is>
          <x:t xml:space="preserve"/>
        </x:is>
      </x:c>
      <x:c r="S35" s="22">
        <x:f>IF(H35="","",IFERROR(H35/G35,""))</x:f>
      </x:c>
      <x:c r="T35" s="23">
        <x:f>IF(H35="","",IFERROR((J35+K35+L35+N35)/H35,""))</x:f>
      </x:c>
      <x:c r="U35" s="22">
        <x:f>IF(COUNTA(J35:L35,N35)=0,"",IFERROR(AVERAGE(J35:L35,N35),""))</x:f>
      </x:c>
      <x:c r="V35" s="16" t="inlineStr">
        <x:is>
          <x:t xml:space="preserve"/>
        </x:is>
      </x:c>
    </x:row>
    <x:row r="36">
      <x:c r="A36" s="17" t="inlineStr">
        <x:is>
          <x:t xml:space="preserve">P003</x:t>
        </x:is>
      </x:c>
      <x:c r="B36" s="17" t="n">
        <x:v>8</x:v>
      </x:c>
      <x:c r="C36" s="17" t="inlineStr">
        <x:is>
          <x:t xml:space="preserve">V12</x:t>
        </x:is>
      </x:c>
      <x:c r="D36" s="17" t="inlineStr">
        <x:is>
          <x:t xml:space="preserve">Time management</x:t>
        </x:is>
      </x:c>
      <x:c r="E36" s="17" t="inlineStr">
        <x:is>
          <x:t xml:space="preserve">Keyword highlight</x:t>
        </x:is>
      </x:c>
      <x:c r="F36" s="17" t="inlineStr">
        <x:is>
          <x:t xml:space="preserve">Muted</x:t>
        </x:is>
      </x:c>
      <x:c r="G36" s="24" t="n">
        <x:v>21</x:v>
      </x:c>
      <x:c r="H36" s="24" t="inlineStr">
        <x:is>
          <x:t xml:space="preserve"/>
        </x:is>
      </x:c>
      <x:c r="I36" s="24" t="inlineStr">
        <x:is>
          <x:t xml:space="preserve"/>
        </x:is>
      </x:c>
      <x:c r="J36" s="24" t="inlineStr">
        <x:is>
          <x:t xml:space="preserve"/>
        </x:is>
      </x:c>
      <x:c r="K36" s="24" t="inlineStr">
        <x:is>
          <x:t xml:space="preserve"/>
        </x:is>
      </x:c>
      <x:c r="L36" s="24" t="inlineStr">
        <x:is>
          <x:t xml:space="preserve"/>
        </x:is>
      </x:c>
      <x:c r="M36" s="24" t="inlineStr">
        <x:is>
          <x:t xml:space="preserve"/>
        </x:is>
      </x:c>
      <x:c r="N36" s="24" t="inlineStr">
        <x:is>
          <x:t xml:space="preserve"/>
        </x:is>
      </x:c>
      <x:c r="O36" s="24" t="inlineStr">
        <x:is>
          <x:t xml:space="preserve"/>
        </x:is>
      </x:c>
      <x:c r="P36" s="24" t="inlineStr">
        <x:is>
          <x:t xml:space="preserve"/>
        </x:is>
      </x:c>
      <x:c r="Q36" s="24" t="inlineStr">
        <x:is>
          <x:t xml:space="preserve"/>
        </x:is>
      </x:c>
      <x:c r="R36" s="24" t="inlineStr">
        <x:is>
          <x:t xml:space="preserve"/>
        </x:is>
      </x:c>
      <x:c r="S36" s="25">
        <x:f>IF(H36="","",IFERROR(H36/G36,""))</x:f>
      </x:c>
      <x:c r="T36" s="26">
        <x:f>IF(H36="","",IFERROR((J36+K36+L36+N36)/H36,""))</x:f>
      </x:c>
      <x:c r="U36" s="25">
        <x:f>IF(COUNTA(J36:L36,N36)=0,"",IFERROR(AVERAGE(J36:L36,N36),""))</x:f>
      </x:c>
      <x:c r="V36" s="17" t="inlineStr">
        <x:is>
          <x:t xml:space="preserve"/>
        </x:is>
      </x:c>
    </x:row>
    <x:row r="37">
      <x:c r="A37" s="16" t="inlineStr">
        <x:is>
          <x:t xml:space="preserve">P003</x:t>
        </x:is>
      </x:c>
      <x:c r="B37" s="16" t="n">
        <x:v>9</x:v>
      </x:c>
      <x:c r="C37" s="16" t="inlineStr">
        <x:is>
          <x:t xml:space="preserve">V04</x:t>
        </x:is>
      </x:c>
      <x:c r="D37" s="16" t="inlineStr">
        <x:is>
          <x:t xml:space="preserve">Finance</x:t>
        </x:is>
      </x:c>
      <x:c r="E37" s="16" t="inlineStr">
        <x:is>
          <x:t xml:space="preserve">Heavy bionic</x:t>
        </x:is>
      </x:c>
      <x:c r="F37" s="16" t="inlineStr">
        <x:is>
          <x:t xml:space="preserve">Muted</x:t>
        </x:is>
      </x:c>
      <x:c r="G37" s="21" t="n">
        <x:v>20</x:v>
      </x:c>
      <x:c r="H37" s="21" t="inlineStr">
        <x:is>
          <x:t xml:space="preserve"/>
        </x:is>
      </x:c>
      <x:c r="I37" s="21" t="inlineStr">
        <x:is>
          <x:t xml:space="preserve"/>
        </x:is>
      </x:c>
      <x:c r="J37" s="21" t="inlineStr">
        <x:is>
          <x:t xml:space="preserve"/>
        </x:is>
      </x:c>
      <x:c r="K37" s="21" t="inlineStr">
        <x:is>
          <x:t xml:space="preserve"/>
        </x:is>
      </x:c>
      <x:c r="L37" s="21" t="inlineStr">
        <x:is>
          <x:t xml:space="preserve"/>
        </x:is>
      </x:c>
      <x:c r="M37" s="21" t="inlineStr">
        <x:is>
          <x:t xml:space="preserve"/>
        </x:is>
      </x:c>
      <x:c r="N37" s="21" t="inlineStr">
        <x:is>
          <x:t xml:space="preserve"/>
        </x:is>
      </x:c>
      <x:c r="O37" s="21" t="inlineStr">
        <x:is>
          <x:t xml:space="preserve"/>
        </x:is>
      </x:c>
      <x:c r="P37" s="21" t="inlineStr">
        <x:is>
          <x:t xml:space="preserve"/>
        </x:is>
      </x:c>
      <x:c r="Q37" s="21" t="inlineStr">
        <x:is>
          <x:t xml:space="preserve"/>
        </x:is>
      </x:c>
      <x:c r="R37" s="21" t="inlineStr">
        <x:is>
          <x:t xml:space="preserve"/>
        </x:is>
      </x:c>
      <x:c r="S37" s="22">
        <x:f>IF(H37="","",IFERROR(H37/G37,""))</x:f>
      </x:c>
      <x:c r="T37" s="23">
        <x:f>IF(H37="","",IFERROR((J37+K37+L37+N37)/H37,""))</x:f>
      </x:c>
      <x:c r="U37" s="22">
        <x:f>IF(COUNTA(J37:L37,N37)=0,"",IFERROR(AVERAGE(J37:L37,N37),""))</x:f>
      </x:c>
      <x:c r="V37" s="16" t="inlineStr">
        <x:is>
          <x:t xml:space="preserve"/>
        </x:is>
      </x:c>
    </x:row>
    <x:row r="38">
      <x:c r="A38" s="17" t="inlineStr">
        <x:is>
          <x:t xml:space="preserve">P003</x:t>
        </x:is>
      </x:c>
      <x:c r="B38" s="17" t="n">
        <x:v>10</x:v>
      </x:c>
      <x:c r="C38" s="17" t="inlineStr">
        <x:is>
          <x:t xml:space="preserve">V06</x:t>
        </x:is>
      </x:c>
      <x:c r="D38" s="17" t="inlineStr">
        <x:is>
          <x:t xml:space="preserve">Overload</x:t>
        </x:is>
      </x:c>
      <x:c r="E38" s="17" t="inlineStr">
        <x:is>
          <x:t xml:space="preserve">Keyword highlight</x:t>
        </x:is>
      </x:c>
      <x:c r="F38" s="17" t="inlineStr">
        <x:is>
          <x:t xml:space="preserve">Muted</x:t>
        </x:is>
      </x:c>
      <x:c r="G38" s="24" t="n">
        <x:v>16</x:v>
      </x:c>
      <x:c r="H38" s="24" t="inlineStr">
        <x:is>
          <x:t xml:space="preserve"/>
        </x:is>
      </x:c>
      <x:c r="I38" s="24" t="inlineStr">
        <x:is>
          <x:t xml:space="preserve"/>
        </x:is>
      </x:c>
      <x:c r="J38" s="24" t="inlineStr">
        <x:is>
          <x:t xml:space="preserve"/>
        </x:is>
      </x:c>
      <x:c r="K38" s="24" t="inlineStr">
        <x:is>
          <x:t xml:space="preserve"/>
        </x:is>
      </x:c>
      <x:c r="L38" s="24" t="inlineStr">
        <x:is>
          <x:t xml:space="preserve"/>
        </x:is>
      </x:c>
      <x:c r="M38" s="24" t="inlineStr">
        <x:is>
          <x:t xml:space="preserve"/>
        </x:is>
      </x:c>
      <x:c r="N38" s="24" t="inlineStr">
        <x:is>
          <x:t xml:space="preserve"/>
        </x:is>
      </x:c>
      <x:c r="O38" s="24" t="inlineStr">
        <x:is>
          <x:t xml:space="preserve"/>
        </x:is>
      </x:c>
      <x:c r="P38" s="24" t="inlineStr">
        <x:is>
          <x:t xml:space="preserve"/>
        </x:is>
      </x:c>
      <x:c r="Q38" s="24" t="inlineStr">
        <x:is>
          <x:t xml:space="preserve"/>
        </x:is>
      </x:c>
      <x:c r="R38" s="24" t="inlineStr">
        <x:is>
          <x:t xml:space="preserve"/>
        </x:is>
      </x:c>
      <x:c r="S38" s="25">
        <x:f>IF(H38="","",IFERROR(H38/G38,""))</x:f>
      </x:c>
      <x:c r="T38" s="26">
        <x:f>IF(H38="","",IFERROR((J38+K38+L38+N38)/H38,""))</x:f>
      </x:c>
      <x:c r="U38" s="25">
        <x:f>IF(COUNTA(J38:L38,N38)=0,"",IFERROR(AVERAGE(J38:L38,N38),""))</x:f>
      </x:c>
      <x:c r="V38" s="17" t="inlineStr">
        <x:is>
          <x:t xml:space="preserve"/>
        </x:is>
      </x:c>
    </x:row>
    <x:row r="39">
      <x:c r="A39" s="16" t="inlineStr">
        <x:is>
          <x:t xml:space="preserve">P003</x:t>
        </x:is>
      </x:c>
      <x:c r="B39" s="16" t="n">
        <x:v>11</x:v>
      </x:c>
      <x:c r="C39" s="16" t="inlineStr">
        <x:is>
          <x:t xml:space="preserve">V09</x:t>
        </x:is>
      </x:c>
      <x:c r="D39" s="16" t="inlineStr">
        <x:is>
          <x:t xml:space="preserve">Sleep habit</x:t>
        </x:is>
      </x:c>
      <x:c r="E39" s="16" t="inlineStr">
        <x:is>
          <x:t xml:space="preserve">BCC+</x:t>
        </x:is>
      </x:c>
      <x:c r="F39" s="16" t="inlineStr">
        <x:is>
          <x:t xml:space="preserve">Muted</x:t>
        </x:is>
      </x:c>
      <x:c r="G39" s="21" t="n">
        <x:v>19</x:v>
      </x:c>
      <x:c r="H39" s="21" t="inlineStr">
        <x:is>
          <x:t xml:space="preserve"/>
        </x:is>
      </x:c>
      <x:c r="I39" s="21" t="inlineStr">
        <x:is>
          <x:t xml:space="preserve"/>
        </x:is>
      </x:c>
      <x:c r="J39" s="21" t="inlineStr">
        <x:is>
          <x:t xml:space="preserve"/>
        </x:is>
      </x:c>
      <x:c r="K39" s="21" t="inlineStr">
        <x:is>
          <x:t xml:space="preserve"/>
        </x:is>
      </x:c>
      <x:c r="L39" s="21" t="inlineStr">
        <x:is>
          <x:t xml:space="preserve"/>
        </x:is>
      </x:c>
      <x:c r="M39" s="21" t="inlineStr">
        <x:is>
          <x:t xml:space="preserve"/>
        </x:is>
      </x:c>
      <x:c r="N39" s="21" t="inlineStr">
        <x:is>
          <x:t xml:space="preserve"/>
        </x:is>
      </x:c>
      <x:c r="O39" s="21" t="inlineStr">
        <x:is>
          <x:t xml:space="preserve"/>
        </x:is>
      </x:c>
      <x:c r="P39" s="21" t="inlineStr">
        <x:is>
          <x:t xml:space="preserve"/>
        </x:is>
      </x:c>
      <x:c r="Q39" s="21" t="inlineStr">
        <x:is>
          <x:t xml:space="preserve"/>
        </x:is>
      </x:c>
      <x:c r="R39" s="21" t="inlineStr">
        <x:is>
          <x:t xml:space="preserve"/>
        </x:is>
      </x:c>
      <x:c r="S39" s="22">
        <x:f>IF(H39="","",IFERROR(H39/G39,""))</x:f>
      </x:c>
      <x:c r="T39" s="23">
        <x:f>IF(H39="","",IFERROR((J39+K39+L39+N39)/H39,""))</x:f>
      </x:c>
      <x:c r="U39" s="22">
        <x:f>IF(COUNTA(J39:L39,N39)=0,"",IFERROR(AVERAGE(J39:L39,N39),""))</x:f>
      </x:c>
      <x:c r="V39" s="16" t="inlineStr">
        <x:is>
          <x:t xml:space="preserve"/>
        </x:is>
      </x:c>
    </x:row>
    <x:row r="40">
      <x:c r="A40" s="17" t="inlineStr">
        <x:is>
          <x:t xml:space="preserve">P003</x:t>
        </x:is>
      </x:c>
      <x:c r="B40" s="17" t="n">
        <x:v>12</x:v>
      </x:c>
      <x:c r="C40" s="17" t="inlineStr">
        <x:is>
          <x:t xml:space="preserve">V08</x:t>
        </x:is>
      </x:c>
      <x:c r="D40" s="17" t="inlineStr">
        <x:is>
          <x:t xml:space="preserve">Coding</x:t>
        </x:is>
      </x:c>
      <x:c r="E40" s="17" t="inlineStr">
        <x:is>
          <x:t xml:space="preserve">BCC</x:t>
        </x:is>
      </x:c>
      <x:c r="F40" s="17" t="inlineStr">
        <x:is>
          <x:t xml:space="preserve">Muted</x:t>
        </x:is>
      </x:c>
      <x:c r="G40" s="24" t="n">
        <x:v>24</x:v>
      </x:c>
      <x:c r="H40" s="24" t="inlineStr">
        <x:is>
          <x:t xml:space="preserve"/>
        </x:is>
      </x:c>
      <x:c r="I40" s="24" t="inlineStr">
        <x:is>
          <x:t xml:space="preserve"/>
        </x:is>
      </x:c>
      <x:c r="J40" s="24" t="inlineStr">
        <x:is>
          <x:t xml:space="preserve"/>
        </x:is>
      </x:c>
      <x:c r="K40" s="24" t="inlineStr">
        <x:is>
          <x:t xml:space="preserve"/>
        </x:is>
      </x:c>
      <x:c r="L40" s="24" t="inlineStr">
        <x:is>
          <x:t xml:space="preserve"/>
        </x:is>
      </x:c>
      <x:c r="M40" s="24" t="inlineStr">
        <x:is>
          <x:t xml:space="preserve"/>
        </x:is>
      </x:c>
      <x:c r="N40" s="24" t="inlineStr">
        <x:is>
          <x:t xml:space="preserve"/>
        </x:is>
      </x:c>
      <x:c r="O40" s="24" t="inlineStr">
        <x:is>
          <x:t xml:space="preserve"/>
        </x:is>
      </x:c>
      <x:c r="P40" s="24" t="inlineStr">
        <x:is>
          <x:t xml:space="preserve"/>
        </x:is>
      </x:c>
      <x:c r="Q40" s="24" t="inlineStr">
        <x:is>
          <x:t xml:space="preserve"/>
        </x:is>
      </x:c>
      <x:c r="R40" s="24" t="inlineStr">
        <x:is>
          <x:t xml:space="preserve"/>
        </x:is>
      </x:c>
      <x:c r="S40" s="25">
        <x:f>IF(H40="","",IFERROR(H40/G40,""))</x:f>
      </x:c>
      <x:c r="T40" s="26">
        <x:f>IF(H40="","",IFERROR((J40+K40+L40+N40)/H40,""))</x:f>
      </x:c>
      <x:c r="U40" s="25">
        <x:f>IF(COUNTA(J40:L40,N40)=0,"",IFERROR(AVERAGE(J40:L40,N40),""))</x:f>
      </x:c>
      <x:c r="V40" s="17" t="inlineStr">
        <x:is>
          <x:t xml:space="preserve"/>
        </x:is>
      </x:c>
    </x:row>
    <x:row r="41">
      <x:c r="A41" s="16" t="inlineStr">
        <x:is>
          <x:t xml:space="preserve">P004</x:t>
        </x:is>
      </x:c>
      <x:c r="B41" s="16" t="n">
        <x:v>1</x:v>
      </x:c>
      <x:c r="C41" s="16" t="inlineStr">
        <x:is>
          <x:t xml:space="preserve">V06</x:t>
        </x:is>
      </x:c>
      <x:c r="D41" s="16" t="inlineStr">
        <x:is>
          <x:t xml:space="preserve">Overload</x:t>
        </x:is>
      </x:c>
      <x:c r="E41" s="16" t="inlineStr">
        <x:is>
          <x:t xml:space="preserve">Semantic compression</x:t>
        </x:is>
      </x:c>
      <x:c r="F41" s="16" t="inlineStr">
        <x:is>
          <x:t xml:space="preserve">Muted</x:t>
        </x:is>
      </x:c>
      <x:c r="G41" s="21" t="n">
        <x:v>16</x:v>
      </x:c>
      <x:c r="H41" s="21" t="inlineStr">
        <x:is>
          <x:t xml:space="preserve"/>
        </x:is>
      </x:c>
      <x:c r="I41" s="21" t="inlineStr">
        <x:is>
          <x:t xml:space="preserve"/>
        </x:is>
      </x:c>
      <x:c r="J41" s="21" t="inlineStr">
        <x:is>
          <x:t xml:space="preserve"/>
        </x:is>
      </x:c>
      <x:c r="K41" s="21" t="inlineStr">
        <x:is>
          <x:t xml:space="preserve"/>
        </x:is>
      </x:c>
      <x:c r="L41" s="21" t="inlineStr">
        <x:is>
          <x:t xml:space="preserve"/>
        </x:is>
      </x:c>
      <x:c r="M41" s="21" t="inlineStr">
        <x:is>
          <x:t xml:space="preserve"/>
        </x:is>
      </x:c>
      <x:c r="N41" s="21" t="inlineStr">
        <x:is>
          <x:t xml:space="preserve"/>
        </x:is>
      </x:c>
      <x:c r="O41" s="21" t="inlineStr">
        <x:is>
          <x:t xml:space="preserve"/>
        </x:is>
      </x:c>
      <x:c r="P41" s="21" t="inlineStr">
        <x:is>
          <x:t xml:space="preserve"/>
        </x:is>
      </x:c>
      <x:c r="Q41" s="21" t="inlineStr">
        <x:is>
          <x:t xml:space="preserve"/>
        </x:is>
      </x:c>
      <x:c r="R41" s="21" t="inlineStr">
        <x:is>
          <x:t xml:space="preserve"/>
        </x:is>
      </x:c>
      <x:c r="S41" s="22">
        <x:f>IF(H41="","",IFERROR(H41/G41,""))</x:f>
      </x:c>
      <x:c r="T41" s="23">
        <x:f>IF(H41="","",IFERROR((J41+K41+L41+N41)/H41,""))</x:f>
      </x:c>
      <x:c r="U41" s="22">
        <x:f>IF(COUNTA(J41:L41,N41)=0,"",IFERROR(AVERAGE(J41:L41,N41),""))</x:f>
      </x:c>
      <x:c r="V41" s="16" t="inlineStr">
        <x:is>
          <x:t xml:space="preserve"/>
        </x:is>
      </x:c>
    </x:row>
    <x:row r="42">
      <x:c r="A42" s="17" t="inlineStr">
        <x:is>
          <x:t xml:space="preserve">P004</x:t>
        </x:is>
      </x:c>
      <x:c r="B42" s="17" t="n">
        <x:v>2</x:v>
      </x:c>
      <x:c r="C42" s="17" t="inlineStr">
        <x:is>
          <x:t xml:space="preserve">V08</x:t>
        </x:is>
      </x:c>
      <x:c r="D42" s="17" t="inlineStr">
        <x:is>
          <x:t xml:space="preserve">Coding</x:t>
        </x:is>
      </x:c>
      <x:c r="E42" s="17" t="inlineStr">
        <x:is>
          <x:t xml:space="preserve">BCC+</x:t>
        </x:is>
      </x:c>
      <x:c r="F42" s="17" t="inlineStr">
        <x:is>
          <x:t xml:space="preserve">Muted</x:t>
        </x:is>
      </x:c>
      <x:c r="G42" s="24" t="n">
        <x:v>24</x:v>
      </x:c>
      <x:c r="H42" s="24" t="inlineStr">
        <x:is>
          <x:t xml:space="preserve"/>
        </x:is>
      </x:c>
      <x:c r="I42" s="24" t="inlineStr">
        <x:is>
          <x:t xml:space="preserve"/>
        </x:is>
      </x:c>
      <x:c r="J42" s="24" t="inlineStr">
        <x:is>
          <x:t xml:space="preserve"/>
        </x:is>
      </x:c>
      <x:c r="K42" s="24" t="inlineStr">
        <x:is>
          <x:t xml:space="preserve"/>
        </x:is>
      </x:c>
      <x:c r="L42" s="24" t="inlineStr">
        <x:is>
          <x:t xml:space="preserve"/>
        </x:is>
      </x:c>
      <x:c r="M42" s="24" t="inlineStr">
        <x:is>
          <x:t xml:space="preserve"/>
        </x:is>
      </x:c>
      <x:c r="N42" s="24" t="inlineStr">
        <x:is>
          <x:t xml:space="preserve"/>
        </x:is>
      </x:c>
      <x:c r="O42" s="24" t="inlineStr">
        <x:is>
          <x:t xml:space="preserve"/>
        </x:is>
      </x:c>
      <x:c r="P42" s="24" t="inlineStr">
        <x:is>
          <x:t xml:space="preserve"/>
        </x:is>
      </x:c>
      <x:c r="Q42" s="24" t="inlineStr">
        <x:is>
          <x:t xml:space="preserve"/>
        </x:is>
      </x:c>
      <x:c r="R42" s="24" t="inlineStr">
        <x:is>
          <x:t xml:space="preserve"/>
        </x:is>
      </x:c>
      <x:c r="S42" s="25">
        <x:f>IF(H42="","",IFERROR(H42/G42,""))</x:f>
      </x:c>
      <x:c r="T42" s="26">
        <x:f>IF(H42="","",IFERROR((J42+K42+L42+N42)/H42,""))</x:f>
      </x:c>
      <x:c r="U42" s="25">
        <x:f>IF(COUNTA(J42:L42,N42)=0,"",IFERROR(AVERAGE(J42:L42,N42),""))</x:f>
      </x:c>
      <x:c r="V42" s="17" t="inlineStr">
        <x:is>
          <x:t xml:space="preserve"/>
        </x:is>
      </x:c>
    </x:row>
    <x:row r="43">
      <x:c r="A43" s="16" t="inlineStr">
        <x:is>
          <x:t xml:space="preserve">P004</x:t>
        </x:is>
      </x:c>
      <x:c r="B43" s="16" t="n">
        <x:v>3</x:v>
      </x:c>
      <x:c r="C43" s="16" t="inlineStr">
        <x:is>
          <x:t xml:space="preserve">V05</x:t>
        </x:is>
      </x:c>
      <x:c r="D43" s="16" t="inlineStr">
        <x:is>
          <x:t xml:space="preserve">Tutorial</x:t>
        </x:is>
      </x:c>
      <x:c r="E43" s="16" t="inlineStr">
        <x:is>
          <x:t xml:space="preserve">Keyword highlight</x:t>
        </x:is>
      </x:c>
      <x:c r="F43" s="16" t="inlineStr">
        <x:is>
          <x:t xml:space="preserve">Muted</x:t>
        </x:is>
      </x:c>
      <x:c r="G43" s="21" t="n">
        <x:v>20</x:v>
      </x:c>
      <x:c r="H43" s="21" t="inlineStr">
        <x:is>
          <x:t xml:space="preserve"/>
        </x:is>
      </x:c>
      <x:c r="I43" s="21" t="inlineStr">
        <x:is>
          <x:t xml:space="preserve"/>
        </x:is>
      </x:c>
      <x:c r="J43" s="21" t="inlineStr">
        <x:is>
          <x:t xml:space="preserve"/>
        </x:is>
      </x:c>
      <x:c r="K43" s="21" t="inlineStr">
        <x:is>
          <x:t xml:space="preserve"/>
        </x:is>
      </x:c>
      <x:c r="L43" s="21" t="inlineStr">
        <x:is>
          <x:t xml:space="preserve"/>
        </x:is>
      </x:c>
      <x:c r="M43" s="21" t="inlineStr">
        <x:is>
          <x:t xml:space="preserve"/>
        </x:is>
      </x:c>
      <x:c r="N43" s="21" t="inlineStr">
        <x:is>
          <x:t xml:space="preserve"/>
        </x:is>
      </x:c>
      <x:c r="O43" s="21" t="inlineStr">
        <x:is>
          <x:t xml:space="preserve"/>
        </x:is>
      </x:c>
      <x:c r="P43" s="21" t="inlineStr">
        <x:is>
          <x:t xml:space="preserve"/>
        </x:is>
      </x:c>
      <x:c r="Q43" s="21" t="inlineStr">
        <x:is>
          <x:t xml:space="preserve"/>
        </x:is>
      </x:c>
      <x:c r="R43" s="21" t="inlineStr">
        <x:is>
          <x:t xml:space="preserve"/>
        </x:is>
      </x:c>
      <x:c r="S43" s="22">
        <x:f>IF(H43="","",IFERROR(H43/G43,""))</x:f>
      </x:c>
      <x:c r="T43" s="23">
        <x:f>IF(H43="","",IFERROR((J43+K43+L43+N43)/H43,""))</x:f>
      </x:c>
      <x:c r="U43" s="22">
        <x:f>IF(COUNTA(J43:L43,N43)=0,"",IFERROR(AVERAGE(J43:L43,N43),""))</x:f>
      </x:c>
      <x:c r="V43" s="16" t="inlineStr">
        <x:is>
          <x:t xml:space="preserve"/>
        </x:is>
      </x:c>
    </x:row>
    <x:row r="44">
      <x:c r="A44" s="17" t="inlineStr">
        <x:is>
          <x:t xml:space="preserve">P004</x:t>
        </x:is>
      </x:c>
      <x:c r="B44" s="17" t="n">
        <x:v>4</x:v>
      </x:c>
      <x:c r="C44" s="17" t="inlineStr">
        <x:is>
          <x:t xml:space="preserve">V01</x:t>
        </x:is>
      </x:c>
      <x:c r="D44" s="17" t="inlineStr">
        <x:is>
          <x:t xml:space="preserve">Productivity</x:t>
        </x:is>
      </x:c>
      <x:c r="E44" s="17" t="inlineStr">
        <x:is>
          <x:t xml:space="preserve">BCC</x:t>
        </x:is>
      </x:c>
      <x:c r="F44" s="17" t="inlineStr">
        <x:is>
          <x:t xml:space="preserve">Muted</x:t>
        </x:is>
      </x:c>
      <x:c r="G44" s="24" t="n">
        <x:v>25</x:v>
      </x:c>
      <x:c r="H44" s="24" t="inlineStr">
        <x:is>
          <x:t xml:space="preserve"/>
        </x:is>
      </x:c>
      <x:c r="I44" s="24" t="inlineStr">
        <x:is>
          <x:t xml:space="preserve"/>
        </x:is>
      </x:c>
      <x:c r="J44" s="24" t="inlineStr">
        <x:is>
          <x:t xml:space="preserve"/>
        </x:is>
      </x:c>
      <x:c r="K44" s="24" t="inlineStr">
        <x:is>
          <x:t xml:space="preserve"/>
        </x:is>
      </x:c>
      <x:c r="L44" s="24" t="inlineStr">
        <x:is>
          <x:t xml:space="preserve"/>
        </x:is>
      </x:c>
      <x:c r="M44" s="24" t="inlineStr">
        <x:is>
          <x:t xml:space="preserve"/>
        </x:is>
      </x:c>
      <x:c r="N44" s="24" t="inlineStr">
        <x:is>
          <x:t xml:space="preserve"/>
        </x:is>
      </x:c>
      <x:c r="O44" s="24" t="inlineStr">
        <x:is>
          <x:t xml:space="preserve"/>
        </x:is>
      </x:c>
      <x:c r="P44" s="24" t="inlineStr">
        <x:is>
          <x:t xml:space="preserve"/>
        </x:is>
      </x:c>
      <x:c r="Q44" s="24" t="inlineStr">
        <x:is>
          <x:t xml:space="preserve"/>
        </x:is>
      </x:c>
      <x:c r="R44" s="24" t="inlineStr">
        <x:is>
          <x:t xml:space="preserve"/>
        </x:is>
      </x:c>
      <x:c r="S44" s="25">
        <x:f>IF(H44="","",IFERROR(H44/G44,""))</x:f>
      </x:c>
      <x:c r="T44" s="26">
        <x:f>IF(H44="","",IFERROR((J44+K44+L44+N44)/H44,""))</x:f>
      </x:c>
      <x:c r="U44" s="25">
        <x:f>IF(COUNTA(J44:L44,N44)=0,"",IFERROR(AVERAGE(J44:L44,N44),""))</x:f>
      </x:c>
      <x:c r="V44" s="17" t="inlineStr">
        <x:is>
          <x:t xml:space="preserve"/>
        </x:is>
      </x:c>
    </x:row>
    <x:row r="45">
      <x:c r="A45" s="16" t="inlineStr">
        <x:is>
          <x:t xml:space="preserve">P004</x:t>
        </x:is>
      </x:c>
      <x:c r="B45" s="16" t="n">
        <x:v>5</x:v>
      </x:c>
      <x:c r="C45" s="16" t="inlineStr">
        <x:is>
          <x:t xml:space="preserve">V03</x:t>
        </x:is>
      </x:c>
      <x:c r="D45" s="16" t="inlineStr">
        <x:is>
          <x:t xml:space="preserve">Fitness</x:t>
        </x:is>
      </x:c>
      <x:c r="E45" s="16" t="inlineStr">
        <x:is>
          <x:t xml:space="preserve">Heavy bionic</x:t>
        </x:is>
      </x:c>
      <x:c r="F45" s="16" t="inlineStr">
        <x:is>
          <x:t xml:space="preserve">Muted</x:t>
        </x:is>
      </x:c>
      <x:c r="G45" s="21" t="n">
        <x:v>18</x:v>
      </x:c>
      <x:c r="H45" s="21" t="inlineStr">
        <x:is>
          <x:t xml:space="preserve"/>
        </x:is>
      </x:c>
      <x:c r="I45" s="21" t="inlineStr">
        <x:is>
          <x:t xml:space="preserve"/>
        </x:is>
      </x:c>
      <x:c r="J45" s="21" t="inlineStr">
        <x:is>
          <x:t xml:space="preserve"/>
        </x:is>
      </x:c>
      <x:c r="K45" s="21" t="inlineStr">
        <x:is>
          <x:t xml:space="preserve"/>
        </x:is>
      </x:c>
      <x:c r="L45" s="21" t="inlineStr">
        <x:is>
          <x:t xml:space="preserve"/>
        </x:is>
      </x:c>
      <x:c r="M45" s="21" t="inlineStr">
        <x:is>
          <x:t xml:space="preserve"/>
        </x:is>
      </x:c>
      <x:c r="N45" s="21" t="inlineStr">
        <x:is>
          <x:t xml:space="preserve"/>
        </x:is>
      </x:c>
      <x:c r="O45" s="21" t="inlineStr">
        <x:is>
          <x:t xml:space="preserve"/>
        </x:is>
      </x:c>
      <x:c r="P45" s="21" t="inlineStr">
        <x:is>
          <x:t xml:space="preserve"/>
        </x:is>
      </x:c>
      <x:c r="Q45" s="21" t="inlineStr">
        <x:is>
          <x:t xml:space="preserve"/>
        </x:is>
      </x:c>
      <x:c r="R45" s="21" t="inlineStr">
        <x:is>
          <x:t xml:space="preserve"/>
        </x:is>
      </x:c>
      <x:c r="S45" s="22">
        <x:f>IF(H45="","",IFERROR(H45/G45,""))</x:f>
      </x:c>
      <x:c r="T45" s="23">
        <x:f>IF(H45="","",IFERROR((J45+K45+L45+N45)/H45,""))</x:f>
      </x:c>
      <x:c r="U45" s="22">
        <x:f>IF(COUNTA(J45:L45,N45)=0,"",IFERROR(AVERAGE(J45:L45,N45),""))</x:f>
      </x:c>
      <x:c r="V45" s="16" t="inlineStr">
        <x:is>
          <x:t xml:space="preserve"/>
        </x:is>
      </x:c>
    </x:row>
    <x:row r="46">
      <x:c r="A46" s="17" t="inlineStr">
        <x:is>
          <x:t xml:space="preserve">P004</x:t>
        </x:is>
      </x:c>
      <x:c r="B46" s="17" t="n">
        <x:v>6</x:v>
      </x:c>
      <x:c r="C46" s="17" t="inlineStr">
        <x:is>
          <x:t xml:space="preserve">V11</x:t>
        </x:is>
      </x:c>
      <x:c r="D46" s="17" t="inlineStr">
        <x:is>
          <x:t xml:space="preserve">Creator strategy</x:t>
        </x:is>
      </x:c>
      <x:c r="E46" s="17" t="inlineStr">
        <x:is>
          <x:t xml:space="preserve">Keyword highlight</x:t>
        </x:is>
      </x:c>
      <x:c r="F46" s="17" t="inlineStr">
        <x:is>
          <x:t xml:space="preserve">Muted</x:t>
        </x:is>
      </x:c>
      <x:c r="G46" s="24" t="n">
        <x:v>17</x:v>
      </x:c>
      <x:c r="H46" s="24" t="inlineStr">
        <x:is>
          <x:t xml:space="preserve"/>
        </x:is>
      </x:c>
      <x:c r="I46" s="24" t="inlineStr">
        <x:is>
          <x:t xml:space="preserve"/>
        </x:is>
      </x:c>
      <x:c r="J46" s="24" t="inlineStr">
        <x:is>
          <x:t xml:space="preserve"/>
        </x:is>
      </x:c>
      <x:c r="K46" s="24" t="inlineStr">
        <x:is>
          <x:t xml:space="preserve"/>
        </x:is>
      </x:c>
      <x:c r="L46" s="24" t="inlineStr">
        <x:is>
          <x:t xml:space="preserve"/>
        </x:is>
      </x:c>
      <x:c r="M46" s="24" t="inlineStr">
        <x:is>
          <x:t xml:space="preserve"/>
        </x:is>
      </x:c>
      <x:c r="N46" s="24" t="inlineStr">
        <x:is>
          <x:t xml:space="preserve"/>
        </x:is>
      </x:c>
      <x:c r="O46" s="24" t="inlineStr">
        <x:is>
          <x:t xml:space="preserve"/>
        </x:is>
      </x:c>
      <x:c r="P46" s="24" t="inlineStr">
        <x:is>
          <x:t xml:space="preserve"/>
        </x:is>
      </x:c>
      <x:c r="Q46" s="24" t="inlineStr">
        <x:is>
          <x:t xml:space="preserve"/>
        </x:is>
      </x:c>
      <x:c r="R46" s="24" t="inlineStr">
        <x:is>
          <x:t xml:space="preserve"/>
        </x:is>
      </x:c>
      <x:c r="S46" s="25">
        <x:f>IF(H46="","",IFERROR(H46/G46,""))</x:f>
      </x:c>
      <x:c r="T46" s="26">
        <x:f>IF(H46="","",IFERROR((J46+K46+L46+N46)/H46,""))</x:f>
      </x:c>
      <x:c r="U46" s="25">
        <x:f>IF(COUNTA(J46:L46,N46)=0,"",IFERROR(AVERAGE(J46:L46,N46),""))</x:f>
      </x:c>
      <x:c r="V46" s="17" t="inlineStr">
        <x:is>
          <x:t xml:space="preserve"/>
        </x:is>
      </x:c>
    </x:row>
    <x:row r="47">
      <x:c r="A47" s="16" t="inlineStr">
        <x:is>
          <x:t xml:space="preserve">P004</x:t>
        </x:is>
      </x:c>
      <x:c r="B47" s="16" t="n">
        <x:v>7</x:v>
      </x:c>
      <x:c r="C47" s="16" t="inlineStr">
        <x:is>
          <x:t xml:space="preserve">V12</x:t>
        </x:is>
      </x:c>
      <x:c r="D47" s="16" t="inlineStr">
        <x:is>
          <x:t xml:space="preserve">Time management</x:t>
        </x:is>
      </x:c>
      <x:c r="E47" s="16" t="inlineStr">
        <x:is>
          <x:t xml:space="preserve">Semantic compression</x:t>
        </x:is>
      </x:c>
      <x:c r="F47" s="16" t="inlineStr">
        <x:is>
          <x:t xml:space="preserve">Muted</x:t>
        </x:is>
      </x:c>
      <x:c r="G47" s="21" t="n">
        <x:v>21</x:v>
      </x:c>
      <x:c r="H47" s="21" t="inlineStr">
        <x:is>
          <x:t xml:space="preserve"/>
        </x:is>
      </x:c>
      <x:c r="I47" s="21" t="inlineStr">
        <x:is>
          <x:t xml:space="preserve"/>
        </x:is>
      </x:c>
      <x:c r="J47" s="21" t="inlineStr">
        <x:is>
          <x:t xml:space="preserve"/>
        </x:is>
      </x:c>
      <x:c r="K47" s="21" t="inlineStr">
        <x:is>
          <x:t xml:space="preserve"/>
        </x:is>
      </x:c>
      <x:c r="L47" s="21" t="inlineStr">
        <x:is>
          <x:t xml:space="preserve"/>
        </x:is>
      </x:c>
      <x:c r="M47" s="21" t="inlineStr">
        <x:is>
          <x:t xml:space="preserve"/>
        </x:is>
      </x:c>
      <x:c r="N47" s="21" t="inlineStr">
        <x:is>
          <x:t xml:space="preserve"/>
        </x:is>
      </x:c>
      <x:c r="O47" s="21" t="inlineStr">
        <x:is>
          <x:t xml:space="preserve"/>
        </x:is>
      </x:c>
      <x:c r="P47" s="21" t="inlineStr">
        <x:is>
          <x:t xml:space="preserve"/>
        </x:is>
      </x:c>
      <x:c r="Q47" s="21" t="inlineStr">
        <x:is>
          <x:t xml:space="preserve"/>
        </x:is>
      </x:c>
      <x:c r="R47" s="21" t="inlineStr">
        <x:is>
          <x:t xml:space="preserve"/>
        </x:is>
      </x:c>
      <x:c r="S47" s="22">
        <x:f>IF(H47="","",IFERROR(H47/G47,""))</x:f>
      </x:c>
      <x:c r="T47" s="23">
        <x:f>IF(H47="","",IFERROR((J47+K47+L47+N47)/H47,""))</x:f>
      </x:c>
      <x:c r="U47" s="22">
        <x:f>IF(COUNTA(J47:L47,N47)=0,"",IFERROR(AVERAGE(J47:L47,N47),""))</x:f>
      </x:c>
      <x:c r="V47" s="16" t="inlineStr">
        <x:is>
          <x:t xml:space="preserve"/>
        </x:is>
      </x:c>
    </x:row>
    <x:row r="48">
      <x:c r="A48" s="17" t="inlineStr">
        <x:is>
          <x:t xml:space="preserve">P004</x:t>
        </x:is>
      </x:c>
      <x:c r="B48" s="17" t="n">
        <x:v>8</x:v>
      </x:c>
      <x:c r="C48" s="17" t="inlineStr">
        <x:is>
          <x:t xml:space="preserve">V04</x:t>
        </x:is>
      </x:c>
      <x:c r="D48" s="17" t="inlineStr">
        <x:is>
          <x:t xml:space="preserve">Finance</x:t>
        </x:is>
      </x:c>
      <x:c r="E48" s="17" t="inlineStr">
        <x:is>
          <x:t xml:space="preserve">Full transcript</x:t>
        </x:is>
      </x:c>
      <x:c r="F48" s="17" t="inlineStr">
        <x:is>
          <x:t xml:space="preserve">Muted</x:t>
        </x:is>
      </x:c>
      <x:c r="G48" s="24" t="n">
        <x:v>20</x:v>
      </x:c>
      <x:c r="H48" s="24" t="inlineStr">
        <x:is>
          <x:t xml:space="preserve"/>
        </x:is>
      </x:c>
      <x:c r="I48" s="24" t="inlineStr">
        <x:is>
          <x:t xml:space="preserve"/>
        </x:is>
      </x:c>
      <x:c r="J48" s="24" t="inlineStr">
        <x:is>
          <x:t xml:space="preserve"/>
        </x:is>
      </x:c>
      <x:c r="K48" s="24" t="inlineStr">
        <x:is>
          <x:t xml:space="preserve"/>
        </x:is>
      </x:c>
      <x:c r="L48" s="24" t="inlineStr">
        <x:is>
          <x:t xml:space="preserve"/>
        </x:is>
      </x:c>
      <x:c r="M48" s="24" t="inlineStr">
        <x:is>
          <x:t xml:space="preserve"/>
        </x:is>
      </x:c>
      <x:c r="N48" s="24" t="inlineStr">
        <x:is>
          <x:t xml:space="preserve"/>
        </x:is>
      </x:c>
      <x:c r="O48" s="24" t="inlineStr">
        <x:is>
          <x:t xml:space="preserve"/>
        </x:is>
      </x:c>
      <x:c r="P48" s="24" t="inlineStr">
        <x:is>
          <x:t xml:space="preserve"/>
        </x:is>
      </x:c>
      <x:c r="Q48" s="24" t="inlineStr">
        <x:is>
          <x:t xml:space="preserve"/>
        </x:is>
      </x:c>
      <x:c r="R48" s="24" t="inlineStr">
        <x:is>
          <x:t xml:space="preserve"/>
        </x:is>
      </x:c>
      <x:c r="S48" s="25">
        <x:f>IF(H48="","",IFERROR(H48/G48,""))</x:f>
      </x:c>
      <x:c r="T48" s="26">
        <x:f>IF(H48="","",IFERROR((J48+K48+L48+N48)/H48,""))</x:f>
      </x:c>
      <x:c r="U48" s="25">
        <x:f>IF(COUNTA(J48:L48,N48)=0,"",IFERROR(AVERAGE(J48:L48,N48),""))</x:f>
      </x:c>
      <x:c r="V48" s="17" t="inlineStr">
        <x:is>
          <x:t xml:space="preserve"/>
        </x:is>
      </x:c>
    </x:row>
    <x:row r="49">
      <x:c r="A49" s="16" t="inlineStr">
        <x:is>
          <x:t xml:space="preserve">P004</x:t>
        </x:is>
      </x:c>
      <x:c r="B49" s="16" t="n">
        <x:v>9</x:v>
      </x:c>
      <x:c r="C49" s="16" t="inlineStr">
        <x:is>
          <x:t xml:space="preserve">V09</x:t>
        </x:is>
      </x:c>
      <x:c r="D49" s="16" t="inlineStr">
        <x:is>
          <x:t xml:space="preserve">Sleep habit</x:t>
        </x:is>
      </x:c>
      <x:c r="E49" s="16" t="inlineStr">
        <x:is>
          <x:t xml:space="preserve">Heavy bionic</x:t>
        </x:is>
      </x:c>
      <x:c r="F49" s="16" t="inlineStr">
        <x:is>
          <x:t xml:space="preserve">Muted</x:t>
        </x:is>
      </x:c>
      <x:c r="G49" s="21" t="n">
        <x:v>19</x:v>
      </x:c>
      <x:c r="H49" s="21" t="inlineStr">
        <x:is>
          <x:t xml:space="preserve"/>
        </x:is>
      </x:c>
      <x:c r="I49" s="21" t="inlineStr">
        <x:is>
          <x:t xml:space="preserve"/>
        </x:is>
      </x:c>
      <x:c r="J49" s="21" t="inlineStr">
        <x:is>
          <x:t xml:space="preserve"/>
        </x:is>
      </x:c>
      <x:c r="K49" s="21" t="inlineStr">
        <x:is>
          <x:t xml:space="preserve"/>
        </x:is>
      </x:c>
      <x:c r="L49" s="21" t="inlineStr">
        <x:is>
          <x:t xml:space="preserve"/>
        </x:is>
      </x:c>
      <x:c r="M49" s="21" t="inlineStr">
        <x:is>
          <x:t xml:space="preserve"/>
        </x:is>
      </x:c>
      <x:c r="N49" s="21" t="inlineStr">
        <x:is>
          <x:t xml:space="preserve"/>
        </x:is>
      </x:c>
      <x:c r="O49" s="21" t="inlineStr">
        <x:is>
          <x:t xml:space="preserve"/>
        </x:is>
      </x:c>
      <x:c r="P49" s="21" t="inlineStr">
        <x:is>
          <x:t xml:space="preserve"/>
        </x:is>
      </x:c>
      <x:c r="Q49" s="21" t="inlineStr">
        <x:is>
          <x:t xml:space="preserve"/>
        </x:is>
      </x:c>
      <x:c r="R49" s="21" t="inlineStr">
        <x:is>
          <x:t xml:space="preserve"/>
        </x:is>
      </x:c>
      <x:c r="S49" s="22">
        <x:f>IF(H49="","",IFERROR(H49/G49,""))</x:f>
      </x:c>
      <x:c r="T49" s="23">
        <x:f>IF(H49="","",IFERROR((J49+K49+L49+N49)/H49,""))</x:f>
      </x:c>
      <x:c r="U49" s="22">
        <x:f>IF(COUNTA(J49:L49,N49)=0,"",IFERROR(AVERAGE(J49:L49,N49),""))</x:f>
      </x:c>
      <x:c r="V49" s="16" t="inlineStr">
        <x:is>
          <x:t xml:space="preserve"/>
        </x:is>
      </x:c>
    </x:row>
    <x:row r="50">
      <x:c r="A50" s="17" t="inlineStr">
        <x:is>
          <x:t xml:space="preserve">P004</x:t>
        </x:is>
      </x:c>
      <x:c r="B50" s="17" t="n">
        <x:v>10</x:v>
      </x:c>
      <x:c r="C50" s="17" t="inlineStr">
        <x:is>
          <x:t xml:space="preserve">V10</x:t>
        </x:is>
      </x:c>
      <x:c r="D50" s="17" t="inlineStr">
        <x:is>
          <x:t xml:space="preserve">Product demo</x:t>
        </x:is>
      </x:c>
      <x:c r="E50" s="17" t="inlineStr">
        <x:is>
          <x:t xml:space="preserve">Full transcript</x:t>
        </x:is>
      </x:c>
      <x:c r="F50" s="17" t="inlineStr">
        <x:is>
          <x:t xml:space="preserve">Muted</x:t>
        </x:is>
      </x:c>
      <x:c r="G50" s="24" t="n">
        <x:v>15</x:v>
      </x:c>
      <x:c r="H50" s="24" t="inlineStr">
        <x:is>
          <x:t xml:space="preserve"/>
        </x:is>
      </x:c>
      <x:c r="I50" s="24" t="inlineStr">
        <x:is>
          <x:t xml:space="preserve"/>
        </x:is>
      </x:c>
      <x:c r="J50" s="24" t="inlineStr">
        <x:is>
          <x:t xml:space="preserve"/>
        </x:is>
      </x:c>
      <x:c r="K50" s="24" t="inlineStr">
        <x:is>
          <x:t xml:space="preserve"/>
        </x:is>
      </x:c>
      <x:c r="L50" s="24" t="inlineStr">
        <x:is>
          <x:t xml:space="preserve"/>
        </x:is>
      </x:c>
      <x:c r="M50" s="24" t="inlineStr">
        <x:is>
          <x:t xml:space="preserve"/>
        </x:is>
      </x:c>
      <x:c r="N50" s="24" t="inlineStr">
        <x:is>
          <x:t xml:space="preserve"/>
        </x:is>
      </x:c>
      <x:c r="O50" s="24" t="inlineStr">
        <x:is>
          <x:t xml:space="preserve"/>
        </x:is>
      </x:c>
      <x:c r="P50" s="24" t="inlineStr">
        <x:is>
          <x:t xml:space="preserve"/>
        </x:is>
      </x:c>
      <x:c r="Q50" s="24" t="inlineStr">
        <x:is>
          <x:t xml:space="preserve"/>
        </x:is>
      </x:c>
      <x:c r="R50" s="24" t="inlineStr">
        <x:is>
          <x:t xml:space="preserve"/>
        </x:is>
      </x:c>
      <x:c r="S50" s="25">
        <x:f>IF(H50="","",IFERROR(H50/G50,""))</x:f>
      </x:c>
      <x:c r="T50" s="26">
        <x:f>IF(H50="","",IFERROR((J50+K50+L50+N50)/H50,""))</x:f>
      </x:c>
      <x:c r="U50" s="25">
        <x:f>IF(COUNTA(J50:L50,N50)=0,"",IFERROR(AVERAGE(J50:L50,N50),""))</x:f>
      </x:c>
      <x:c r="V50" s="17" t="inlineStr">
        <x:is>
          <x:t xml:space="preserve"/>
        </x:is>
      </x:c>
    </x:row>
    <x:row r="51">
      <x:c r="A51" s="16" t="inlineStr">
        <x:is>
          <x:t xml:space="preserve">P004</x:t>
        </x:is>
      </x:c>
      <x:c r="B51" s="16" t="n">
        <x:v>11</x:v>
      </x:c>
      <x:c r="C51" s="16" t="inlineStr">
        <x:is>
          <x:t xml:space="preserve">V02</x:t>
        </x:is>
      </x:c>
      <x:c r="D51" s="16" t="inlineStr">
        <x:is>
          <x:t xml:space="preserve">Study</x:t>
        </x:is>
      </x:c>
      <x:c r="E51" s="16" t="inlineStr">
        <x:is>
          <x:t xml:space="preserve">BCC+</x:t>
        </x:is>
      </x:c>
      <x:c r="F51" s="16" t="inlineStr">
        <x:is>
          <x:t xml:space="preserve">Muted</x:t>
        </x:is>
      </x:c>
      <x:c r="G51" s="21" t="n">
        <x:v>18</x:v>
      </x:c>
      <x:c r="H51" s="21" t="inlineStr">
        <x:is>
          <x:t xml:space="preserve"/>
        </x:is>
      </x:c>
      <x:c r="I51" s="21" t="inlineStr">
        <x:is>
          <x:t xml:space="preserve"/>
        </x:is>
      </x:c>
      <x:c r="J51" s="21" t="inlineStr">
        <x:is>
          <x:t xml:space="preserve"/>
        </x:is>
      </x:c>
      <x:c r="K51" s="21" t="inlineStr">
        <x:is>
          <x:t xml:space="preserve"/>
        </x:is>
      </x:c>
      <x:c r="L51" s="21" t="inlineStr">
        <x:is>
          <x:t xml:space="preserve"/>
        </x:is>
      </x:c>
      <x:c r="M51" s="21" t="inlineStr">
        <x:is>
          <x:t xml:space="preserve"/>
        </x:is>
      </x:c>
      <x:c r="N51" s="21" t="inlineStr">
        <x:is>
          <x:t xml:space="preserve"/>
        </x:is>
      </x:c>
      <x:c r="O51" s="21" t="inlineStr">
        <x:is>
          <x:t xml:space="preserve"/>
        </x:is>
      </x:c>
      <x:c r="P51" s="21" t="inlineStr">
        <x:is>
          <x:t xml:space="preserve"/>
        </x:is>
      </x:c>
      <x:c r="Q51" s="21" t="inlineStr">
        <x:is>
          <x:t xml:space="preserve"/>
        </x:is>
      </x:c>
      <x:c r="R51" s="21" t="inlineStr">
        <x:is>
          <x:t xml:space="preserve"/>
        </x:is>
      </x:c>
      <x:c r="S51" s="22">
        <x:f>IF(H51="","",IFERROR(H51/G51,""))</x:f>
      </x:c>
      <x:c r="T51" s="23">
        <x:f>IF(H51="","",IFERROR((J51+K51+L51+N51)/H51,""))</x:f>
      </x:c>
      <x:c r="U51" s="22">
        <x:f>IF(COUNTA(J51:L51,N51)=0,"",IFERROR(AVERAGE(J51:L51,N51),""))</x:f>
      </x:c>
      <x:c r="V51" s="16" t="inlineStr">
        <x:is>
          <x:t xml:space="preserve"/>
        </x:is>
      </x:c>
    </x:row>
    <x:row r="52">
      <x:c r="A52" s="17" t="inlineStr">
        <x:is>
          <x:t xml:space="preserve">P004</x:t>
        </x:is>
      </x:c>
      <x:c r="B52" s="17" t="n">
        <x:v>12</x:v>
      </x:c>
      <x:c r="C52" s="17" t="inlineStr">
        <x:is>
          <x:t xml:space="preserve">V07</x:t>
        </x:is>
      </x:c>
      <x:c r="D52" s="17" t="inlineStr">
        <x:is>
          <x:t xml:space="preserve">Business</x:t>
        </x:is>
      </x:c>
      <x:c r="E52" s="17" t="inlineStr">
        <x:is>
          <x:t xml:space="preserve">BCC</x:t>
        </x:is>
      </x:c>
      <x:c r="F52" s="17" t="inlineStr">
        <x:is>
          <x:t xml:space="preserve">Muted</x:t>
        </x:is>
      </x:c>
      <x:c r="G52" s="24" t="n">
        <x:v>18</x:v>
      </x:c>
      <x:c r="H52" s="24" t="inlineStr">
        <x:is>
          <x:t xml:space="preserve"/>
        </x:is>
      </x:c>
      <x:c r="I52" s="24" t="inlineStr">
        <x:is>
          <x:t xml:space="preserve"/>
        </x:is>
      </x:c>
      <x:c r="J52" s="24" t="inlineStr">
        <x:is>
          <x:t xml:space="preserve"/>
        </x:is>
      </x:c>
      <x:c r="K52" s="24" t="inlineStr">
        <x:is>
          <x:t xml:space="preserve"/>
        </x:is>
      </x:c>
      <x:c r="L52" s="24" t="inlineStr">
        <x:is>
          <x:t xml:space="preserve"/>
        </x:is>
      </x:c>
      <x:c r="M52" s="24" t="inlineStr">
        <x:is>
          <x:t xml:space="preserve"/>
        </x:is>
      </x:c>
      <x:c r="N52" s="24" t="inlineStr">
        <x:is>
          <x:t xml:space="preserve"/>
        </x:is>
      </x:c>
      <x:c r="O52" s="24" t="inlineStr">
        <x:is>
          <x:t xml:space="preserve"/>
        </x:is>
      </x:c>
      <x:c r="P52" s="24" t="inlineStr">
        <x:is>
          <x:t xml:space="preserve"/>
        </x:is>
      </x:c>
      <x:c r="Q52" s="24" t="inlineStr">
        <x:is>
          <x:t xml:space="preserve"/>
        </x:is>
      </x:c>
      <x:c r="R52" s="24" t="inlineStr">
        <x:is>
          <x:t xml:space="preserve"/>
        </x:is>
      </x:c>
      <x:c r="S52" s="25">
        <x:f>IF(H52="","",IFERROR(H52/G52,""))</x:f>
      </x:c>
      <x:c r="T52" s="26">
        <x:f>IF(H52="","",IFERROR((J52+K52+L52+N52)/H52,""))</x:f>
      </x:c>
      <x:c r="U52" s="25">
        <x:f>IF(COUNTA(J52:L52,N52)=0,"",IFERROR(AVERAGE(J52:L52,N52),""))</x:f>
      </x:c>
      <x:c r="V52" s="17" t="inlineStr">
        <x:is>
          <x:t xml:space="preserve"/>
        </x:is>
      </x:c>
    </x:row>
    <x:row r="53">
      <x:c r="A53" s="16" t="inlineStr">
        <x:is>
          <x:t xml:space="preserve">P005</x:t>
        </x:is>
      </x:c>
      <x:c r="B53" s="16" t="n">
        <x:v>1</x:v>
      </x:c>
      <x:c r="C53" s="16" t="inlineStr">
        <x:is>
          <x:t xml:space="preserve">V10</x:t>
        </x:is>
      </x:c>
      <x:c r="D53" s="16" t="inlineStr">
        <x:is>
          <x:t xml:space="preserve">Product demo</x:t>
        </x:is>
      </x:c>
      <x:c r="E53" s="16" t="inlineStr">
        <x:is>
          <x:t xml:space="preserve">Keyword highlight</x:t>
        </x:is>
      </x:c>
      <x:c r="F53" s="16" t="inlineStr">
        <x:is>
          <x:t xml:space="preserve">Muted</x:t>
        </x:is>
      </x:c>
      <x:c r="G53" s="21" t="n">
        <x:v>15</x:v>
      </x:c>
      <x:c r="H53" s="21" t="inlineStr">
        <x:is>
          <x:t xml:space="preserve"/>
        </x:is>
      </x:c>
      <x:c r="I53" s="21" t="inlineStr">
        <x:is>
          <x:t xml:space="preserve"/>
        </x:is>
      </x:c>
      <x:c r="J53" s="21" t="inlineStr">
        <x:is>
          <x:t xml:space="preserve"/>
        </x:is>
      </x:c>
      <x:c r="K53" s="21" t="inlineStr">
        <x:is>
          <x:t xml:space="preserve"/>
        </x:is>
      </x:c>
      <x:c r="L53" s="21" t="inlineStr">
        <x:is>
          <x:t xml:space="preserve"/>
        </x:is>
      </x:c>
      <x:c r="M53" s="21" t="inlineStr">
        <x:is>
          <x:t xml:space="preserve"/>
        </x:is>
      </x:c>
      <x:c r="N53" s="21" t="inlineStr">
        <x:is>
          <x:t xml:space="preserve"/>
        </x:is>
      </x:c>
      <x:c r="O53" s="21" t="inlineStr">
        <x:is>
          <x:t xml:space="preserve"/>
        </x:is>
      </x:c>
      <x:c r="P53" s="21" t="inlineStr">
        <x:is>
          <x:t xml:space="preserve"/>
        </x:is>
      </x:c>
      <x:c r="Q53" s="21" t="inlineStr">
        <x:is>
          <x:t xml:space="preserve"/>
        </x:is>
      </x:c>
      <x:c r="R53" s="21" t="inlineStr">
        <x:is>
          <x:t xml:space="preserve"/>
        </x:is>
      </x:c>
      <x:c r="S53" s="22">
        <x:f>IF(H53="","",IFERROR(H53/G53,""))</x:f>
      </x:c>
      <x:c r="T53" s="23">
        <x:f>IF(H53="","",IFERROR((J53+K53+L53+N53)/H53,""))</x:f>
      </x:c>
      <x:c r="U53" s="22">
        <x:f>IF(COUNTA(J53:L53,N53)=0,"",IFERROR(AVERAGE(J53:L53,N53),""))</x:f>
      </x:c>
      <x:c r="V53" s="16" t="inlineStr">
        <x:is>
          <x:t xml:space="preserve"/>
        </x:is>
      </x:c>
    </x:row>
    <x:row r="54">
      <x:c r="A54" s="17" t="inlineStr">
        <x:is>
          <x:t xml:space="preserve">P005</x:t>
        </x:is>
      </x:c>
      <x:c r="B54" s="17" t="n">
        <x:v>2</x:v>
      </x:c>
      <x:c r="C54" s="17" t="inlineStr">
        <x:is>
          <x:t xml:space="preserve">V06</x:t>
        </x:is>
      </x:c>
      <x:c r="D54" s="17" t="inlineStr">
        <x:is>
          <x:t xml:space="preserve">Overload</x:t>
        </x:is>
      </x:c>
      <x:c r="E54" s="17" t="inlineStr">
        <x:is>
          <x:t xml:space="preserve">BCC</x:t>
        </x:is>
      </x:c>
      <x:c r="F54" s="17" t="inlineStr">
        <x:is>
          <x:t xml:space="preserve">Muted</x:t>
        </x:is>
      </x:c>
      <x:c r="G54" s="24" t="n">
        <x:v>16</x:v>
      </x:c>
      <x:c r="H54" s="24" t="inlineStr">
        <x:is>
          <x:t xml:space="preserve"/>
        </x:is>
      </x:c>
      <x:c r="I54" s="24" t="inlineStr">
        <x:is>
          <x:t xml:space="preserve"/>
        </x:is>
      </x:c>
      <x:c r="J54" s="24" t="inlineStr">
        <x:is>
          <x:t xml:space="preserve"/>
        </x:is>
      </x:c>
      <x:c r="K54" s="24" t="inlineStr">
        <x:is>
          <x:t xml:space="preserve"/>
        </x:is>
      </x:c>
      <x:c r="L54" s="24" t="inlineStr">
        <x:is>
          <x:t xml:space="preserve"/>
        </x:is>
      </x:c>
      <x:c r="M54" s="24" t="inlineStr">
        <x:is>
          <x:t xml:space="preserve"/>
        </x:is>
      </x:c>
      <x:c r="N54" s="24" t="inlineStr">
        <x:is>
          <x:t xml:space="preserve"/>
        </x:is>
      </x:c>
      <x:c r="O54" s="24" t="inlineStr">
        <x:is>
          <x:t xml:space="preserve"/>
        </x:is>
      </x:c>
      <x:c r="P54" s="24" t="inlineStr">
        <x:is>
          <x:t xml:space="preserve"/>
        </x:is>
      </x:c>
      <x:c r="Q54" s="24" t="inlineStr">
        <x:is>
          <x:t xml:space="preserve"/>
        </x:is>
      </x:c>
      <x:c r="R54" s="24" t="inlineStr">
        <x:is>
          <x:t xml:space="preserve"/>
        </x:is>
      </x:c>
      <x:c r="S54" s="25">
        <x:f>IF(H54="","",IFERROR(H54/G54,""))</x:f>
      </x:c>
      <x:c r="T54" s="26">
        <x:f>IF(H54="","",IFERROR((J54+K54+L54+N54)/H54,""))</x:f>
      </x:c>
      <x:c r="U54" s="25">
        <x:f>IF(COUNTA(J54:L54,N54)=0,"",IFERROR(AVERAGE(J54:L54,N54),""))</x:f>
      </x:c>
      <x:c r="V54" s="17" t="inlineStr">
        <x:is>
          <x:t xml:space="preserve"/>
        </x:is>
      </x:c>
    </x:row>
    <x:row r="55">
      <x:c r="A55" s="16" t="inlineStr">
        <x:is>
          <x:t xml:space="preserve">P005</x:t>
        </x:is>
      </x:c>
      <x:c r="B55" s="16" t="n">
        <x:v>3</x:v>
      </x:c>
      <x:c r="C55" s="16" t="inlineStr">
        <x:is>
          <x:t xml:space="preserve">V01</x:t>
        </x:is>
      </x:c>
      <x:c r="D55" s="16" t="inlineStr">
        <x:is>
          <x:t xml:space="preserve">Productivity</x:t>
        </x:is>
      </x:c>
      <x:c r="E55" s="16" t="inlineStr">
        <x:is>
          <x:t xml:space="preserve">BCC+</x:t>
        </x:is>
      </x:c>
      <x:c r="F55" s="16" t="inlineStr">
        <x:is>
          <x:t xml:space="preserve">Muted</x:t>
        </x:is>
      </x:c>
      <x:c r="G55" s="21" t="n">
        <x:v>25</x:v>
      </x:c>
      <x:c r="H55" s="21" t="inlineStr">
        <x:is>
          <x:t xml:space="preserve"/>
        </x:is>
      </x:c>
      <x:c r="I55" s="21" t="inlineStr">
        <x:is>
          <x:t xml:space="preserve"/>
        </x:is>
      </x:c>
      <x:c r="J55" s="21" t="inlineStr">
        <x:is>
          <x:t xml:space="preserve"/>
        </x:is>
      </x:c>
      <x:c r="K55" s="21" t="inlineStr">
        <x:is>
          <x:t xml:space="preserve"/>
        </x:is>
      </x:c>
      <x:c r="L55" s="21" t="inlineStr">
        <x:is>
          <x:t xml:space="preserve"/>
        </x:is>
      </x:c>
      <x:c r="M55" s="21" t="inlineStr">
        <x:is>
          <x:t xml:space="preserve"/>
        </x:is>
      </x:c>
      <x:c r="N55" s="21" t="inlineStr">
        <x:is>
          <x:t xml:space="preserve"/>
        </x:is>
      </x:c>
      <x:c r="O55" s="21" t="inlineStr">
        <x:is>
          <x:t xml:space="preserve"/>
        </x:is>
      </x:c>
      <x:c r="P55" s="21" t="inlineStr">
        <x:is>
          <x:t xml:space="preserve"/>
        </x:is>
      </x:c>
      <x:c r="Q55" s="21" t="inlineStr">
        <x:is>
          <x:t xml:space="preserve"/>
        </x:is>
      </x:c>
      <x:c r="R55" s="21" t="inlineStr">
        <x:is>
          <x:t xml:space="preserve"/>
        </x:is>
      </x:c>
      <x:c r="S55" s="22">
        <x:f>IF(H55="","",IFERROR(H55/G55,""))</x:f>
      </x:c>
      <x:c r="T55" s="23">
        <x:f>IF(H55="","",IFERROR((J55+K55+L55+N55)/H55,""))</x:f>
      </x:c>
      <x:c r="U55" s="22">
        <x:f>IF(COUNTA(J55:L55,N55)=0,"",IFERROR(AVERAGE(J55:L55,N55),""))</x:f>
      </x:c>
      <x:c r="V55" s="16" t="inlineStr">
        <x:is>
          <x:t xml:space="preserve"/>
        </x:is>
      </x:c>
    </x:row>
    <x:row r="56">
      <x:c r="A56" s="17" t="inlineStr">
        <x:is>
          <x:t xml:space="preserve">P005</x:t>
        </x:is>
      </x:c>
      <x:c r="B56" s="17" t="n">
        <x:v>4</x:v>
      </x:c>
      <x:c r="C56" s="17" t="inlineStr">
        <x:is>
          <x:t xml:space="preserve">V04</x:t>
        </x:is>
      </x:c>
      <x:c r="D56" s="17" t="inlineStr">
        <x:is>
          <x:t xml:space="preserve">Finance</x:t>
        </x:is>
      </x:c>
      <x:c r="E56" s="17" t="inlineStr">
        <x:is>
          <x:t xml:space="preserve">Keyword highlight</x:t>
        </x:is>
      </x:c>
      <x:c r="F56" s="17" t="inlineStr">
        <x:is>
          <x:t xml:space="preserve">Muted</x:t>
        </x:is>
      </x:c>
      <x:c r="G56" s="24" t="n">
        <x:v>20</x:v>
      </x:c>
      <x:c r="H56" s="24" t="inlineStr">
        <x:is>
          <x:t xml:space="preserve"/>
        </x:is>
      </x:c>
      <x:c r="I56" s="24" t="inlineStr">
        <x:is>
          <x:t xml:space="preserve"/>
        </x:is>
      </x:c>
      <x:c r="J56" s="24" t="inlineStr">
        <x:is>
          <x:t xml:space="preserve"/>
        </x:is>
      </x:c>
      <x:c r="K56" s="24" t="inlineStr">
        <x:is>
          <x:t xml:space="preserve"/>
        </x:is>
      </x:c>
      <x:c r="L56" s="24" t="inlineStr">
        <x:is>
          <x:t xml:space="preserve"/>
        </x:is>
      </x:c>
      <x:c r="M56" s="24" t="inlineStr">
        <x:is>
          <x:t xml:space="preserve"/>
        </x:is>
      </x:c>
      <x:c r="N56" s="24" t="inlineStr">
        <x:is>
          <x:t xml:space="preserve"/>
        </x:is>
      </x:c>
      <x:c r="O56" s="24" t="inlineStr">
        <x:is>
          <x:t xml:space="preserve"/>
        </x:is>
      </x:c>
      <x:c r="P56" s="24" t="inlineStr">
        <x:is>
          <x:t xml:space="preserve"/>
        </x:is>
      </x:c>
      <x:c r="Q56" s="24" t="inlineStr">
        <x:is>
          <x:t xml:space="preserve"/>
        </x:is>
      </x:c>
      <x:c r="R56" s="24" t="inlineStr">
        <x:is>
          <x:t xml:space="preserve"/>
        </x:is>
      </x:c>
      <x:c r="S56" s="25">
        <x:f>IF(H56="","",IFERROR(H56/G56,""))</x:f>
      </x:c>
      <x:c r="T56" s="26">
        <x:f>IF(H56="","",IFERROR((J56+K56+L56+N56)/H56,""))</x:f>
      </x:c>
      <x:c r="U56" s="25">
        <x:f>IF(COUNTA(J56:L56,N56)=0,"",IFERROR(AVERAGE(J56:L56,N56),""))</x:f>
      </x:c>
      <x:c r="V56" s="17" t="inlineStr">
        <x:is>
          <x:t xml:space="preserve"/>
        </x:is>
      </x:c>
    </x:row>
    <x:row r="57">
      <x:c r="A57" s="16" t="inlineStr">
        <x:is>
          <x:t xml:space="preserve">P005</x:t>
        </x:is>
      </x:c>
      <x:c r="B57" s="16" t="n">
        <x:v>5</x:v>
      </x:c>
      <x:c r="C57" s="16" t="inlineStr">
        <x:is>
          <x:t xml:space="preserve">V02</x:t>
        </x:is>
      </x:c>
      <x:c r="D57" s="16" t="inlineStr">
        <x:is>
          <x:t xml:space="preserve">Study</x:t>
        </x:is>
      </x:c>
      <x:c r="E57" s="16" t="inlineStr">
        <x:is>
          <x:t xml:space="preserve">Heavy bionic</x:t>
        </x:is>
      </x:c>
      <x:c r="F57" s="16" t="inlineStr">
        <x:is>
          <x:t xml:space="preserve">Muted</x:t>
        </x:is>
      </x:c>
      <x:c r="G57" s="21" t="n">
        <x:v>18</x:v>
      </x:c>
      <x:c r="H57" s="21" t="inlineStr">
        <x:is>
          <x:t xml:space="preserve"/>
        </x:is>
      </x:c>
      <x:c r="I57" s="21" t="inlineStr">
        <x:is>
          <x:t xml:space="preserve"/>
        </x:is>
      </x:c>
      <x:c r="J57" s="21" t="inlineStr">
        <x:is>
          <x:t xml:space="preserve"/>
        </x:is>
      </x:c>
      <x:c r="K57" s="21" t="inlineStr">
        <x:is>
          <x:t xml:space="preserve"/>
        </x:is>
      </x:c>
      <x:c r="L57" s="21" t="inlineStr">
        <x:is>
          <x:t xml:space="preserve"/>
        </x:is>
      </x:c>
      <x:c r="M57" s="21" t="inlineStr">
        <x:is>
          <x:t xml:space="preserve"/>
        </x:is>
      </x:c>
      <x:c r="N57" s="21" t="inlineStr">
        <x:is>
          <x:t xml:space="preserve"/>
        </x:is>
      </x:c>
      <x:c r="O57" s="21" t="inlineStr">
        <x:is>
          <x:t xml:space="preserve"/>
        </x:is>
      </x:c>
      <x:c r="P57" s="21" t="inlineStr">
        <x:is>
          <x:t xml:space="preserve"/>
        </x:is>
      </x:c>
      <x:c r="Q57" s="21" t="inlineStr">
        <x:is>
          <x:t xml:space="preserve"/>
        </x:is>
      </x:c>
      <x:c r="R57" s="21" t="inlineStr">
        <x:is>
          <x:t xml:space="preserve"/>
        </x:is>
      </x:c>
      <x:c r="S57" s="22">
        <x:f>IF(H57="","",IFERROR(H57/G57,""))</x:f>
      </x:c>
      <x:c r="T57" s="23">
        <x:f>IF(H57="","",IFERROR((J57+K57+L57+N57)/H57,""))</x:f>
      </x:c>
      <x:c r="U57" s="22">
        <x:f>IF(COUNTA(J57:L57,N57)=0,"",IFERROR(AVERAGE(J57:L57,N57),""))</x:f>
      </x:c>
      <x:c r="V57" s="16" t="inlineStr">
        <x:is>
          <x:t xml:space="preserve"/>
        </x:is>
      </x:c>
    </x:row>
    <x:row r="58">
      <x:c r="A58" s="17" t="inlineStr">
        <x:is>
          <x:t xml:space="preserve">P005</x:t>
        </x:is>
      </x:c>
      <x:c r="B58" s="17" t="n">
        <x:v>6</x:v>
      </x:c>
      <x:c r="C58" s="17" t="inlineStr">
        <x:is>
          <x:t xml:space="preserve">V12</x:t>
        </x:is>
      </x:c>
      <x:c r="D58" s="17" t="inlineStr">
        <x:is>
          <x:t xml:space="preserve">Time management</x:t>
        </x:is>
      </x:c>
      <x:c r="E58" s="17" t="inlineStr">
        <x:is>
          <x:t xml:space="preserve">BCC</x:t>
        </x:is>
      </x:c>
      <x:c r="F58" s="17" t="inlineStr">
        <x:is>
          <x:t xml:space="preserve">Muted</x:t>
        </x:is>
      </x:c>
      <x:c r="G58" s="24" t="n">
        <x:v>21</x:v>
      </x:c>
      <x:c r="H58" s="24" t="inlineStr">
        <x:is>
          <x:t xml:space="preserve"/>
        </x:is>
      </x:c>
      <x:c r="I58" s="24" t="inlineStr">
        <x:is>
          <x:t xml:space="preserve"/>
        </x:is>
      </x:c>
      <x:c r="J58" s="24" t="inlineStr">
        <x:is>
          <x:t xml:space="preserve"/>
        </x:is>
      </x:c>
      <x:c r="K58" s="24" t="inlineStr">
        <x:is>
          <x:t xml:space="preserve"/>
        </x:is>
      </x:c>
      <x:c r="L58" s="24" t="inlineStr">
        <x:is>
          <x:t xml:space="preserve"/>
        </x:is>
      </x:c>
      <x:c r="M58" s="24" t="inlineStr">
        <x:is>
          <x:t xml:space="preserve"/>
        </x:is>
      </x:c>
      <x:c r="N58" s="24" t="inlineStr">
        <x:is>
          <x:t xml:space="preserve"/>
        </x:is>
      </x:c>
      <x:c r="O58" s="24" t="inlineStr">
        <x:is>
          <x:t xml:space="preserve"/>
        </x:is>
      </x:c>
      <x:c r="P58" s="24" t="inlineStr">
        <x:is>
          <x:t xml:space="preserve"/>
        </x:is>
      </x:c>
      <x:c r="Q58" s="24" t="inlineStr">
        <x:is>
          <x:t xml:space="preserve"/>
        </x:is>
      </x:c>
      <x:c r="R58" s="24" t="inlineStr">
        <x:is>
          <x:t xml:space="preserve"/>
        </x:is>
      </x:c>
      <x:c r="S58" s="25">
        <x:f>IF(H58="","",IFERROR(H58/G58,""))</x:f>
      </x:c>
      <x:c r="T58" s="26">
        <x:f>IF(H58="","",IFERROR((J58+K58+L58+N58)/H58,""))</x:f>
      </x:c>
      <x:c r="U58" s="25">
        <x:f>IF(COUNTA(J58:L58,N58)=0,"",IFERROR(AVERAGE(J58:L58,N58),""))</x:f>
      </x:c>
      <x:c r="V58" s="17" t="inlineStr">
        <x:is>
          <x:t xml:space="preserve"/>
        </x:is>
      </x:c>
    </x:row>
    <x:row r="59">
      <x:c r="A59" s="16" t="inlineStr">
        <x:is>
          <x:t xml:space="preserve">P005</x:t>
        </x:is>
      </x:c>
      <x:c r="B59" s="16" t="n">
        <x:v>7</x:v>
      </x:c>
      <x:c r="C59" s="16" t="inlineStr">
        <x:is>
          <x:t xml:space="preserve">V03</x:t>
        </x:is>
      </x:c>
      <x:c r="D59" s="16" t="inlineStr">
        <x:is>
          <x:t xml:space="preserve">Fitness</x:t>
        </x:is>
      </x:c>
      <x:c r="E59" s="16" t="inlineStr">
        <x:is>
          <x:t xml:space="preserve">Full transcript</x:t>
        </x:is>
      </x:c>
      <x:c r="F59" s="16" t="inlineStr">
        <x:is>
          <x:t xml:space="preserve">Muted</x:t>
        </x:is>
      </x:c>
      <x:c r="G59" s="21" t="n">
        <x:v>18</x:v>
      </x:c>
      <x:c r="H59" s="21" t="inlineStr">
        <x:is>
          <x:t xml:space="preserve"/>
        </x:is>
      </x:c>
      <x:c r="I59" s="21" t="inlineStr">
        <x:is>
          <x:t xml:space="preserve"/>
        </x:is>
      </x:c>
      <x:c r="J59" s="21" t="inlineStr">
        <x:is>
          <x:t xml:space="preserve"/>
        </x:is>
      </x:c>
      <x:c r="K59" s="21" t="inlineStr">
        <x:is>
          <x:t xml:space="preserve"/>
        </x:is>
      </x:c>
      <x:c r="L59" s="21" t="inlineStr">
        <x:is>
          <x:t xml:space="preserve"/>
        </x:is>
      </x:c>
      <x:c r="M59" s="21" t="inlineStr">
        <x:is>
          <x:t xml:space="preserve"/>
        </x:is>
      </x:c>
      <x:c r="N59" s="21" t="inlineStr">
        <x:is>
          <x:t xml:space="preserve"/>
        </x:is>
      </x:c>
      <x:c r="O59" s="21" t="inlineStr">
        <x:is>
          <x:t xml:space="preserve"/>
        </x:is>
      </x:c>
      <x:c r="P59" s="21" t="inlineStr">
        <x:is>
          <x:t xml:space="preserve"/>
        </x:is>
      </x:c>
      <x:c r="Q59" s="21" t="inlineStr">
        <x:is>
          <x:t xml:space="preserve"/>
        </x:is>
      </x:c>
      <x:c r="R59" s="21" t="inlineStr">
        <x:is>
          <x:t xml:space="preserve"/>
        </x:is>
      </x:c>
      <x:c r="S59" s="22">
        <x:f>IF(H59="","",IFERROR(H59/G59,""))</x:f>
      </x:c>
      <x:c r="T59" s="23">
        <x:f>IF(H59="","",IFERROR((J59+K59+L59+N59)/H59,""))</x:f>
      </x:c>
      <x:c r="U59" s="22">
        <x:f>IF(COUNTA(J59:L59,N59)=0,"",IFERROR(AVERAGE(J59:L59,N59),""))</x:f>
      </x:c>
      <x:c r="V59" s="16" t="inlineStr">
        <x:is>
          <x:t xml:space="preserve"/>
        </x:is>
      </x:c>
    </x:row>
    <x:row r="60">
      <x:c r="A60" s="17" t="inlineStr">
        <x:is>
          <x:t xml:space="preserve">P005</x:t>
        </x:is>
      </x:c>
      <x:c r="B60" s="17" t="n">
        <x:v>8</x:v>
      </x:c>
      <x:c r="C60" s="17" t="inlineStr">
        <x:is>
          <x:t xml:space="preserve">V05</x:t>
        </x:is>
      </x:c>
      <x:c r="D60" s="17" t="inlineStr">
        <x:is>
          <x:t xml:space="preserve">Tutorial</x:t>
        </x:is>
      </x:c>
      <x:c r="E60" s="17" t="inlineStr">
        <x:is>
          <x:t xml:space="preserve">Semantic compression</x:t>
        </x:is>
      </x:c>
      <x:c r="F60" s="17" t="inlineStr">
        <x:is>
          <x:t xml:space="preserve">Muted</x:t>
        </x:is>
      </x:c>
      <x:c r="G60" s="24" t="n">
        <x:v>20</x:v>
      </x:c>
      <x:c r="H60" s="24" t="inlineStr">
        <x:is>
          <x:t xml:space="preserve"/>
        </x:is>
      </x:c>
      <x:c r="I60" s="24" t="inlineStr">
        <x:is>
          <x:t xml:space="preserve"/>
        </x:is>
      </x:c>
      <x:c r="J60" s="24" t="inlineStr">
        <x:is>
          <x:t xml:space="preserve"/>
        </x:is>
      </x:c>
      <x:c r="K60" s="24" t="inlineStr">
        <x:is>
          <x:t xml:space="preserve"/>
        </x:is>
      </x:c>
      <x:c r="L60" s="24" t="inlineStr">
        <x:is>
          <x:t xml:space="preserve"/>
        </x:is>
      </x:c>
      <x:c r="M60" s="24" t="inlineStr">
        <x:is>
          <x:t xml:space="preserve"/>
        </x:is>
      </x:c>
      <x:c r="N60" s="24" t="inlineStr">
        <x:is>
          <x:t xml:space="preserve"/>
        </x:is>
      </x:c>
      <x:c r="O60" s="24" t="inlineStr">
        <x:is>
          <x:t xml:space="preserve"/>
        </x:is>
      </x:c>
      <x:c r="P60" s="24" t="inlineStr">
        <x:is>
          <x:t xml:space="preserve"/>
        </x:is>
      </x:c>
      <x:c r="Q60" s="24" t="inlineStr">
        <x:is>
          <x:t xml:space="preserve"/>
        </x:is>
      </x:c>
      <x:c r="R60" s="24" t="inlineStr">
        <x:is>
          <x:t xml:space="preserve"/>
        </x:is>
      </x:c>
      <x:c r="S60" s="25">
        <x:f>IF(H60="","",IFERROR(H60/G60,""))</x:f>
      </x:c>
      <x:c r="T60" s="26">
        <x:f>IF(H60="","",IFERROR((J60+K60+L60+N60)/H60,""))</x:f>
      </x:c>
      <x:c r="U60" s="25">
        <x:f>IF(COUNTA(J60:L60,N60)=0,"",IFERROR(AVERAGE(J60:L60,N60),""))</x:f>
      </x:c>
      <x:c r="V60" s="17" t="inlineStr">
        <x:is>
          <x:t xml:space="preserve"/>
        </x:is>
      </x:c>
    </x:row>
    <x:row r="61">
      <x:c r="A61" s="16" t="inlineStr">
        <x:is>
          <x:t xml:space="preserve">P005</x:t>
        </x:is>
      </x:c>
      <x:c r="B61" s="16" t="n">
        <x:v>9</x:v>
      </x:c>
      <x:c r="C61" s="16" t="inlineStr">
        <x:is>
          <x:t xml:space="preserve">V11</x:t>
        </x:is>
      </x:c>
      <x:c r="D61" s="16" t="inlineStr">
        <x:is>
          <x:t xml:space="preserve">Creator strategy</x:t>
        </x:is>
      </x:c>
      <x:c r="E61" s="16" t="inlineStr">
        <x:is>
          <x:t xml:space="preserve">Semantic compression</x:t>
        </x:is>
      </x:c>
      <x:c r="F61" s="16" t="inlineStr">
        <x:is>
          <x:t xml:space="preserve">Muted</x:t>
        </x:is>
      </x:c>
      <x:c r="G61" s="21" t="n">
        <x:v>17</x:v>
      </x:c>
      <x:c r="H61" s="21" t="inlineStr">
        <x:is>
          <x:t xml:space="preserve"/>
        </x:is>
      </x:c>
      <x:c r="I61" s="21" t="inlineStr">
        <x:is>
          <x:t xml:space="preserve"/>
        </x:is>
      </x:c>
      <x:c r="J61" s="21" t="inlineStr">
        <x:is>
          <x:t xml:space="preserve"/>
        </x:is>
      </x:c>
      <x:c r="K61" s="21" t="inlineStr">
        <x:is>
          <x:t xml:space="preserve"/>
        </x:is>
      </x:c>
      <x:c r="L61" s="21" t="inlineStr">
        <x:is>
          <x:t xml:space="preserve"/>
        </x:is>
      </x:c>
      <x:c r="M61" s="21" t="inlineStr">
        <x:is>
          <x:t xml:space="preserve"/>
        </x:is>
      </x:c>
      <x:c r="N61" s="21" t="inlineStr">
        <x:is>
          <x:t xml:space="preserve"/>
        </x:is>
      </x:c>
      <x:c r="O61" s="21" t="inlineStr">
        <x:is>
          <x:t xml:space="preserve"/>
        </x:is>
      </x:c>
      <x:c r="P61" s="21" t="inlineStr">
        <x:is>
          <x:t xml:space="preserve"/>
        </x:is>
      </x:c>
      <x:c r="Q61" s="21" t="inlineStr">
        <x:is>
          <x:t xml:space="preserve"/>
        </x:is>
      </x:c>
      <x:c r="R61" s="21" t="inlineStr">
        <x:is>
          <x:t xml:space="preserve"/>
        </x:is>
      </x:c>
      <x:c r="S61" s="22">
        <x:f>IF(H61="","",IFERROR(H61/G61,""))</x:f>
      </x:c>
      <x:c r="T61" s="23">
        <x:f>IF(H61="","",IFERROR((J61+K61+L61+N61)/H61,""))</x:f>
      </x:c>
      <x:c r="U61" s="22">
        <x:f>IF(COUNTA(J61:L61,N61)=0,"",IFERROR(AVERAGE(J61:L61,N61),""))</x:f>
      </x:c>
      <x:c r="V61" s="16" t="inlineStr">
        <x:is>
          <x:t xml:space="preserve"/>
        </x:is>
      </x:c>
    </x:row>
    <x:row r="62">
      <x:c r="A62" s="17" t="inlineStr">
        <x:is>
          <x:t xml:space="preserve">P005</x:t>
        </x:is>
      </x:c>
      <x:c r="B62" s="17" t="n">
        <x:v>10</x:v>
      </x:c>
      <x:c r="C62" s="17" t="inlineStr">
        <x:is>
          <x:t xml:space="preserve">V09</x:t>
        </x:is>
      </x:c>
      <x:c r="D62" s="17" t="inlineStr">
        <x:is>
          <x:t xml:space="preserve">Sleep habit</x:t>
        </x:is>
      </x:c>
      <x:c r="E62" s="17" t="inlineStr">
        <x:is>
          <x:t xml:space="preserve">Full transcript</x:t>
        </x:is>
      </x:c>
      <x:c r="F62" s="17" t="inlineStr">
        <x:is>
          <x:t xml:space="preserve">Muted</x:t>
        </x:is>
      </x:c>
      <x:c r="G62" s="24" t="n">
        <x:v>19</x:v>
      </x:c>
      <x:c r="H62" s="24" t="inlineStr">
        <x:is>
          <x:t xml:space="preserve"/>
        </x:is>
      </x:c>
      <x:c r="I62" s="24" t="inlineStr">
        <x:is>
          <x:t xml:space="preserve"/>
        </x:is>
      </x:c>
      <x:c r="J62" s="24" t="inlineStr">
        <x:is>
          <x:t xml:space="preserve"/>
        </x:is>
      </x:c>
      <x:c r="K62" s="24" t="inlineStr">
        <x:is>
          <x:t xml:space="preserve"/>
        </x:is>
      </x:c>
      <x:c r="L62" s="24" t="inlineStr">
        <x:is>
          <x:t xml:space="preserve"/>
        </x:is>
      </x:c>
      <x:c r="M62" s="24" t="inlineStr">
        <x:is>
          <x:t xml:space="preserve"/>
        </x:is>
      </x:c>
      <x:c r="N62" s="24" t="inlineStr">
        <x:is>
          <x:t xml:space="preserve"/>
        </x:is>
      </x:c>
      <x:c r="O62" s="24" t="inlineStr">
        <x:is>
          <x:t xml:space="preserve"/>
        </x:is>
      </x:c>
      <x:c r="P62" s="24" t="inlineStr">
        <x:is>
          <x:t xml:space="preserve"/>
        </x:is>
      </x:c>
      <x:c r="Q62" s="24" t="inlineStr">
        <x:is>
          <x:t xml:space="preserve"/>
        </x:is>
      </x:c>
      <x:c r="R62" s="24" t="inlineStr">
        <x:is>
          <x:t xml:space="preserve"/>
        </x:is>
      </x:c>
      <x:c r="S62" s="25">
        <x:f>IF(H62="","",IFERROR(H62/G62,""))</x:f>
      </x:c>
      <x:c r="T62" s="26">
        <x:f>IF(H62="","",IFERROR((J62+K62+L62+N62)/H62,""))</x:f>
      </x:c>
      <x:c r="U62" s="25">
        <x:f>IF(COUNTA(J62:L62,N62)=0,"",IFERROR(AVERAGE(J62:L62,N62),""))</x:f>
      </x:c>
      <x:c r="V62" s="17" t="inlineStr">
        <x:is>
          <x:t xml:space="preserve"/>
        </x:is>
      </x:c>
    </x:row>
    <x:row r="63">
      <x:c r="A63" s="16" t="inlineStr">
        <x:is>
          <x:t xml:space="preserve">P005</x:t>
        </x:is>
      </x:c>
      <x:c r="B63" s="16" t="n">
        <x:v>11</x:v>
      </x:c>
      <x:c r="C63" s="16" t="inlineStr">
        <x:is>
          <x:t xml:space="preserve">V07</x:t>
        </x:is>
      </x:c>
      <x:c r="D63" s="16" t="inlineStr">
        <x:is>
          <x:t xml:space="preserve">Business</x:t>
        </x:is>
      </x:c>
      <x:c r="E63" s="16" t="inlineStr">
        <x:is>
          <x:t xml:space="preserve">BCC+</x:t>
        </x:is>
      </x:c>
      <x:c r="F63" s="16" t="inlineStr">
        <x:is>
          <x:t xml:space="preserve">Muted</x:t>
        </x:is>
      </x:c>
      <x:c r="G63" s="21" t="n">
        <x:v>18</x:v>
      </x:c>
      <x:c r="H63" s="21" t="inlineStr">
        <x:is>
          <x:t xml:space="preserve"/>
        </x:is>
      </x:c>
      <x:c r="I63" s="21" t="inlineStr">
        <x:is>
          <x:t xml:space="preserve"/>
        </x:is>
      </x:c>
      <x:c r="J63" s="21" t="inlineStr">
        <x:is>
          <x:t xml:space="preserve"/>
        </x:is>
      </x:c>
      <x:c r="K63" s="21" t="inlineStr">
        <x:is>
          <x:t xml:space="preserve"/>
        </x:is>
      </x:c>
      <x:c r="L63" s="21" t="inlineStr">
        <x:is>
          <x:t xml:space="preserve"/>
        </x:is>
      </x:c>
      <x:c r="M63" s="21" t="inlineStr">
        <x:is>
          <x:t xml:space="preserve"/>
        </x:is>
      </x:c>
      <x:c r="N63" s="21" t="inlineStr">
        <x:is>
          <x:t xml:space="preserve"/>
        </x:is>
      </x:c>
      <x:c r="O63" s="21" t="inlineStr">
        <x:is>
          <x:t xml:space="preserve"/>
        </x:is>
      </x:c>
      <x:c r="P63" s="21" t="inlineStr">
        <x:is>
          <x:t xml:space="preserve"/>
        </x:is>
      </x:c>
      <x:c r="Q63" s="21" t="inlineStr">
        <x:is>
          <x:t xml:space="preserve"/>
        </x:is>
      </x:c>
      <x:c r="R63" s="21" t="inlineStr">
        <x:is>
          <x:t xml:space="preserve"/>
        </x:is>
      </x:c>
      <x:c r="S63" s="22">
        <x:f>IF(H63="","",IFERROR(H63/G63,""))</x:f>
      </x:c>
      <x:c r="T63" s="23">
        <x:f>IF(H63="","",IFERROR((J63+K63+L63+N63)/H63,""))</x:f>
      </x:c>
      <x:c r="U63" s="22">
        <x:f>IF(COUNTA(J63:L63,N63)=0,"",IFERROR(AVERAGE(J63:L63,N63),""))</x:f>
      </x:c>
      <x:c r="V63" s="16" t="inlineStr">
        <x:is>
          <x:t xml:space="preserve"/>
        </x:is>
      </x:c>
    </x:row>
    <x:row r="64">
      <x:c r="A64" s="17" t="inlineStr">
        <x:is>
          <x:t xml:space="preserve">P005</x:t>
        </x:is>
      </x:c>
      <x:c r="B64" s="17" t="n">
        <x:v>12</x:v>
      </x:c>
      <x:c r="C64" s="17" t="inlineStr">
        <x:is>
          <x:t xml:space="preserve">V08</x:t>
        </x:is>
      </x:c>
      <x:c r="D64" s="17" t="inlineStr">
        <x:is>
          <x:t xml:space="preserve">Coding</x:t>
        </x:is>
      </x:c>
      <x:c r="E64" s="17" t="inlineStr">
        <x:is>
          <x:t xml:space="preserve">Heavy bionic</x:t>
        </x:is>
      </x:c>
      <x:c r="F64" s="17" t="inlineStr">
        <x:is>
          <x:t xml:space="preserve">Muted</x:t>
        </x:is>
      </x:c>
      <x:c r="G64" s="24" t="n">
        <x:v>24</x:v>
      </x:c>
      <x:c r="H64" s="24" t="inlineStr">
        <x:is>
          <x:t xml:space="preserve"/>
        </x:is>
      </x:c>
      <x:c r="I64" s="24" t="inlineStr">
        <x:is>
          <x:t xml:space="preserve"/>
        </x:is>
      </x:c>
      <x:c r="J64" s="24" t="inlineStr">
        <x:is>
          <x:t xml:space="preserve"/>
        </x:is>
      </x:c>
      <x:c r="K64" s="24" t="inlineStr">
        <x:is>
          <x:t xml:space="preserve"/>
        </x:is>
      </x:c>
      <x:c r="L64" s="24" t="inlineStr">
        <x:is>
          <x:t xml:space="preserve"/>
        </x:is>
      </x:c>
      <x:c r="M64" s="24" t="inlineStr">
        <x:is>
          <x:t xml:space="preserve"/>
        </x:is>
      </x:c>
      <x:c r="N64" s="24" t="inlineStr">
        <x:is>
          <x:t xml:space="preserve"/>
        </x:is>
      </x:c>
      <x:c r="O64" s="24" t="inlineStr">
        <x:is>
          <x:t xml:space="preserve"/>
        </x:is>
      </x:c>
      <x:c r="P64" s="24" t="inlineStr">
        <x:is>
          <x:t xml:space="preserve"/>
        </x:is>
      </x:c>
      <x:c r="Q64" s="24" t="inlineStr">
        <x:is>
          <x:t xml:space="preserve"/>
        </x:is>
      </x:c>
      <x:c r="R64" s="24" t="inlineStr">
        <x:is>
          <x:t xml:space="preserve"/>
        </x:is>
      </x:c>
      <x:c r="S64" s="25">
        <x:f>IF(H64="","",IFERROR(H64/G64,""))</x:f>
      </x:c>
      <x:c r="T64" s="26">
        <x:f>IF(H64="","",IFERROR((J64+K64+L64+N64)/H64,""))</x:f>
      </x:c>
      <x:c r="U64" s="25">
        <x:f>IF(COUNTA(J64:L64,N64)=0,"",IFERROR(AVERAGE(J64:L64,N64),""))</x:f>
      </x:c>
      <x:c r="V64" s="17" t="inlineStr">
        <x:is>
          <x:t xml:space="preserve"/>
        </x:is>
      </x:c>
    </x:row>
    <x:row r="65">
      <x:c r="A65" s="16" t="inlineStr">
        <x:is>
          <x:t xml:space="preserve">P006</x:t>
        </x:is>
      </x:c>
      <x:c r="B65" s="16" t="n">
        <x:v>1</x:v>
      </x:c>
      <x:c r="C65" s="16" t="inlineStr">
        <x:is>
          <x:t xml:space="preserve">V12</x:t>
        </x:is>
      </x:c>
      <x:c r="D65" s="16" t="inlineStr">
        <x:is>
          <x:t xml:space="preserve">Time management</x:t>
        </x:is>
      </x:c>
      <x:c r="E65" s="16" t="inlineStr">
        <x:is>
          <x:t xml:space="preserve">BCC+</x:t>
        </x:is>
      </x:c>
      <x:c r="F65" s="16" t="inlineStr">
        <x:is>
          <x:t xml:space="preserve">Muted</x:t>
        </x:is>
      </x:c>
      <x:c r="G65" s="21" t="n">
        <x:v>21</x:v>
      </x:c>
      <x:c r="H65" s="21" t="inlineStr">
        <x:is>
          <x:t xml:space="preserve"/>
        </x:is>
      </x:c>
      <x:c r="I65" s="21" t="inlineStr">
        <x:is>
          <x:t xml:space="preserve"/>
        </x:is>
      </x:c>
      <x:c r="J65" s="21" t="inlineStr">
        <x:is>
          <x:t xml:space="preserve"/>
        </x:is>
      </x:c>
      <x:c r="K65" s="21" t="inlineStr">
        <x:is>
          <x:t xml:space="preserve"/>
        </x:is>
      </x:c>
      <x:c r="L65" s="21" t="inlineStr">
        <x:is>
          <x:t xml:space="preserve"/>
        </x:is>
      </x:c>
      <x:c r="M65" s="21" t="inlineStr">
        <x:is>
          <x:t xml:space="preserve"/>
        </x:is>
      </x:c>
      <x:c r="N65" s="21" t="inlineStr">
        <x:is>
          <x:t xml:space="preserve"/>
        </x:is>
      </x:c>
      <x:c r="O65" s="21" t="inlineStr">
        <x:is>
          <x:t xml:space="preserve"/>
        </x:is>
      </x:c>
      <x:c r="P65" s="21" t="inlineStr">
        <x:is>
          <x:t xml:space="preserve"/>
        </x:is>
      </x:c>
      <x:c r="Q65" s="21" t="inlineStr">
        <x:is>
          <x:t xml:space="preserve"/>
        </x:is>
      </x:c>
      <x:c r="R65" s="21" t="inlineStr">
        <x:is>
          <x:t xml:space="preserve"/>
        </x:is>
      </x:c>
      <x:c r="S65" s="22">
        <x:f>IF(H65="","",IFERROR(H65/G65,""))</x:f>
      </x:c>
      <x:c r="T65" s="23">
        <x:f>IF(H65="","",IFERROR((J65+K65+L65+N65)/H65,""))</x:f>
      </x:c>
      <x:c r="U65" s="22">
        <x:f>IF(COUNTA(J65:L65,N65)=0,"",IFERROR(AVERAGE(J65:L65,N65),""))</x:f>
      </x:c>
      <x:c r="V65" s="16" t="inlineStr">
        <x:is>
          <x:t xml:space="preserve"/>
        </x:is>
      </x:c>
    </x:row>
    <x:row r="66">
      <x:c r="A66" s="17" t="inlineStr">
        <x:is>
          <x:t xml:space="preserve">P006</x:t>
        </x:is>
      </x:c>
      <x:c r="B66" s="17" t="n">
        <x:v>2</x:v>
      </x:c>
      <x:c r="C66" s="17" t="inlineStr">
        <x:is>
          <x:t xml:space="preserve">V07</x:t>
        </x:is>
      </x:c>
      <x:c r="D66" s="17" t="inlineStr">
        <x:is>
          <x:t xml:space="preserve">Business</x:t>
        </x:is>
      </x:c>
      <x:c r="E66" s="17" t="inlineStr">
        <x:is>
          <x:t xml:space="preserve">Heavy bionic</x:t>
        </x:is>
      </x:c>
      <x:c r="F66" s="17" t="inlineStr">
        <x:is>
          <x:t xml:space="preserve">Muted</x:t>
        </x:is>
      </x:c>
      <x:c r="G66" s="24" t="n">
        <x:v>18</x:v>
      </x:c>
      <x:c r="H66" s="24" t="inlineStr">
        <x:is>
          <x:t xml:space="preserve"/>
        </x:is>
      </x:c>
      <x:c r="I66" s="24" t="inlineStr">
        <x:is>
          <x:t xml:space="preserve"/>
        </x:is>
      </x:c>
      <x:c r="J66" s="24" t="inlineStr">
        <x:is>
          <x:t xml:space="preserve"/>
        </x:is>
      </x:c>
      <x:c r="K66" s="24" t="inlineStr">
        <x:is>
          <x:t xml:space="preserve"/>
        </x:is>
      </x:c>
      <x:c r="L66" s="24" t="inlineStr">
        <x:is>
          <x:t xml:space="preserve"/>
        </x:is>
      </x:c>
      <x:c r="M66" s="24" t="inlineStr">
        <x:is>
          <x:t xml:space="preserve"/>
        </x:is>
      </x:c>
      <x:c r="N66" s="24" t="inlineStr">
        <x:is>
          <x:t xml:space="preserve"/>
        </x:is>
      </x:c>
      <x:c r="O66" s="24" t="inlineStr">
        <x:is>
          <x:t xml:space="preserve"/>
        </x:is>
      </x:c>
      <x:c r="P66" s="24" t="inlineStr">
        <x:is>
          <x:t xml:space="preserve"/>
        </x:is>
      </x:c>
      <x:c r="Q66" s="24" t="inlineStr">
        <x:is>
          <x:t xml:space="preserve"/>
        </x:is>
      </x:c>
      <x:c r="R66" s="24" t="inlineStr">
        <x:is>
          <x:t xml:space="preserve"/>
        </x:is>
      </x:c>
      <x:c r="S66" s="25">
        <x:f>IF(H66="","",IFERROR(H66/G66,""))</x:f>
      </x:c>
      <x:c r="T66" s="26">
        <x:f>IF(H66="","",IFERROR((J66+K66+L66+N66)/H66,""))</x:f>
      </x:c>
      <x:c r="U66" s="25">
        <x:f>IF(COUNTA(J66:L66,N66)=0,"",IFERROR(AVERAGE(J66:L66,N66),""))</x:f>
      </x:c>
      <x:c r="V66" s="17" t="inlineStr">
        <x:is>
          <x:t xml:space="preserve"/>
        </x:is>
      </x:c>
    </x:row>
    <x:row r="67">
      <x:c r="A67" s="16" t="inlineStr">
        <x:is>
          <x:t xml:space="preserve">P006</x:t>
        </x:is>
      </x:c>
      <x:c r="B67" s="16" t="n">
        <x:v>3</x:v>
      </x:c>
      <x:c r="C67" s="16" t="inlineStr">
        <x:is>
          <x:t xml:space="preserve">V10</x:t>
        </x:is>
      </x:c>
      <x:c r="D67" s="16" t="inlineStr">
        <x:is>
          <x:t xml:space="preserve">Product demo</x:t>
        </x:is>
      </x:c>
      <x:c r="E67" s="16" t="inlineStr">
        <x:is>
          <x:t xml:space="preserve">Semantic compression</x:t>
        </x:is>
      </x:c>
      <x:c r="F67" s="16" t="inlineStr">
        <x:is>
          <x:t xml:space="preserve">Muted</x:t>
        </x:is>
      </x:c>
      <x:c r="G67" s="21" t="n">
        <x:v>15</x:v>
      </x:c>
      <x:c r="H67" s="21" t="inlineStr">
        <x:is>
          <x:t xml:space="preserve"/>
        </x:is>
      </x:c>
      <x:c r="I67" s="21" t="inlineStr">
        <x:is>
          <x:t xml:space="preserve"/>
        </x:is>
      </x:c>
      <x:c r="J67" s="21" t="inlineStr">
        <x:is>
          <x:t xml:space="preserve"/>
        </x:is>
      </x:c>
      <x:c r="K67" s="21" t="inlineStr">
        <x:is>
          <x:t xml:space="preserve"/>
        </x:is>
      </x:c>
      <x:c r="L67" s="21" t="inlineStr">
        <x:is>
          <x:t xml:space="preserve"/>
        </x:is>
      </x:c>
      <x:c r="M67" s="21" t="inlineStr">
        <x:is>
          <x:t xml:space="preserve"/>
        </x:is>
      </x:c>
      <x:c r="N67" s="21" t="inlineStr">
        <x:is>
          <x:t xml:space="preserve"/>
        </x:is>
      </x:c>
      <x:c r="O67" s="21" t="inlineStr">
        <x:is>
          <x:t xml:space="preserve"/>
        </x:is>
      </x:c>
      <x:c r="P67" s="21" t="inlineStr">
        <x:is>
          <x:t xml:space="preserve"/>
        </x:is>
      </x:c>
      <x:c r="Q67" s="21" t="inlineStr">
        <x:is>
          <x:t xml:space="preserve"/>
        </x:is>
      </x:c>
      <x:c r="R67" s="21" t="inlineStr">
        <x:is>
          <x:t xml:space="preserve"/>
        </x:is>
      </x:c>
      <x:c r="S67" s="22">
        <x:f>IF(H67="","",IFERROR(H67/G67,""))</x:f>
      </x:c>
      <x:c r="T67" s="23">
        <x:f>IF(H67="","",IFERROR((J67+K67+L67+N67)/H67,""))</x:f>
      </x:c>
      <x:c r="U67" s="22">
        <x:f>IF(COUNTA(J67:L67,N67)=0,"",IFERROR(AVERAGE(J67:L67,N67),""))</x:f>
      </x:c>
      <x:c r="V67" s="16" t="inlineStr">
        <x:is>
          <x:t xml:space="preserve"/>
        </x:is>
      </x:c>
    </x:row>
    <x:row r="68">
      <x:c r="A68" s="17" t="inlineStr">
        <x:is>
          <x:t xml:space="preserve">P006</x:t>
        </x:is>
      </x:c>
      <x:c r="B68" s="17" t="n">
        <x:v>4</x:v>
      </x:c>
      <x:c r="C68" s="17" t="inlineStr">
        <x:is>
          <x:t xml:space="preserve">V09</x:t>
        </x:is>
      </x:c>
      <x:c r="D68" s="17" t="inlineStr">
        <x:is>
          <x:t xml:space="preserve">Sleep habit</x:t>
        </x:is>
      </x:c>
      <x:c r="E68" s="17" t="inlineStr">
        <x:is>
          <x:t xml:space="preserve">Keyword highlight</x:t>
        </x:is>
      </x:c>
      <x:c r="F68" s="17" t="inlineStr">
        <x:is>
          <x:t xml:space="preserve">Muted</x:t>
        </x:is>
      </x:c>
      <x:c r="G68" s="24" t="n">
        <x:v>19</x:v>
      </x:c>
      <x:c r="H68" s="24" t="inlineStr">
        <x:is>
          <x:t xml:space="preserve"/>
        </x:is>
      </x:c>
      <x:c r="I68" s="24" t="inlineStr">
        <x:is>
          <x:t xml:space="preserve"/>
        </x:is>
      </x:c>
      <x:c r="J68" s="24" t="inlineStr">
        <x:is>
          <x:t xml:space="preserve"/>
        </x:is>
      </x:c>
      <x:c r="K68" s="24" t="inlineStr">
        <x:is>
          <x:t xml:space="preserve"/>
        </x:is>
      </x:c>
      <x:c r="L68" s="24" t="inlineStr">
        <x:is>
          <x:t xml:space="preserve"/>
        </x:is>
      </x:c>
      <x:c r="M68" s="24" t="inlineStr">
        <x:is>
          <x:t xml:space="preserve"/>
        </x:is>
      </x:c>
      <x:c r="N68" s="24" t="inlineStr">
        <x:is>
          <x:t xml:space="preserve"/>
        </x:is>
      </x:c>
      <x:c r="O68" s="24" t="inlineStr">
        <x:is>
          <x:t xml:space="preserve"/>
        </x:is>
      </x:c>
      <x:c r="P68" s="24" t="inlineStr">
        <x:is>
          <x:t xml:space="preserve"/>
        </x:is>
      </x:c>
      <x:c r="Q68" s="24" t="inlineStr">
        <x:is>
          <x:t xml:space="preserve"/>
        </x:is>
      </x:c>
      <x:c r="R68" s="24" t="inlineStr">
        <x:is>
          <x:t xml:space="preserve"/>
        </x:is>
      </x:c>
      <x:c r="S68" s="25">
        <x:f>IF(H68="","",IFERROR(H68/G68,""))</x:f>
      </x:c>
      <x:c r="T68" s="26">
        <x:f>IF(H68="","",IFERROR((J68+K68+L68+N68)/H68,""))</x:f>
      </x:c>
      <x:c r="U68" s="25">
        <x:f>IF(COUNTA(J68:L68,N68)=0,"",IFERROR(AVERAGE(J68:L68,N68),""))</x:f>
      </x:c>
      <x:c r="V68" s="17" t="inlineStr">
        <x:is>
          <x:t xml:space="preserve"/>
        </x:is>
      </x:c>
    </x:row>
    <x:row r="69">
      <x:c r="A69" s="16" t="inlineStr">
        <x:is>
          <x:t xml:space="preserve">P006</x:t>
        </x:is>
      </x:c>
      <x:c r="B69" s="16" t="n">
        <x:v>5</x:v>
      </x:c>
      <x:c r="C69" s="16" t="inlineStr">
        <x:is>
          <x:t xml:space="preserve">V03</x:t>
        </x:is>
      </x:c>
      <x:c r="D69" s="16" t="inlineStr">
        <x:is>
          <x:t xml:space="preserve">Fitness</x:t>
        </x:is>
      </x:c>
      <x:c r="E69" s="16" t="inlineStr">
        <x:is>
          <x:t xml:space="preserve">Keyword highlight</x:t>
        </x:is>
      </x:c>
      <x:c r="F69" s="16" t="inlineStr">
        <x:is>
          <x:t xml:space="preserve">Muted</x:t>
        </x:is>
      </x:c>
      <x:c r="G69" s="21" t="n">
        <x:v>18</x:v>
      </x:c>
      <x:c r="H69" s="21" t="inlineStr">
        <x:is>
          <x:t xml:space="preserve"/>
        </x:is>
      </x:c>
      <x:c r="I69" s="21" t="inlineStr">
        <x:is>
          <x:t xml:space="preserve"/>
        </x:is>
      </x:c>
      <x:c r="J69" s="21" t="inlineStr">
        <x:is>
          <x:t xml:space="preserve"/>
        </x:is>
      </x:c>
      <x:c r="K69" s="21" t="inlineStr">
        <x:is>
          <x:t xml:space="preserve"/>
        </x:is>
      </x:c>
      <x:c r="L69" s="21" t="inlineStr">
        <x:is>
          <x:t xml:space="preserve"/>
        </x:is>
      </x:c>
      <x:c r="M69" s="21" t="inlineStr">
        <x:is>
          <x:t xml:space="preserve"/>
        </x:is>
      </x:c>
      <x:c r="N69" s="21" t="inlineStr">
        <x:is>
          <x:t xml:space="preserve"/>
        </x:is>
      </x:c>
      <x:c r="O69" s="21" t="inlineStr">
        <x:is>
          <x:t xml:space="preserve"/>
        </x:is>
      </x:c>
      <x:c r="P69" s="21" t="inlineStr">
        <x:is>
          <x:t xml:space="preserve"/>
        </x:is>
      </x:c>
      <x:c r="Q69" s="21" t="inlineStr">
        <x:is>
          <x:t xml:space="preserve"/>
        </x:is>
      </x:c>
      <x:c r="R69" s="21" t="inlineStr">
        <x:is>
          <x:t xml:space="preserve"/>
        </x:is>
      </x:c>
      <x:c r="S69" s="22">
        <x:f>IF(H69="","",IFERROR(H69/G69,""))</x:f>
      </x:c>
      <x:c r="T69" s="23">
        <x:f>IF(H69="","",IFERROR((J69+K69+L69+N69)/H69,""))</x:f>
      </x:c>
      <x:c r="U69" s="22">
        <x:f>IF(COUNTA(J69:L69,N69)=0,"",IFERROR(AVERAGE(J69:L69,N69),""))</x:f>
      </x:c>
      <x:c r="V69" s="16" t="inlineStr">
        <x:is>
          <x:t xml:space="preserve"/>
        </x:is>
      </x:c>
    </x:row>
    <x:row r="70">
      <x:c r="A70" s="17" t="inlineStr">
        <x:is>
          <x:t xml:space="preserve">P006</x:t>
        </x:is>
      </x:c>
      <x:c r="B70" s="17" t="n">
        <x:v>6</x:v>
      </x:c>
      <x:c r="C70" s="17" t="inlineStr">
        <x:is>
          <x:t xml:space="preserve">V05</x:t>
        </x:is>
      </x:c>
      <x:c r="D70" s="17" t="inlineStr">
        <x:is>
          <x:t xml:space="preserve">Tutorial</x:t>
        </x:is>
      </x:c>
      <x:c r="E70" s="17" t="inlineStr">
        <x:is>
          <x:t xml:space="preserve">BCC</x:t>
        </x:is>
      </x:c>
      <x:c r="F70" s="17" t="inlineStr">
        <x:is>
          <x:t xml:space="preserve">Muted</x:t>
        </x:is>
      </x:c>
      <x:c r="G70" s="24" t="n">
        <x:v>20</x:v>
      </x:c>
      <x:c r="H70" s="24" t="inlineStr">
        <x:is>
          <x:t xml:space="preserve"/>
        </x:is>
      </x:c>
      <x:c r="I70" s="24" t="inlineStr">
        <x:is>
          <x:t xml:space="preserve"/>
        </x:is>
      </x:c>
      <x:c r="J70" s="24" t="inlineStr">
        <x:is>
          <x:t xml:space="preserve"/>
        </x:is>
      </x:c>
      <x:c r="K70" s="24" t="inlineStr">
        <x:is>
          <x:t xml:space="preserve"/>
        </x:is>
      </x:c>
      <x:c r="L70" s="24" t="inlineStr">
        <x:is>
          <x:t xml:space="preserve"/>
        </x:is>
      </x:c>
      <x:c r="M70" s="24" t="inlineStr">
        <x:is>
          <x:t xml:space="preserve"/>
        </x:is>
      </x:c>
      <x:c r="N70" s="24" t="inlineStr">
        <x:is>
          <x:t xml:space="preserve"/>
        </x:is>
      </x:c>
      <x:c r="O70" s="24" t="inlineStr">
        <x:is>
          <x:t xml:space="preserve"/>
        </x:is>
      </x:c>
      <x:c r="P70" s="24" t="inlineStr">
        <x:is>
          <x:t xml:space="preserve"/>
        </x:is>
      </x:c>
      <x:c r="Q70" s="24" t="inlineStr">
        <x:is>
          <x:t xml:space="preserve"/>
        </x:is>
      </x:c>
      <x:c r="R70" s="24" t="inlineStr">
        <x:is>
          <x:t xml:space="preserve"/>
        </x:is>
      </x:c>
      <x:c r="S70" s="25">
        <x:f>IF(H70="","",IFERROR(H70/G70,""))</x:f>
      </x:c>
      <x:c r="T70" s="26">
        <x:f>IF(H70="","",IFERROR((J70+K70+L70+N70)/H70,""))</x:f>
      </x:c>
      <x:c r="U70" s="25">
        <x:f>IF(COUNTA(J70:L70,N70)=0,"",IFERROR(AVERAGE(J70:L70,N70),""))</x:f>
      </x:c>
      <x:c r="V70" s="17" t="inlineStr">
        <x:is>
          <x:t xml:space="preserve"/>
        </x:is>
      </x:c>
    </x:row>
    <x:row r="71">
      <x:c r="A71" s="16" t="inlineStr">
        <x:is>
          <x:t xml:space="preserve">P006</x:t>
        </x:is>
      </x:c>
      <x:c r="B71" s="16" t="n">
        <x:v>7</x:v>
      </x:c>
      <x:c r="C71" s="16" t="inlineStr">
        <x:is>
          <x:t xml:space="preserve">V02</x:t>
        </x:is>
      </x:c>
      <x:c r="D71" s="16" t="inlineStr">
        <x:is>
          <x:t xml:space="preserve">Study</x:t>
        </x:is>
      </x:c>
      <x:c r="E71" s="16" t="inlineStr">
        <x:is>
          <x:t xml:space="preserve">Full transcript</x:t>
        </x:is>
      </x:c>
      <x:c r="F71" s="16" t="inlineStr">
        <x:is>
          <x:t xml:space="preserve">Muted</x:t>
        </x:is>
      </x:c>
      <x:c r="G71" s="21" t="n">
        <x:v>18</x:v>
      </x:c>
      <x:c r="H71" s="21" t="inlineStr">
        <x:is>
          <x:t xml:space="preserve"/>
        </x:is>
      </x:c>
      <x:c r="I71" s="21" t="inlineStr">
        <x:is>
          <x:t xml:space="preserve"/>
        </x:is>
      </x:c>
      <x:c r="J71" s="21" t="inlineStr">
        <x:is>
          <x:t xml:space="preserve"/>
        </x:is>
      </x:c>
      <x:c r="K71" s="21" t="inlineStr">
        <x:is>
          <x:t xml:space="preserve"/>
        </x:is>
      </x:c>
      <x:c r="L71" s="21" t="inlineStr">
        <x:is>
          <x:t xml:space="preserve"/>
        </x:is>
      </x:c>
      <x:c r="M71" s="21" t="inlineStr">
        <x:is>
          <x:t xml:space="preserve"/>
        </x:is>
      </x:c>
      <x:c r="N71" s="21" t="inlineStr">
        <x:is>
          <x:t xml:space="preserve"/>
        </x:is>
      </x:c>
      <x:c r="O71" s="21" t="inlineStr">
        <x:is>
          <x:t xml:space="preserve"/>
        </x:is>
      </x:c>
      <x:c r="P71" s="21" t="inlineStr">
        <x:is>
          <x:t xml:space="preserve"/>
        </x:is>
      </x:c>
      <x:c r="Q71" s="21" t="inlineStr">
        <x:is>
          <x:t xml:space="preserve"/>
        </x:is>
      </x:c>
      <x:c r="R71" s="21" t="inlineStr">
        <x:is>
          <x:t xml:space="preserve"/>
        </x:is>
      </x:c>
      <x:c r="S71" s="22">
        <x:f>IF(H71="","",IFERROR(H71/G71,""))</x:f>
      </x:c>
      <x:c r="T71" s="23">
        <x:f>IF(H71="","",IFERROR((J71+K71+L71+N71)/H71,""))</x:f>
      </x:c>
      <x:c r="U71" s="22">
        <x:f>IF(COUNTA(J71:L71,N71)=0,"",IFERROR(AVERAGE(J71:L71,N71),""))</x:f>
      </x:c>
      <x:c r="V71" s="16" t="inlineStr">
        <x:is>
          <x:t xml:space="preserve"/>
        </x:is>
      </x:c>
    </x:row>
    <x:row r="72">
      <x:c r="A72" s="17" t="inlineStr">
        <x:is>
          <x:t xml:space="preserve">P006</x:t>
        </x:is>
      </x:c>
      <x:c r="B72" s="17" t="n">
        <x:v>8</x:v>
      </x:c>
      <x:c r="C72" s="17" t="inlineStr">
        <x:is>
          <x:t xml:space="preserve">V11</x:t>
        </x:is>
      </x:c>
      <x:c r="D72" s="17" t="inlineStr">
        <x:is>
          <x:t xml:space="preserve">Creator strategy</x:t>
        </x:is>
      </x:c>
      <x:c r="E72" s="17" t="inlineStr">
        <x:is>
          <x:t xml:space="preserve">BCC</x:t>
        </x:is>
      </x:c>
      <x:c r="F72" s="17" t="inlineStr">
        <x:is>
          <x:t xml:space="preserve">Muted</x:t>
        </x:is>
      </x:c>
      <x:c r="G72" s="24" t="n">
        <x:v>17</x:v>
      </x:c>
      <x:c r="H72" s="24" t="inlineStr">
        <x:is>
          <x:t xml:space="preserve"/>
        </x:is>
      </x:c>
      <x:c r="I72" s="24" t="inlineStr">
        <x:is>
          <x:t xml:space="preserve"/>
        </x:is>
      </x:c>
      <x:c r="J72" s="24" t="inlineStr">
        <x:is>
          <x:t xml:space="preserve"/>
        </x:is>
      </x:c>
      <x:c r="K72" s="24" t="inlineStr">
        <x:is>
          <x:t xml:space="preserve"/>
        </x:is>
      </x:c>
      <x:c r="L72" s="24" t="inlineStr">
        <x:is>
          <x:t xml:space="preserve"/>
        </x:is>
      </x:c>
      <x:c r="M72" s="24" t="inlineStr">
        <x:is>
          <x:t xml:space="preserve"/>
        </x:is>
      </x:c>
      <x:c r="N72" s="24" t="inlineStr">
        <x:is>
          <x:t xml:space="preserve"/>
        </x:is>
      </x:c>
      <x:c r="O72" s="24" t="inlineStr">
        <x:is>
          <x:t xml:space="preserve"/>
        </x:is>
      </x:c>
      <x:c r="P72" s="24" t="inlineStr">
        <x:is>
          <x:t xml:space="preserve"/>
        </x:is>
      </x:c>
      <x:c r="Q72" s="24" t="inlineStr">
        <x:is>
          <x:t xml:space="preserve"/>
        </x:is>
      </x:c>
      <x:c r="R72" s="24" t="inlineStr">
        <x:is>
          <x:t xml:space="preserve"/>
        </x:is>
      </x:c>
      <x:c r="S72" s="25">
        <x:f>IF(H72="","",IFERROR(H72/G72,""))</x:f>
      </x:c>
      <x:c r="T72" s="26">
        <x:f>IF(H72="","",IFERROR((J72+K72+L72+N72)/H72,""))</x:f>
      </x:c>
      <x:c r="U72" s="25">
        <x:f>IF(COUNTA(J72:L72,N72)=0,"",IFERROR(AVERAGE(J72:L72,N72),""))</x:f>
      </x:c>
      <x:c r="V72" s="17" t="inlineStr">
        <x:is>
          <x:t xml:space="preserve"/>
        </x:is>
      </x:c>
    </x:row>
    <x:row r="73">
      <x:c r="A73" s="16" t="inlineStr">
        <x:is>
          <x:t xml:space="preserve">P006</x:t>
        </x:is>
      </x:c>
      <x:c r="B73" s="16" t="n">
        <x:v>9</x:v>
      </x:c>
      <x:c r="C73" s="16" t="inlineStr">
        <x:is>
          <x:t xml:space="preserve">V08</x:t>
        </x:is>
      </x:c>
      <x:c r="D73" s="16" t="inlineStr">
        <x:is>
          <x:t xml:space="preserve">Coding</x:t>
        </x:is>
      </x:c>
      <x:c r="E73" s="16" t="inlineStr">
        <x:is>
          <x:t xml:space="preserve">Full transcript</x:t>
        </x:is>
      </x:c>
      <x:c r="F73" s="16" t="inlineStr">
        <x:is>
          <x:t xml:space="preserve">Muted</x:t>
        </x:is>
      </x:c>
      <x:c r="G73" s="21" t="n">
        <x:v>24</x:v>
      </x:c>
      <x:c r="H73" s="21" t="inlineStr">
        <x:is>
          <x:t xml:space="preserve"/>
        </x:is>
      </x:c>
      <x:c r="I73" s="21" t="inlineStr">
        <x:is>
          <x:t xml:space="preserve"/>
        </x:is>
      </x:c>
      <x:c r="J73" s="21" t="inlineStr">
        <x:is>
          <x:t xml:space="preserve"/>
        </x:is>
      </x:c>
      <x:c r="K73" s="21" t="inlineStr">
        <x:is>
          <x:t xml:space="preserve"/>
        </x:is>
      </x:c>
      <x:c r="L73" s="21" t="inlineStr">
        <x:is>
          <x:t xml:space="preserve"/>
        </x:is>
      </x:c>
      <x:c r="M73" s="21" t="inlineStr">
        <x:is>
          <x:t xml:space="preserve"/>
        </x:is>
      </x:c>
      <x:c r="N73" s="21" t="inlineStr">
        <x:is>
          <x:t xml:space="preserve"/>
        </x:is>
      </x:c>
      <x:c r="O73" s="21" t="inlineStr">
        <x:is>
          <x:t xml:space="preserve"/>
        </x:is>
      </x:c>
      <x:c r="P73" s="21" t="inlineStr">
        <x:is>
          <x:t xml:space="preserve"/>
        </x:is>
      </x:c>
      <x:c r="Q73" s="21" t="inlineStr">
        <x:is>
          <x:t xml:space="preserve"/>
        </x:is>
      </x:c>
      <x:c r="R73" s="21" t="inlineStr">
        <x:is>
          <x:t xml:space="preserve"/>
        </x:is>
      </x:c>
      <x:c r="S73" s="22">
        <x:f>IF(H73="","",IFERROR(H73/G73,""))</x:f>
      </x:c>
      <x:c r="T73" s="23">
        <x:f>IF(H73="","",IFERROR((J73+K73+L73+N73)/H73,""))</x:f>
      </x:c>
      <x:c r="U73" s="22">
        <x:f>IF(COUNTA(J73:L73,N73)=0,"",IFERROR(AVERAGE(J73:L73,N73),""))</x:f>
      </x:c>
      <x:c r="V73" s="16" t="inlineStr">
        <x:is>
          <x:t xml:space="preserve"/>
        </x:is>
      </x:c>
    </x:row>
    <x:row r="74">
      <x:c r="A74" s="17" t="inlineStr">
        <x:is>
          <x:t xml:space="preserve">P006</x:t>
        </x:is>
      </x:c>
      <x:c r="B74" s="17" t="n">
        <x:v>10</x:v>
      </x:c>
      <x:c r="C74" s="17" t="inlineStr">
        <x:is>
          <x:t xml:space="preserve">V04</x:t>
        </x:is>
      </x:c>
      <x:c r="D74" s="17" t="inlineStr">
        <x:is>
          <x:t xml:space="preserve">Finance</x:t>
        </x:is>
      </x:c>
      <x:c r="E74" s="17" t="inlineStr">
        <x:is>
          <x:t xml:space="preserve">Semantic compression</x:t>
        </x:is>
      </x:c>
      <x:c r="F74" s="17" t="inlineStr">
        <x:is>
          <x:t xml:space="preserve">Muted</x:t>
        </x:is>
      </x:c>
      <x:c r="G74" s="24" t="n">
        <x:v>20</x:v>
      </x:c>
      <x:c r="H74" s="24" t="inlineStr">
        <x:is>
          <x:t xml:space="preserve"/>
        </x:is>
      </x:c>
      <x:c r="I74" s="24" t="inlineStr">
        <x:is>
          <x:t xml:space="preserve"/>
        </x:is>
      </x:c>
      <x:c r="J74" s="24" t="inlineStr">
        <x:is>
          <x:t xml:space="preserve"/>
        </x:is>
      </x:c>
      <x:c r="K74" s="24" t="inlineStr">
        <x:is>
          <x:t xml:space="preserve"/>
        </x:is>
      </x:c>
      <x:c r="L74" s="24" t="inlineStr">
        <x:is>
          <x:t xml:space="preserve"/>
        </x:is>
      </x:c>
      <x:c r="M74" s="24" t="inlineStr">
        <x:is>
          <x:t xml:space="preserve"/>
        </x:is>
      </x:c>
      <x:c r="N74" s="24" t="inlineStr">
        <x:is>
          <x:t xml:space="preserve"/>
        </x:is>
      </x:c>
      <x:c r="O74" s="24" t="inlineStr">
        <x:is>
          <x:t xml:space="preserve"/>
        </x:is>
      </x:c>
      <x:c r="P74" s="24" t="inlineStr">
        <x:is>
          <x:t xml:space="preserve"/>
        </x:is>
      </x:c>
      <x:c r="Q74" s="24" t="inlineStr">
        <x:is>
          <x:t xml:space="preserve"/>
        </x:is>
      </x:c>
      <x:c r="R74" s="24" t="inlineStr">
        <x:is>
          <x:t xml:space="preserve"/>
        </x:is>
      </x:c>
      <x:c r="S74" s="25">
        <x:f>IF(H74="","",IFERROR(H74/G74,""))</x:f>
      </x:c>
      <x:c r="T74" s="26">
        <x:f>IF(H74="","",IFERROR((J74+K74+L74+N74)/H74,""))</x:f>
      </x:c>
      <x:c r="U74" s="25">
        <x:f>IF(COUNTA(J74:L74,N74)=0,"",IFERROR(AVERAGE(J74:L74,N74),""))</x:f>
      </x:c>
      <x:c r="V74" s="17" t="inlineStr">
        <x:is>
          <x:t xml:space="preserve"/>
        </x:is>
      </x:c>
    </x:row>
    <x:row r="75">
      <x:c r="A75" s="16" t="inlineStr">
        <x:is>
          <x:t xml:space="preserve">P006</x:t>
        </x:is>
      </x:c>
      <x:c r="B75" s="16" t="n">
        <x:v>11</x:v>
      </x:c>
      <x:c r="C75" s="16" t="inlineStr">
        <x:is>
          <x:t xml:space="preserve">V01</x:t>
        </x:is>
      </x:c>
      <x:c r="D75" s="16" t="inlineStr">
        <x:is>
          <x:t xml:space="preserve">Productivity</x:t>
        </x:is>
      </x:c>
      <x:c r="E75" s="16" t="inlineStr">
        <x:is>
          <x:t xml:space="preserve">Heavy bionic</x:t>
        </x:is>
      </x:c>
      <x:c r="F75" s="16" t="inlineStr">
        <x:is>
          <x:t xml:space="preserve">Muted</x:t>
        </x:is>
      </x:c>
      <x:c r="G75" s="21" t="n">
        <x:v>25</x:v>
      </x:c>
      <x:c r="H75" s="21" t="inlineStr">
        <x:is>
          <x:t xml:space="preserve"/>
        </x:is>
      </x:c>
      <x:c r="I75" s="21" t="inlineStr">
        <x:is>
          <x:t xml:space="preserve"/>
        </x:is>
      </x:c>
      <x:c r="J75" s="21" t="inlineStr">
        <x:is>
          <x:t xml:space="preserve"/>
        </x:is>
      </x:c>
      <x:c r="K75" s="21" t="inlineStr">
        <x:is>
          <x:t xml:space="preserve"/>
        </x:is>
      </x:c>
      <x:c r="L75" s="21" t="inlineStr">
        <x:is>
          <x:t xml:space="preserve"/>
        </x:is>
      </x:c>
      <x:c r="M75" s="21" t="inlineStr">
        <x:is>
          <x:t xml:space="preserve"/>
        </x:is>
      </x:c>
      <x:c r="N75" s="21" t="inlineStr">
        <x:is>
          <x:t xml:space="preserve"/>
        </x:is>
      </x:c>
      <x:c r="O75" s="21" t="inlineStr">
        <x:is>
          <x:t xml:space="preserve"/>
        </x:is>
      </x:c>
      <x:c r="P75" s="21" t="inlineStr">
        <x:is>
          <x:t xml:space="preserve"/>
        </x:is>
      </x:c>
      <x:c r="Q75" s="21" t="inlineStr">
        <x:is>
          <x:t xml:space="preserve"/>
        </x:is>
      </x:c>
      <x:c r="R75" s="21" t="inlineStr">
        <x:is>
          <x:t xml:space="preserve"/>
        </x:is>
      </x:c>
      <x:c r="S75" s="22">
        <x:f>IF(H75="","",IFERROR(H75/G75,""))</x:f>
      </x:c>
      <x:c r="T75" s="23">
        <x:f>IF(H75="","",IFERROR((J75+K75+L75+N75)/H75,""))</x:f>
      </x:c>
      <x:c r="U75" s="22">
        <x:f>IF(COUNTA(J75:L75,N75)=0,"",IFERROR(AVERAGE(J75:L75,N75),""))</x:f>
      </x:c>
      <x:c r="V75" s="16" t="inlineStr">
        <x:is>
          <x:t xml:space="preserve"/>
        </x:is>
      </x:c>
    </x:row>
    <x:row r="76">
      <x:c r="A76" s="17" t="inlineStr">
        <x:is>
          <x:t xml:space="preserve">P006</x:t>
        </x:is>
      </x:c>
      <x:c r="B76" s="17" t="n">
        <x:v>12</x:v>
      </x:c>
      <x:c r="C76" s="17" t="inlineStr">
        <x:is>
          <x:t xml:space="preserve">V06</x:t>
        </x:is>
      </x:c>
      <x:c r="D76" s="17" t="inlineStr">
        <x:is>
          <x:t xml:space="preserve">Overload</x:t>
        </x:is>
      </x:c>
      <x:c r="E76" s="17" t="inlineStr">
        <x:is>
          <x:t xml:space="preserve">BCC+</x:t>
        </x:is>
      </x:c>
      <x:c r="F76" s="17" t="inlineStr">
        <x:is>
          <x:t xml:space="preserve">Muted</x:t>
        </x:is>
      </x:c>
      <x:c r="G76" s="24" t="n">
        <x:v>16</x:v>
      </x:c>
      <x:c r="H76" s="24" t="inlineStr">
        <x:is>
          <x:t xml:space="preserve"/>
        </x:is>
      </x:c>
      <x:c r="I76" s="24" t="inlineStr">
        <x:is>
          <x:t xml:space="preserve"/>
        </x:is>
      </x:c>
      <x:c r="J76" s="24" t="inlineStr">
        <x:is>
          <x:t xml:space="preserve"/>
        </x:is>
      </x:c>
      <x:c r="K76" s="24" t="inlineStr">
        <x:is>
          <x:t xml:space="preserve"/>
        </x:is>
      </x:c>
      <x:c r="L76" s="24" t="inlineStr">
        <x:is>
          <x:t xml:space="preserve"/>
        </x:is>
      </x:c>
      <x:c r="M76" s="24" t="inlineStr">
        <x:is>
          <x:t xml:space="preserve"/>
        </x:is>
      </x:c>
      <x:c r="N76" s="24" t="inlineStr">
        <x:is>
          <x:t xml:space="preserve"/>
        </x:is>
      </x:c>
      <x:c r="O76" s="24" t="inlineStr">
        <x:is>
          <x:t xml:space="preserve"/>
        </x:is>
      </x:c>
      <x:c r="P76" s="24" t="inlineStr">
        <x:is>
          <x:t xml:space="preserve"/>
        </x:is>
      </x:c>
      <x:c r="Q76" s="24" t="inlineStr">
        <x:is>
          <x:t xml:space="preserve"/>
        </x:is>
      </x:c>
      <x:c r="R76" s="24" t="inlineStr">
        <x:is>
          <x:t xml:space="preserve"/>
        </x:is>
      </x:c>
      <x:c r="S76" s="25">
        <x:f>IF(H76="","",IFERROR(H76/G76,""))</x:f>
      </x:c>
      <x:c r="T76" s="26">
        <x:f>IF(H76="","",IFERROR((J76+K76+L76+N76)/H76,""))</x:f>
      </x:c>
      <x:c r="U76" s="25">
        <x:f>IF(COUNTA(J76:L76,N76)=0,"",IFERROR(AVERAGE(J76:L76,N76),""))</x:f>
      </x:c>
      <x:c r="V76" s="17" t="inlineStr">
        <x:is>
          <x:t xml:space="preserve"/>
        </x:is>
      </x:c>
    </x:row>
    <x:row r="77">
      <x:c r="A77" s="16" t="inlineStr">
        <x:is>
          <x:t xml:space="preserve">P007</x:t>
        </x:is>
      </x:c>
      <x:c r="B77" s="16" t="n">
        <x:v>1</x:v>
      </x:c>
      <x:c r="C77" s="16" t="inlineStr">
        <x:is>
          <x:t xml:space="preserve">V04</x:t>
        </x:is>
      </x:c>
      <x:c r="D77" s="16" t="inlineStr">
        <x:is>
          <x:t xml:space="preserve">Finance</x:t>
        </x:is>
      </x:c>
      <x:c r="E77" s="16" t="inlineStr">
        <x:is>
          <x:t xml:space="preserve">BCC</x:t>
        </x:is>
      </x:c>
      <x:c r="F77" s="16" t="inlineStr">
        <x:is>
          <x:t xml:space="preserve">Audio-on</x:t>
        </x:is>
      </x:c>
      <x:c r="G77" s="21" t="n">
        <x:v>20</x:v>
      </x:c>
      <x:c r="H77" s="21" t="inlineStr">
        <x:is>
          <x:t xml:space="preserve"/>
        </x:is>
      </x:c>
      <x:c r="I77" s="21" t="inlineStr">
        <x:is>
          <x:t xml:space="preserve"/>
        </x:is>
      </x:c>
      <x:c r="J77" s="21" t="inlineStr">
        <x:is>
          <x:t xml:space="preserve"/>
        </x:is>
      </x:c>
      <x:c r="K77" s="21" t="inlineStr">
        <x:is>
          <x:t xml:space="preserve"/>
        </x:is>
      </x:c>
      <x:c r="L77" s="21" t="inlineStr">
        <x:is>
          <x:t xml:space="preserve"/>
        </x:is>
      </x:c>
      <x:c r="M77" s="21" t="inlineStr">
        <x:is>
          <x:t xml:space="preserve"/>
        </x:is>
      </x:c>
      <x:c r="N77" s="21" t="inlineStr">
        <x:is>
          <x:t xml:space="preserve"/>
        </x:is>
      </x:c>
      <x:c r="O77" s="21" t="inlineStr">
        <x:is>
          <x:t xml:space="preserve"/>
        </x:is>
      </x:c>
      <x:c r="P77" s="21" t="inlineStr">
        <x:is>
          <x:t xml:space="preserve"/>
        </x:is>
      </x:c>
      <x:c r="Q77" s="21" t="inlineStr">
        <x:is>
          <x:t xml:space="preserve"/>
        </x:is>
      </x:c>
      <x:c r="R77" s="21" t="inlineStr">
        <x:is>
          <x:t xml:space="preserve"/>
        </x:is>
      </x:c>
      <x:c r="S77" s="22">
        <x:f>IF(H77="","",IFERROR(H77/G77,""))</x:f>
      </x:c>
      <x:c r="T77" s="23">
        <x:f>IF(H77="","",IFERROR((J77+K77+L77+N77)/H77,""))</x:f>
      </x:c>
      <x:c r="U77" s="22">
        <x:f>IF(COUNTA(J77:L77,N77)=0,"",IFERROR(AVERAGE(J77:L77,N77),""))</x:f>
      </x:c>
      <x:c r="V77" s="16" t="inlineStr">
        <x:is>
          <x:t xml:space="preserve"/>
        </x:is>
      </x:c>
    </x:row>
    <x:row r="78">
      <x:c r="A78" s="17" t="inlineStr">
        <x:is>
          <x:t xml:space="preserve">P007</x:t>
        </x:is>
      </x:c>
      <x:c r="B78" s="17" t="n">
        <x:v>2</x:v>
      </x:c>
      <x:c r="C78" s="17" t="inlineStr">
        <x:is>
          <x:t xml:space="preserve">V06</x:t>
        </x:is>
      </x:c>
      <x:c r="D78" s="17" t="inlineStr">
        <x:is>
          <x:t xml:space="preserve">Overload</x:t>
        </x:is>
      </x:c>
      <x:c r="E78" s="17" t="inlineStr">
        <x:is>
          <x:t xml:space="preserve">Heavy bionic</x:t>
        </x:is>
      </x:c>
      <x:c r="F78" s="17" t="inlineStr">
        <x:is>
          <x:t xml:space="preserve">Audio-on</x:t>
        </x:is>
      </x:c>
      <x:c r="G78" s="24" t="n">
        <x:v>16</x:v>
      </x:c>
      <x:c r="H78" s="24" t="inlineStr">
        <x:is>
          <x:t xml:space="preserve"/>
        </x:is>
      </x:c>
      <x:c r="I78" s="24" t="inlineStr">
        <x:is>
          <x:t xml:space="preserve"/>
        </x:is>
      </x:c>
      <x:c r="J78" s="24" t="inlineStr">
        <x:is>
          <x:t xml:space="preserve"/>
        </x:is>
      </x:c>
      <x:c r="K78" s="24" t="inlineStr">
        <x:is>
          <x:t xml:space="preserve"/>
        </x:is>
      </x:c>
      <x:c r="L78" s="24" t="inlineStr">
        <x:is>
          <x:t xml:space="preserve"/>
        </x:is>
      </x:c>
      <x:c r="M78" s="24" t="inlineStr">
        <x:is>
          <x:t xml:space="preserve"/>
        </x:is>
      </x:c>
      <x:c r="N78" s="24" t="inlineStr">
        <x:is>
          <x:t xml:space="preserve"/>
        </x:is>
      </x:c>
      <x:c r="O78" s="24" t="inlineStr">
        <x:is>
          <x:t xml:space="preserve"/>
        </x:is>
      </x:c>
      <x:c r="P78" s="24" t="inlineStr">
        <x:is>
          <x:t xml:space="preserve"/>
        </x:is>
      </x:c>
      <x:c r="Q78" s="24" t="inlineStr">
        <x:is>
          <x:t xml:space="preserve"/>
        </x:is>
      </x:c>
      <x:c r="R78" s="24" t="inlineStr">
        <x:is>
          <x:t xml:space="preserve"/>
        </x:is>
      </x:c>
      <x:c r="S78" s="25">
        <x:f>IF(H78="","",IFERROR(H78/G78,""))</x:f>
      </x:c>
      <x:c r="T78" s="26">
        <x:f>IF(H78="","",IFERROR((J78+K78+L78+N78)/H78,""))</x:f>
      </x:c>
      <x:c r="U78" s="25">
        <x:f>IF(COUNTA(J78:L78,N78)=0,"",IFERROR(AVERAGE(J78:L78,N78),""))</x:f>
      </x:c>
      <x:c r="V78" s="17" t="inlineStr">
        <x:is>
          <x:t xml:space="preserve"/>
        </x:is>
      </x:c>
    </x:row>
    <x:row r="79">
      <x:c r="A79" s="16" t="inlineStr">
        <x:is>
          <x:t xml:space="preserve">P007</x:t>
        </x:is>
      </x:c>
      <x:c r="B79" s="16" t="n">
        <x:v>3</x:v>
      </x:c>
      <x:c r="C79" s="16" t="inlineStr">
        <x:is>
          <x:t xml:space="preserve">V08</x:t>
        </x:is>
      </x:c>
      <x:c r="D79" s="16" t="inlineStr">
        <x:is>
          <x:t xml:space="preserve">Coding</x:t>
        </x:is>
      </x:c>
      <x:c r="E79" s="16" t="inlineStr">
        <x:is>
          <x:t xml:space="preserve">Keyword highlight</x:t>
        </x:is>
      </x:c>
      <x:c r="F79" s="16" t="inlineStr">
        <x:is>
          <x:t xml:space="preserve">Audio-on</x:t>
        </x:is>
      </x:c>
      <x:c r="G79" s="21" t="n">
        <x:v>24</x:v>
      </x:c>
      <x:c r="H79" s="21" t="inlineStr">
        <x:is>
          <x:t xml:space="preserve"/>
        </x:is>
      </x:c>
      <x:c r="I79" s="21" t="inlineStr">
        <x:is>
          <x:t xml:space="preserve"/>
        </x:is>
      </x:c>
      <x:c r="J79" s="21" t="inlineStr">
        <x:is>
          <x:t xml:space="preserve"/>
        </x:is>
      </x:c>
      <x:c r="K79" s="21" t="inlineStr">
        <x:is>
          <x:t xml:space="preserve"/>
        </x:is>
      </x:c>
      <x:c r="L79" s="21" t="inlineStr">
        <x:is>
          <x:t xml:space="preserve"/>
        </x:is>
      </x:c>
      <x:c r="M79" s="21" t="inlineStr">
        <x:is>
          <x:t xml:space="preserve"/>
        </x:is>
      </x:c>
      <x:c r="N79" s="21" t="inlineStr">
        <x:is>
          <x:t xml:space="preserve"/>
        </x:is>
      </x:c>
      <x:c r="O79" s="21" t="inlineStr">
        <x:is>
          <x:t xml:space="preserve"/>
        </x:is>
      </x:c>
      <x:c r="P79" s="21" t="inlineStr">
        <x:is>
          <x:t xml:space="preserve"/>
        </x:is>
      </x:c>
      <x:c r="Q79" s="21" t="inlineStr">
        <x:is>
          <x:t xml:space="preserve"/>
        </x:is>
      </x:c>
      <x:c r="R79" s="21" t="inlineStr">
        <x:is>
          <x:t xml:space="preserve"/>
        </x:is>
      </x:c>
      <x:c r="S79" s="22">
        <x:f>IF(H79="","",IFERROR(H79/G79,""))</x:f>
      </x:c>
      <x:c r="T79" s="23">
        <x:f>IF(H79="","",IFERROR((J79+K79+L79+N79)/H79,""))</x:f>
      </x:c>
      <x:c r="U79" s="22">
        <x:f>IF(COUNTA(J79:L79,N79)=0,"",IFERROR(AVERAGE(J79:L79,N79),""))</x:f>
      </x:c>
      <x:c r="V79" s="16" t="inlineStr">
        <x:is>
          <x:t xml:space="preserve"/>
        </x:is>
      </x:c>
    </x:row>
    <x:row r="80">
      <x:c r="A80" s="17" t="inlineStr">
        <x:is>
          <x:t xml:space="preserve">P007</x:t>
        </x:is>
      </x:c>
      <x:c r="B80" s="17" t="n">
        <x:v>4</x:v>
      </x:c>
      <x:c r="C80" s="17" t="inlineStr">
        <x:is>
          <x:t xml:space="preserve">V07</x:t>
        </x:is>
      </x:c>
      <x:c r="D80" s="17" t="inlineStr">
        <x:is>
          <x:t xml:space="preserve">Business</x:t>
        </x:is>
      </x:c>
      <x:c r="E80" s="17" t="inlineStr">
        <x:is>
          <x:t xml:space="preserve">Full transcript</x:t>
        </x:is>
      </x:c>
      <x:c r="F80" s="17" t="inlineStr">
        <x:is>
          <x:t xml:space="preserve">Audio-on</x:t>
        </x:is>
      </x:c>
      <x:c r="G80" s="24" t="n">
        <x:v>18</x:v>
      </x:c>
      <x:c r="H80" s="24" t="inlineStr">
        <x:is>
          <x:t xml:space="preserve"/>
        </x:is>
      </x:c>
      <x:c r="I80" s="24" t="inlineStr">
        <x:is>
          <x:t xml:space="preserve"/>
        </x:is>
      </x:c>
      <x:c r="J80" s="24" t="inlineStr">
        <x:is>
          <x:t xml:space="preserve"/>
        </x:is>
      </x:c>
      <x:c r="K80" s="24" t="inlineStr">
        <x:is>
          <x:t xml:space="preserve"/>
        </x:is>
      </x:c>
      <x:c r="L80" s="24" t="inlineStr">
        <x:is>
          <x:t xml:space="preserve"/>
        </x:is>
      </x:c>
      <x:c r="M80" s="24" t="inlineStr">
        <x:is>
          <x:t xml:space="preserve"/>
        </x:is>
      </x:c>
      <x:c r="N80" s="24" t="inlineStr">
        <x:is>
          <x:t xml:space="preserve"/>
        </x:is>
      </x:c>
      <x:c r="O80" s="24" t="inlineStr">
        <x:is>
          <x:t xml:space="preserve"/>
        </x:is>
      </x:c>
      <x:c r="P80" s="24" t="inlineStr">
        <x:is>
          <x:t xml:space="preserve"/>
        </x:is>
      </x:c>
      <x:c r="Q80" s="24" t="inlineStr">
        <x:is>
          <x:t xml:space="preserve"/>
        </x:is>
      </x:c>
      <x:c r="R80" s="24" t="inlineStr">
        <x:is>
          <x:t xml:space="preserve"/>
        </x:is>
      </x:c>
      <x:c r="S80" s="25">
        <x:f>IF(H80="","",IFERROR(H80/G80,""))</x:f>
      </x:c>
      <x:c r="T80" s="26">
        <x:f>IF(H80="","",IFERROR((J80+K80+L80+N80)/H80,""))</x:f>
      </x:c>
      <x:c r="U80" s="25">
        <x:f>IF(COUNTA(J80:L80,N80)=0,"",IFERROR(AVERAGE(J80:L80,N80),""))</x:f>
      </x:c>
      <x:c r="V80" s="17" t="inlineStr">
        <x:is>
          <x:t xml:space="preserve"/>
        </x:is>
      </x:c>
    </x:row>
    <x:row r="81">
      <x:c r="A81" s="16" t="inlineStr">
        <x:is>
          <x:t xml:space="preserve">P007</x:t>
        </x:is>
      </x:c>
      <x:c r="B81" s="16" t="n">
        <x:v>5</x:v>
      </x:c>
      <x:c r="C81" s="16" t="inlineStr">
        <x:is>
          <x:t xml:space="preserve">V12</x:t>
        </x:is>
      </x:c>
      <x:c r="D81" s="16" t="inlineStr">
        <x:is>
          <x:t xml:space="preserve">Time management</x:t>
        </x:is>
      </x:c>
      <x:c r="E81" s="16" t="inlineStr">
        <x:is>
          <x:t xml:space="preserve">Heavy bionic</x:t>
        </x:is>
      </x:c>
      <x:c r="F81" s="16" t="inlineStr">
        <x:is>
          <x:t xml:space="preserve">Audio-on</x:t>
        </x:is>
      </x:c>
      <x:c r="G81" s="21" t="n">
        <x:v>21</x:v>
      </x:c>
      <x:c r="H81" s="21" t="inlineStr">
        <x:is>
          <x:t xml:space="preserve"/>
        </x:is>
      </x:c>
      <x:c r="I81" s="21" t="inlineStr">
        <x:is>
          <x:t xml:space="preserve"/>
        </x:is>
      </x:c>
      <x:c r="J81" s="21" t="inlineStr">
        <x:is>
          <x:t xml:space="preserve"/>
        </x:is>
      </x:c>
      <x:c r="K81" s="21" t="inlineStr">
        <x:is>
          <x:t xml:space="preserve"/>
        </x:is>
      </x:c>
      <x:c r="L81" s="21" t="inlineStr">
        <x:is>
          <x:t xml:space="preserve"/>
        </x:is>
      </x:c>
      <x:c r="M81" s="21" t="inlineStr">
        <x:is>
          <x:t xml:space="preserve"/>
        </x:is>
      </x:c>
      <x:c r="N81" s="21" t="inlineStr">
        <x:is>
          <x:t xml:space="preserve"/>
        </x:is>
      </x:c>
      <x:c r="O81" s="21" t="inlineStr">
        <x:is>
          <x:t xml:space="preserve"/>
        </x:is>
      </x:c>
      <x:c r="P81" s="21" t="inlineStr">
        <x:is>
          <x:t xml:space="preserve"/>
        </x:is>
      </x:c>
      <x:c r="Q81" s="21" t="inlineStr">
        <x:is>
          <x:t xml:space="preserve"/>
        </x:is>
      </x:c>
      <x:c r="R81" s="21" t="inlineStr">
        <x:is>
          <x:t xml:space="preserve"/>
        </x:is>
      </x:c>
      <x:c r="S81" s="22">
        <x:f>IF(H81="","",IFERROR(H81/G81,""))</x:f>
      </x:c>
      <x:c r="T81" s="23">
        <x:f>IF(H81="","",IFERROR((J81+K81+L81+N81)/H81,""))</x:f>
      </x:c>
      <x:c r="U81" s="22">
        <x:f>IF(COUNTA(J81:L81,N81)=0,"",IFERROR(AVERAGE(J81:L81,N81),""))</x:f>
      </x:c>
      <x:c r="V81" s="16" t="inlineStr">
        <x:is>
          <x:t xml:space="preserve"/>
        </x:is>
      </x:c>
    </x:row>
    <x:row r="82">
      <x:c r="A82" s="17" t="inlineStr">
        <x:is>
          <x:t xml:space="preserve">P007</x:t>
        </x:is>
      </x:c>
      <x:c r="B82" s="17" t="n">
        <x:v>6</x:v>
      </x:c>
      <x:c r="C82" s="17" t="inlineStr">
        <x:is>
          <x:t xml:space="preserve">V09</x:t>
        </x:is>
      </x:c>
      <x:c r="D82" s="17" t="inlineStr">
        <x:is>
          <x:t xml:space="preserve">Sleep habit</x:t>
        </x:is>
      </x:c>
      <x:c r="E82" s="17" t="inlineStr">
        <x:is>
          <x:t xml:space="preserve">Semantic compression</x:t>
        </x:is>
      </x:c>
      <x:c r="F82" s="17" t="inlineStr">
        <x:is>
          <x:t xml:space="preserve">Audio-on</x:t>
        </x:is>
      </x:c>
      <x:c r="G82" s="24" t="n">
        <x:v>19</x:v>
      </x:c>
      <x:c r="H82" s="24" t="inlineStr">
        <x:is>
          <x:t xml:space="preserve"/>
        </x:is>
      </x:c>
      <x:c r="I82" s="24" t="inlineStr">
        <x:is>
          <x:t xml:space="preserve"/>
        </x:is>
      </x:c>
      <x:c r="J82" s="24" t="inlineStr">
        <x:is>
          <x:t xml:space="preserve"/>
        </x:is>
      </x:c>
      <x:c r="K82" s="24" t="inlineStr">
        <x:is>
          <x:t xml:space="preserve"/>
        </x:is>
      </x:c>
      <x:c r="L82" s="24" t="inlineStr">
        <x:is>
          <x:t xml:space="preserve"/>
        </x:is>
      </x:c>
      <x:c r="M82" s="24" t="inlineStr">
        <x:is>
          <x:t xml:space="preserve"/>
        </x:is>
      </x:c>
      <x:c r="N82" s="24" t="inlineStr">
        <x:is>
          <x:t xml:space="preserve"/>
        </x:is>
      </x:c>
      <x:c r="O82" s="24" t="inlineStr">
        <x:is>
          <x:t xml:space="preserve"/>
        </x:is>
      </x:c>
      <x:c r="P82" s="24" t="inlineStr">
        <x:is>
          <x:t xml:space="preserve"/>
        </x:is>
      </x:c>
      <x:c r="Q82" s="24" t="inlineStr">
        <x:is>
          <x:t xml:space="preserve"/>
        </x:is>
      </x:c>
      <x:c r="R82" s="24" t="inlineStr">
        <x:is>
          <x:t xml:space="preserve"/>
        </x:is>
      </x:c>
      <x:c r="S82" s="25">
        <x:f>IF(H82="","",IFERROR(H82/G82,""))</x:f>
      </x:c>
      <x:c r="T82" s="26">
        <x:f>IF(H82="","",IFERROR((J82+K82+L82+N82)/H82,""))</x:f>
      </x:c>
      <x:c r="U82" s="25">
        <x:f>IF(COUNTA(J82:L82,N82)=0,"",IFERROR(AVERAGE(J82:L82,N82),""))</x:f>
      </x:c>
      <x:c r="V82" s="17" t="inlineStr">
        <x:is>
          <x:t xml:space="preserve"/>
        </x:is>
      </x:c>
    </x:row>
    <x:row r="83">
      <x:c r="A83" s="16" t="inlineStr">
        <x:is>
          <x:t xml:space="preserve">P007</x:t>
        </x:is>
      </x:c>
      <x:c r="B83" s="16" t="n">
        <x:v>7</x:v>
      </x:c>
      <x:c r="C83" s="16" t="inlineStr">
        <x:is>
          <x:t xml:space="preserve">V02</x:t>
        </x:is>
      </x:c>
      <x:c r="D83" s="16" t="inlineStr">
        <x:is>
          <x:t xml:space="preserve">Study</x:t>
        </x:is>
      </x:c>
      <x:c r="E83" s="16" t="inlineStr">
        <x:is>
          <x:t xml:space="preserve">Keyword highlight</x:t>
        </x:is>
      </x:c>
      <x:c r="F83" s="16" t="inlineStr">
        <x:is>
          <x:t xml:space="preserve">Audio-on</x:t>
        </x:is>
      </x:c>
      <x:c r="G83" s="21" t="n">
        <x:v>18</x:v>
      </x:c>
      <x:c r="H83" s="21" t="inlineStr">
        <x:is>
          <x:t xml:space="preserve"/>
        </x:is>
      </x:c>
      <x:c r="I83" s="21" t="inlineStr">
        <x:is>
          <x:t xml:space="preserve"/>
        </x:is>
      </x:c>
      <x:c r="J83" s="21" t="inlineStr">
        <x:is>
          <x:t xml:space="preserve"/>
        </x:is>
      </x:c>
      <x:c r="K83" s="21" t="inlineStr">
        <x:is>
          <x:t xml:space="preserve"/>
        </x:is>
      </x:c>
      <x:c r="L83" s="21" t="inlineStr">
        <x:is>
          <x:t xml:space="preserve"/>
        </x:is>
      </x:c>
      <x:c r="M83" s="21" t="inlineStr">
        <x:is>
          <x:t xml:space="preserve"/>
        </x:is>
      </x:c>
      <x:c r="N83" s="21" t="inlineStr">
        <x:is>
          <x:t xml:space="preserve"/>
        </x:is>
      </x:c>
      <x:c r="O83" s="21" t="inlineStr">
        <x:is>
          <x:t xml:space="preserve"/>
        </x:is>
      </x:c>
      <x:c r="P83" s="21" t="inlineStr">
        <x:is>
          <x:t xml:space="preserve"/>
        </x:is>
      </x:c>
      <x:c r="Q83" s="21" t="inlineStr">
        <x:is>
          <x:t xml:space="preserve"/>
        </x:is>
      </x:c>
      <x:c r="R83" s="21" t="inlineStr">
        <x:is>
          <x:t xml:space="preserve"/>
        </x:is>
      </x:c>
      <x:c r="S83" s="22">
        <x:f>IF(H83="","",IFERROR(H83/G83,""))</x:f>
      </x:c>
      <x:c r="T83" s="23">
        <x:f>IF(H83="","",IFERROR((J83+K83+L83+N83)/H83,""))</x:f>
      </x:c>
      <x:c r="U83" s="22">
        <x:f>IF(COUNTA(J83:L83,N83)=0,"",IFERROR(AVERAGE(J83:L83,N83),""))</x:f>
      </x:c>
      <x:c r="V83" s="16" t="inlineStr">
        <x:is>
          <x:t xml:space="preserve"/>
        </x:is>
      </x:c>
    </x:row>
    <x:row r="84">
      <x:c r="A84" s="17" t="inlineStr">
        <x:is>
          <x:t xml:space="preserve">P007</x:t>
        </x:is>
      </x:c>
      <x:c r="B84" s="17" t="n">
        <x:v>8</x:v>
      </x:c>
      <x:c r="C84" s="17" t="inlineStr">
        <x:is>
          <x:t xml:space="preserve">V11</x:t>
        </x:is>
      </x:c>
      <x:c r="D84" s="17" t="inlineStr">
        <x:is>
          <x:t xml:space="preserve">Creator strategy</x:t>
        </x:is>
      </x:c>
      <x:c r="E84" s="17" t="inlineStr">
        <x:is>
          <x:t xml:space="preserve">BCC+</x:t>
        </x:is>
      </x:c>
      <x:c r="F84" s="17" t="inlineStr">
        <x:is>
          <x:t xml:space="preserve">Audio-on</x:t>
        </x:is>
      </x:c>
      <x:c r="G84" s="24" t="n">
        <x:v>17</x:v>
      </x:c>
      <x:c r="H84" s="24" t="inlineStr">
        <x:is>
          <x:t xml:space="preserve"/>
        </x:is>
      </x:c>
      <x:c r="I84" s="24" t="inlineStr">
        <x:is>
          <x:t xml:space="preserve"/>
        </x:is>
      </x:c>
      <x:c r="J84" s="24" t="inlineStr">
        <x:is>
          <x:t xml:space="preserve"/>
        </x:is>
      </x:c>
      <x:c r="K84" s="24" t="inlineStr">
        <x:is>
          <x:t xml:space="preserve"/>
        </x:is>
      </x:c>
      <x:c r="L84" s="24" t="inlineStr">
        <x:is>
          <x:t xml:space="preserve"/>
        </x:is>
      </x:c>
      <x:c r="M84" s="24" t="inlineStr">
        <x:is>
          <x:t xml:space="preserve"/>
        </x:is>
      </x:c>
      <x:c r="N84" s="24" t="inlineStr">
        <x:is>
          <x:t xml:space="preserve"/>
        </x:is>
      </x:c>
      <x:c r="O84" s="24" t="inlineStr">
        <x:is>
          <x:t xml:space="preserve"/>
        </x:is>
      </x:c>
      <x:c r="P84" s="24" t="inlineStr">
        <x:is>
          <x:t xml:space="preserve"/>
        </x:is>
      </x:c>
      <x:c r="Q84" s="24" t="inlineStr">
        <x:is>
          <x:t xml:space="preserve"/>
        </x:is>
      </x:c>
      <x:c r="R84" s="24" t="inlineStr">
        <x:is>
          <x:t xml:space="preserve"/>
        </x:is>
      </x:c>
      <x:c r="S84" s="25">
        <x:f>IF(H84="","",IFERROR(H84/G84,""))</x:f>
      </x:c>
      <x:c r="T84" s="26">
        <x:f>IF(H84="","",IFERROR((J84+K84+L84+N84)/H84,""))</x:f>
      </x:c>
      <x:c r="U84" s="25">
        <x:f>IF(COUNTA(J84:L84,N84)=0,"",IFERROR(AVERAGE(J84:L84,N84),""))</x:f>
      </x:c>
      <x:c r="V84" s="17" t="inlineStr">
        <x:is>
          <x:t xml:space="preserve"/>
        </x:is>
      </x:c>
    </x:row>
    <x:row r="85">
      <x:c r="A85" s="16" t="inlineStr">
        <x:is>
          <x:t xml:space="preserve">P007</x:t>
        </x:is>
      </x:c>
      <x:c r="B85" s="16" t="n">
        <x:v>9</x:v>
      </x:c>
      <x:c r="C85" s="16" t="inlineStr">
        <x:is>
          <x:t xml:space="preserve">V05</x:t>
        </x:is>
      </x:c>
      <x:c r="D85" s="16" t="inlineStr">
        <x:is>
          <x:t xml:space="preserve">Tutorial</x:t>
        </x:is>
      </x:c>
      <x:c r="E85" s="16" t="inlineStr">
        <x:is>
          <x:t xml:space="preserve">BCC+</x:t>
        </x:is>
      </x:c>
      <x:c r="F85" s="16" t="inlineStr">
        <x:is>
          <x:t xml:space="preserve">Audio-on</x:t>
        </x:is>
      </x:c>
      <x:c r="G85" s="21" t="n">
        <x:v>20</x:v>
      </x:c>
      <x:c r="H85" s="21" t="inlineStr">
        <x:is>
          <x:t xml:space="preserve"/>
        </x:is>
      </x:c>
      <x:c r="I85" s="21" t="inlineStr">
        <x:is>
          <x:t xml:space="preserve"/>
        </x:is>
      </x:c>
      <x:c r="J85" s="21" t="inlineStr">
        <x:is>
          <x:t xml:space="preserve"/>
        </x:is>
      </x:c>
      <x:c r="K85" s="21" t="inlineStr">
        <x:is>
          <x:t xml:space="preserve"/>
        </x:is>
      </x:c>
      <x:c r="L85" s="21" t="inlineStr">
        <x:is>
          <x:t xml:space="preserve"/>
        </x:is>
      </x:c>
      <x:c r="M85" s="21" t="inlineStr">
        <x:is>
          <x:t xml:space="preserve"/>
        </x:is>
      </x:c>
      <x:c r="N85" s="21" t="inlineStr">
        <x:is>
          <x:t xml:space="preserve"/>
        </x:is>
      </x:c>
      <x:c r="O85" s="21" t="inlineStr">
        <x:is>
          <x:t xml:space="preserve"/>
        </x:is>
      </x:c>
      <x:c r="P85" s="21" t="inlineStr">
        <x:is>
          <x:t xml:space="preserve"/>
        </x:is>
      </x:c>
      <x:c r="Q85" s="21" t="inlineStr">
        <x:is>
          <x:t xml:space="preserve"/>
        </x:is>
      </x:c>
      <x:c r="R85" s="21" t="inlineStr">
        <x:is>
          <x:t xml:space="preserve"/>
        </x:is>
      </x:c>
      <x:c r="S85" s="22">
        <x:f>IF(H85="","",IFERROR(H85/G85,""))</x:f>
      </x:c>
      <x:c r="T85" s="23">
        <x:f>IF(H85="","",IFERROR((J85+K85+L85+N85)/H85,""))</x:f>
      </x:c>
      <x:c r="U85" s="22">
        <x:f>IF(COUNTA(J85:L85,N85)=0,"",IFERROR(AVERAGE(J85:L85,N85),""))</x:f>
      </x:c>
      <x:c r="V85" s="16" t="inlineStr">
        <x:is>
          <x:t xml:space="preserve"/>
        </x:is>
      </x:c>
    </x:row>
    <x:row r="86">
      <x:c r="A86" s="17" t="inlineStr">
        <x:is>
          <x:t xml:space="preserve">P007</x:t>
        </x:is>
      </x:c>
      <x:c r="B86" s="17" t="n">
        <x:v>10</x:v>
      </x:c>
      <x:c r="C86" s="17" t="inlineStr">
        <x:is>
          <x:t xml:space="preserve">V03</x:t>
        </x:is>
      </x:c>
      <x:c r="D86" s="17" t="inlineStr">
        <x:is>
          <x:t xml:space="preserve">Fitness</x:t>
        </x:is>
      </x:c>
      <x:c r="E86" s="17" t="inlineStr">
        <x:is>
          <x:t xml:space="preserve">Semantic compression</x:t>
        </x:is>
      </x:c>
      <x:c r="F86" s="17" t="inlineStr">
        <x:is>
          <x:t xml:space="preserve">Audio-on</x:t>
        </x:is>
      </x:c>
      <x:c r="G86" s="24" t="n">
        <x:v>18</x:v>
      </x:c>
      <x:c r="H86" s="24" t="inlineStr">
        <x:is>
          <x:t xml:space="preserve"/>
        </x:is>
      </x:c>
      <x:c r="I86" s="24" t="inlineStr">
        <x:is>
          <x:t xml:space="preserve"/>
        </x:is>
      </x:c>
      <x:c r="J86" s="24" t="inlineStr">
        <x:is>
          <x:t xml:space="preserve"/>
        </x:is>
      </x:c>
      <x:c r="K86" s="24" t="inlineStr">
        <x:is>
          <x:t xml:space="preserve"/>
        </x:is>
      </x:c>
      <x:c r="L86" s="24" t="inlineStr">
        <x:is>
          <x:t xml:space="preserve"/>
        </x:is>
      </x:c>
      <x:c r="M86" s="24" t="inlineStr">
        <x:is>
          <x:t xml:space="preserve"/>
        </x:is>
      </x:c>
      <x:c r="N86" s="24" t="inlineStr">
        <x:is>
          <x:t xml:space="preserve"/>
        </x:is>
      </x:c>
      <x:c r="O86" s="24" t="inlineStr">
        <x:is>
          <x:t xml:space="preserve"/>
        </x:is>
      </x:c>
      <x:c r="P86" s="24" t="inlineStr">
        <x:is>
          <x:t xml:space="preserve"/>
        </x:is>
      </x:c>
      <x:c r="Q86" s="24" t="inlineStr">
        <x:is>
          <x:t xml:space="preserve"/>
        </x:is>
      </x:c>
      <x:c r="R86" s="24" t="inlineStr">
        <x:is>
          <x:t xml:space="preserve"/>
        </x:is>
      </x:c>
      <x:c r="S86" s="25">
        <x:f>IF(H86="","",IFERROR(H86/G86,""))</x:f>
      </x:c>
      <x:c r="T86" s="26">
        <x:f>IF(H86="","",IFERROR((J86+K86+L86+N86)/H86,""))</x:f>
      </x:c>
      <x:c r="U86" s="25">
        <x:f>IF(COUNTA(J86:L86,N86)=0,"",IFERROR(AVERAGE(J86:L86,N86),""))</x:f>
      </x:c>
      <x:c r="V86" s="17" t="inlineStr">
        <x:is>
          <x:t xml:space="preserve"/>
        </x:is>
      </x:c>
    </x:row>
    <x:row r="87">
      <x:c r="A87" s="16" t="inlineStr">
        <x:is>
          <x:t xml:space="preserve">P007</x:t>
        </x:is>
      </x:c>
      <x:c r="B87" s="16" t="n">
        <x:v>11</x:v>
      </x:c>
      <x:c r="C87" s="16" t="inlineStr">
        <x:is>
          <x:t xml:space="preserve">V10</x:t>
        </x:is>
      </x:c>
      <x:c r="D87" s="16" t="inlineStr">
        <x:is>
          <x:t xml:space="preserve">Product demo</x:t>
        </x:is>
      </x:c>
      <x:c r="E87" s="16" t="inlineStr">
        <x:is>
          <x:t xml:space="preserve">BCC</x:t>
        </x:is>
      </x:c>
      <x:c r="F87" s="16" t="inlineStr">
        <x:is>
          <x:t xml:space="preserve">Audio-on</x:t>
        </x:is>
      </x:c>
      <x:c r="G87" s="21" t="n">
        <x:v>15</x:v>
      </x:c>
      <x:c r="H87" s="21" t="inlineStr">
        <x:is>
          <x:t xml:space="preserve"/>
        </x:is>
      </x:c>
      <x:c r="I87" s="21" t="inlineStr">
        <x:is>
          <x:t xml:space="preserve"/>
        </x:is>
      </x:c>
      <x:c r="J87" s="21" t="inlineStr">
        <x:is>
          <x:t xml:space="preserve"/>
        </x:is>
      </x:c>
      <x:c r="K87" s="21" t="inlineStr">
        <x:is>
          <x:t xml:space="preserve"/>
        </x:is>
      </x:c>
      <x:c r="L87" s="21" t="inlineStr">
        <x:is>
          <x:t xml:space="preserve"/>
        </x:is>
      </x:c>
      <x:c r="M87" s="21" t="inlineStr">
        <x:is>
          <x:t xml:space="preserve"/>
        </x:is>
      </x:c>
      <x:c r="N87" s="21" t="inlineStr">
        <x:is>
          <x:t xml:space="preserve"/>
        </x:is>
      </x:c>
      <x:c r="O87" s="21" t="inlineStr">
        <x:is>
          <x:t xml:space="preserve"/>
        </x:is>
      </x:c>
      <x:c r="P87" s="21" t="inlineStr">
        <x:is>
          <x:t xml:space="preserve"/>
        </x:is>
      </x:c>
      <x:c r="Q87" s="21" t="inlineStr">
        <x:is>
          <x:t xml:space="preserve"/>
        </x:is>
      </x:c>
      <x:c r="R87" s="21" t="inlineStr">
        <x:is>
          <x:t xml:space="preserve"/>
        </x:is>
      </x:c>
      <x:c r="S87" s="22">
        <x:f>IF(H87="","",IFERROR(H87/G87,""))</x:f>
      </x:c>
      <x:c r="T87" s="23">
        <x:f>IF(H87="","",IFERROR((J87+K87+L87+N87)/H87,""))</x:f>
      </x:c>
      <x:c r="U87" s="22">
        <x:f>IF(COUNTA(J87:L87,N87)=0,"",IFERROR(AVERAGE(J87:L87,N87),""))</x:f>
      </x:c>
      <x:c r="V87" s="16" t="inlineStr">
        <x:is>
          <x:t xml:space="preserve"/>
        </x:is>
      </x:c>
    </x:row>
    <x:row r="88">
      <x:c r="A88" s="17" t="inlineStr">
        <x:is>
          <x:t xml:space="preserve">P007</x:t>
        </x:is>
      </x:c>
      <x:c r="B88" s="17" t="n">
        <x:v>12</x:v>
      </x:c>
      <x:c r="C88" s="17" t="inlineStr">
        <x:is>
          <x:t xml:space="preserve">V01</x:t>
        </x:is>
      </x:c>
      <x:c r="D88" s="17" t="inlineStr">
        <x:is>
          <x:t xml:space="preserve">Productivity</x:t>
        </x:is>
      </x:c>
      <x:c r="E88" s="17" t="inlineStr">
        <x:is>
          <x:t xml:space="preserve">Full transcript</x:t>
        </x:is>
      </x:c>
      <x:c r="F88" s="17" t="inlineStr">
        <x:is>
          <x:t xml:space="preserve">Audio-on</x:t>
        </x:is>
      </x:c>
      <x:c r="G88" s="24" t="n">
        <x:v>25</x:v>
      </x:c>
      <x:c r="H88" s="24" t="inlineStr">
        <x:is>
          <x:t xml:space="preserve"/>
        </x:is>
      </x:c>
      <x:c r="I88" s="24" t="inlineStr">
        <x:is>
          <x:t xml:space="preserve"/>
        </x:is>
      </x:c>
      <x:c r="J88" s="24" t="inlineStr">
        <x:is>
          <x:t xml:space="preserve"/>
        </x:is>
      </x:c>
      <x:c r="K88" s="24" t="inlineStr">
        <x:is>
          <x:t xml:space="preserve"/>
        </x:is>
      </x:c>
      <x:c r="L88" s="24" t="inlineStr">
        <x:is>
          <x:t xml:space="preserve"/>
        </x:is>
      </x:c>
      <x:c r="M88" s="24" t="inlineStr">
        <x:is>
          <x:t xml:space="preserve"/>
        </x:is>
      </x:c>
      <x:c r="N88" s="24" t="inlineStr">
        <x:is>
          <x:t xml:space="preserve"/>
        </x:is>
      </x:c>
      <x:c r="O88" s="24" t="inlineStr">
        <x:is>
          <x:t xml:space="preserve"/>
        </x:is>
      </x:c>
      <x:c r="P88" s="24" t="inlineStr">
        <x:is>
          <x:t xml:space="preserve"/>
        </x:is>
      </x:c>
      <x:c r="Q88" s="24" t="inlineStr">
        <x:is>
          <x:t xml:space="preserve"/>
        </x:is>
      </x:c>
      <x:c r="R88" s="24" t="inlineStr">
        <x:is>
          <x:t xml:space="preserve"/>
        </x:is>
      </x:c>
      <x:c r="S88" s="25">
        <x:f>IF(H88="","",IFERROR(H88/G88,""))</x:f>
      </x:c>
      <x:c r="T88" s="26">
        <x:f>IF(H88="","",IFERROR((J88+K88+L88+N88)/H88,""))</x:f>
      </x:c>
      <x:c r="U88" s="25">
        <x:f>IF(COUNTA(J88:L88,N88)=0,"",IFERROR(AVERAGE(J88:L88,N88),""))</x:f>
      </x:c>
      <x:c r="V88" s="17" t="inlineStr">
        <x:is>
          <x:t xml:space="preserve"/>
        </x:is>
      </x:c>
    </x:row>
    <x:row r="89">
      <x:c r="A89" s="16" t="inlineStr">
        <x:is>
          <x:t xml:space="preserve">P008</x:t>
        </x:is>
      </x:c>
      <x:c r="B89" s="16" t="n">
        <x:v>1</x:v>
      </x:c>
      <x:c r="C89" s="16" t="inlineStr">
        <x:is>
          <x:t xml:space="preserve">V04</x:t>
        </x:is>
      </x:c>
      <x:c r="D89" s="16" t="inlineStr">
        <x:is>
          <x:t xml:space="preserve">Finance</x:t>
        </x:is>
      </x:c>
      <x:c r="E89" s="16" t="inlineStr">
        <x:is>
          <x:t xml:space="preserve">BCC+</x:t>
        </x:is>
      </x:c>
      <x:c r="F89" s="16" t="inlineStr">
        <x:is>
          <x:t xml:space="preserve">Audio-on</x:t>
        </x:is>
      </x:c>
      <x:c r="G89" s="21" t="n">
        <x:v>20</x:v>
      </x:c>
      <x:c r="H89" s="21" t="inlineStr">
        <x:is>
          <x:t xml:space="preserve"/>
        </x:is>
      </x:c>
      <x:c r="I89" s="21" t="inlineStr">
        <x:is>
          <x:t xml:space="preserve"/>
        </x:is>
      </x:c>
      <x:c r="J89" s="21" t="inlineStr">
        <x:is>
          <x:t xml:space="preserve"/>
        </x:is>
      </x:c>
      <x:c r="K89" s="21" t="inlineStr">
        <x:is>
          <x:t xml:space="preserve"/>
        </x:is>
      </x:c>
      <x:c r="L89" s="21" t="inlineStr">
        <x:is>
          <x:t xml:space="preserve"/>
        </x:is>
      </x:c>
      <x:c r="M89" s="21" t="inlineStr">
        <x:is>
          <x:t xml:space="preserve"/>
        </x:is>
      </x:c>
      <x:c r="N89" s="21" t="inlineStr">
        <x:is>
          <x:t xml:space="preserve"/>
        </x:is>
      </x:c>
      <x:c r="O89" s="21" t="inlineStr">
        <x:is>
          <x:t xml:space="preserve"/>
        </x:is>
      </x:c>
      <x:c r="P89" s="21" t="inlineStr">
        <x:is>
          <x:t xml:space="preserve"/>
        </x:is>
      </x:c>
      <x:c r="Q89" s="21" t="inlineStr">
        <x:is>
          <x:t xml:space="preserve"/>
        </x:is>
      </x:c>
      <x:c r="R89" s="21" t="inlineStr">
        <x:is>
          <x:t xml:space="preserve"/>
        </x:is>
      </x:c>
      <x:c r="S89" s="22">
        <x:f>IF(H89="","",IFERROR(H89/G89,""))</x:f>
      </x:c>
      <x:c r="T89" s="23">
        <x:f>IF(H89="","",IFERROR((J89+K89+L89+N89)/H89,""))</x:f>
      </x:c>
      <x:c r="U89" s="22">
        <x:f>IF(COUNTA(J89:L89,N89)=0,"",IFERROR(AVERAGE(J89:L89,N89),""))</x:f>
      </x:c>
      <x:c r="V89" s="16" t="inlineStr">
        <x:is>
          <x:t xml:space="preserve"/>
        </x:is>
      </x:c>
    </x:row>
    <x:row r="90">
      <x:c r="A90" s="17" t="inlineStr">
        <x:is>
          <x:t xml:space="preserve">P008</x:t>
        </x:is>
      </x:c>
      <x:c r="B90" s="17" t="n">
        <x:v>2</x:v>
      </x:c>
      <x:c r="C90" s="17" t="inlineStr">
        <x:is>
          <x:t xml:space="preserve">V05</x:t>
        </x:is>
      </x:c>
      <x:c r="D90" s="17" t="inlineStr">
        <x:is>
          <x:t xml:space="preserve">Tutorial</x:t>
        </x:is>
      </x:c>
      <x:c r="E90" s="17" t="inlineStr">
        <x:is>
          <x:t xml:space="preserve">Heavy bionic</x:t>
        </x:is>
      </x:c>
      <x:c r="F90" s="17" t="inlineStr">
        <x:is>
          <x:t xml:space="preserve">Audio-on</x:t>
        </x:is>
      </x:c>
      <x:c r="G90" s="24" t="n">
        <x:v>20</x:v>
      </x:c>
      <x:c r="H90" s="24" t="inlineStr">
        <x:is>
          <x:t xml:space="preserve"/>
        </x:is>
      </x:c>
      <x:c r="I90" s="24" t="inlineStr">
        <x:is>
          <x:t xml:space="preserve"/>
        </x:is>
      </x:c>
      <x:c r="J90" s="24" t="inlineStr">
        <x:is>
          <x:t xml:space="preserve"/>
        </x:is>
      </x:c>
      <x:c r="K90" s="24" t="inlineStr">
        <x:is>
          <x:t xml:space="preserve"/>
        </x:is>
      </x:c>
      <x:c r="L90" s="24" t="inlineStr">
        <x:is>
          <x:t xml:space="preserve"/>
        </x:is>
      </x:c>
      <x:c r="M90" s="24" t="inlineStr">
        <x:is>
          <x:t xml:space="preserve"/>
        </x:is>
      </x:c>
      <x:c r="N90" s="24" t="inlineStr">
        <x:is>
          <x:t xml:space="preserve"/>
        </x:is>
      </x:c>
      <x:c r="O90" s="24" t="inlineStr">
        <x:is>
          <x:t xml:space="preserve"/>
        </x:is>
      </x:c>
      <x:c r="P90" s="24" t="inlineStr">
        <x:is>
          <x:t xml:space="preserve"/>
        </x:is>
      </x:c>
      <x:c r="Q90" s="24" t="inlineStr">
        <x:is>
          <x:t xml:space="preserve"/>
        </x:is>
      </x:c>
      <x:c r="R90" s="24" t="inlineStr">
        <x:is>
          <x:t xml:space="preserve"/>
        </x:is>
      </x:c>
      <x:c r="S90" s="25">
        <x:f>IF(H90="","",IFERROR(H90/G90,""))</x:f>
      </x:c>
      <x:c r="T90" s="26">
        <x:f>IF(H90="","",IFERROR((J90+K90+L90+N90)/H90,""))</x:f>
      </x:c>
      <x:c r="U90" s="25">
        <x:f>IF(COUNTA(J90:L90,N90)=0,"",IFERROR(AVERAGE(J90:L90,N90),""))</x:f>
      </x:c>
      <x:c r="V90" s="17" t="inlineStr">
        <x:is>
          <x:t xml:space="preserve"/>
        </x:is>
      </x:c>
    </x:row>
    <x:row r="91">
      <x:c r="A91" s="16" t="inlineStr">
        <x:is>
          <x:t xml:space="preserve">P008</x:t>
        </x:is>
      </x:c>
      <x:c r="B91" s="16" t="n">
        <x:v>3</x:v>
      </x:c>
      <x:c r="C91" s="16" t="inlineStr">
        <x:is>
          <x:t xml:space="preserve">V03</x:t>
        </x:is>
      </x:c>
      <x:c r="D91" s="16" t="inlineStr">
        <x:is>
          <x:t xml:space="preserve">Fitness</x:t>
        </x:is>
      </x:c>
      <x:c r="E91" s="16" t="inlineStr">
        <x:is>
          <x:t xml:space="preserve">BCC</x:t>
        </x:is>
      </x:c>
      <x:c r="F91" s="16" t="inlineStr">
        <x:is>
          <x:t xml:space="preserve">Audio-on</x:t>
        </x:is>
      </x:c>
      <x:c r="G91" s="21" t="n">
        <x:v>18</x:v>
      </x:c>
      <x:c r="H91" s="21" t="inlineStr">
        <x:is>
          <x:t xml:space="preserve"/>
        </x:is>
      </x:c>
      <x:c r="I91" s="21" t="inlineStr">
        <x:is>
          <x:t xml:space="preserve"/>
        </x:is>
      </x:c>
      <x:c r="J91" s="21" t="inlineStr">
        <x:is>
          <x:t xml:space="preserve"/>
        </x:is>
      </x:c>
      <x:c r="K91" s="21" t="inlineStr">
        <x:is>
          <x:t xml:space="preserve"/>
        </x:is>
      </x:c>
      <x:c r="L91" s="21" t="inlineStr">
        <x:is>
          <x:t xml:space="preserve"/>
        </x:is>
      </x:c>
      <x:c r="M91" s="21" t="inlineStr">
        <x:is>
          <x:t xml:space="preserve"/>
        </x:is>
      </x:c>
      <x:c r="N91" s="21" t="inlineStr">
        <x:is>
          <x:t xml:space="preserve"/>
        </x:is>
      </x:c>
      <x:c r="O91" s="21" t="inlineStr">
        <x:is>
          <x:t xml:space="preserve"/>
        </x:is>
      </x:c>
      <x:c r="P91" s="21" t="inlineStr">
        <x:is>
          <x:t xml:space="preserve"/>
        </x:is>
      </x:c>
      <x:c r="Q91" s="21" t="inlineStr">
        <x:is>
          <x:t xml:space="preserve"/>
        </x:is>
      </x:c>
      <x:c r="R91" s="21" t="inlineStr">
        <x:is>
          <x:t xml:space="preserve"/>
        </x:is>
      </x:c>
      <x:c r="S91" s="22">
        <x:f>IF(H91="","",IFERROR(H91/G91,""))</x:f>
      </x:c>
      <x:c r="T91" s="23">
        <x:f>IF(H91="","",IFERROR((J91+K91+L91+N91)/H91,""))</x:f>
      </x:c>
      <x:c r="U91" s="22">
        <x:f>IF(COUNTA(J91:L91,N91)=0,"",IFERROR(AVERAGE(J91:L91,N91),""))</x:f>
      </x:c>
      <x:c r="V91" s="16" t="inlineStr">
        <x:is>
          <x:t xml:space="preserve"/>
        </x:is>
      </x:c>
    </x:row>
    <x:row r="92">
      <x:c r="A92" s="17" t="inlineStr">
        <x:is>
          <x:t xml:space="preserve">P008</x:t>
        </x:is>
      </x:c>
      <x:c r="B92" s="17" t="n">
        <x:v>4</x:v>
      </x:c>
      <x:c r="C92" s="17" t="inlineStr">
        <x:is>
          <x:t xml:space="preserve">V07</x:t>
        </x:is>
      </x:c>
      <x:c r="D92" s="17" t="inlineStr">
        <x:is>
          <x:t xml:space="preserve">Business</x:t>
        </x:is>
      </x:c>
      <x:c r="E92" s="17" t="inlineStr">
        <x:is>
          <x:t xml:space="preserve">Keyword highlight</x:t>
        </x:is>
      </x:c>
      <x:c r="F92" s="17" t="inlineStr">
        <x:is>
          <x:t xml:space="preserve">Audio-on</x:t>
        </x:is>
      </x:c>
      <x:c r="G92" s="24" t="n">
        <x:v>18</x:v>
      </x:c>
      <x:c r="H92" s="24" t="inlineStr">
        <x:is>
          <x:t xml:space="preserve"/>
        </x:is>
      </x:c>
      <x:c r="I92" s="24" t="inlineStr">
        <x:is>
          <x:t xml:space="preserve"/>
        </x:is>
      </x:c>
      <x:c r="J92" s="24" t="inlineStr">
        <x:is>
          <x:t xml:space="preserve"/>
        </x:is>
      </x:c>
      <x:c r="K92" s="24" t="inlineStr">
        <x:is>
          <x:t xml:space="preserve"/>
        </x:is>
      </x:c>
      <x:c r="L92" s="24" t="inlineStr">
        <x:is>
          <x:t xml:space="preserve"/>
        </x:is>
      </x:c>
      <x:c r="M92" s="24" t="inlineStr">
        <x:is>
          <x:t xml:space="preserve"/>
        </x:is>
      </x:c>
      <x:c r="N92" s="24" t="inlineStr">
        <x:is>
          <x:t xml:space="preserve"/>
        </x:is>
      </x:c>
      <x:c r="O92" s="24" t="inlineStr">
        <x:is>
          <x:t xml:space="preserve"/>
        </x:is>
      </x:c>
      <x:c r="P92" s="24" t="inlineStr">
        <x:is>
          <x:t xml:space="preserve"/>
        </x:is>
      </x:c>
      <x:c r="Q92" s="24" t="inlineStr">
        <x:is>
          <x:t xml:space="preserve"/>
        </x:is>
      </x:c>
      <x:c r="R92" s="24" t="inlineStr">
        <x:is>
          <x:t xml:space="preserve"/>
        </x:is>
      </x:c>
      <x:c r="S92" s="25">
        <x:f>IF(H92="","",IFERROR(H92/G92,""))</x:f>
      </x:c>
      <x:c r="T92" s="26">
        <x:f>IF(H92="","",IFERROR((J92+K92+L92+N92)/H92,""))</x:f>
      </x:c>
      <x:c r="U92" s="25">
        <x:f>IF(COUNTA(J92:L92,N92)=0,"",IFERROR(AVERAGE(J92:L92,N92),""))</x:f>
      </x:c>
      <x:c r="V92" s="17" t="inlineStr">
        <x:is>
          <x:t xml:space="preserve"/>
        </x:is>
      </x:c>
    </x:row>
    <x:row r="93">
      <x:c r="A93" s="16" t="inlineStr">
        <x:is>
          <x:t xml:space="preserve">P008</x:t>
        </x:is>
      </x:c>
      <x:c r="B93" s="16" t="n">
        <x:v>5</x:v>
      </x:c>
      <x:c r="C93" s="16" t="inlineStr">
        <x:is>
          <x:t xml:space="preserve">V11</x:t>
        </x:is>
      </x:c>
      <x:c r="D93" s="16" t="inlineStr">
        <x:is>
          <x:t xml:space="preserve">Creator strategy</x:t>
        </x:is>
      </x:c>
      <x:c r="E93" s="16" t="inlineStr">
        <x:is>
          <x:t xml:space="preserve">Heavy bionic</x:t>
        </x:is>
      </x:c>
      <x:c r="F93" s="16" t="inlineStr">
        <x:is>
          <x:t xml:space="preserve">Audio-on</x:t>
        </x:is>
      </x:c>
      <x:c r="G93" s="21" t="n">
        <x:v>17</x:v>
      </x:c>
      <x:c r="H93" s="21" t="inlineStr">
        <x:is>
          <x:t xml:space="preserve"/>
        </x:is>
      </x:c>
      <x:c r="I93" s="21" t="inlineStr">
        <x:is>
          <x:t xml:space="preserve"/>
        </x:is>
      </x:c>
      <x:c r="J93" s="21" t="inlineStr">
        <x:is>
          <x:t xml:space="preserve"/>
        </x:is>
      </x:c>
      <x:c r="K93" s="21" t="inlineStr">
        <x:is>
          <x:t xml:space="preserve"/>
        </x:is>
      </x:c>
      <x:c r="L93" s="21" t="inlineStr">
        <x:is>
          <x:t xml:space="preserve"/>
        </x:is>
      </x:c>
      <x:c r="M93" s="21" t="inlineStr">
        <x:is>
          <x:t xml:space="preserve"/>
        </x:is>
      </x:c>
      <x:c r="N93" s="21" t="inlineStr">
        <x:is>
          <x:t xml:space="preserve"/>
        </x:is>
      </x:c>
      <x:c r="O93" s="21" t="inlineStr">
        <x:is>
          <x:t xml:space="preserve"/>
        </x:is>
      </x:c>
      <x:c r="P93" s="21" t="inlineStr">
        <x:is>
          <x:t xml:space="preserve"/>
        </x:is>
      </x:c>
      <x:c r="Q93" s="21" t="inlineStr">
        <x:is>
          <x:t xml:space="preserve"/>
        </x:is>
      </x:c>
      <x:c r="R93" s="21" t="inlineStr">
        <x:is>
          <x:t xml:space="preserve"/>
        </x:is>
      </x:c>
      <x:c r="S93" s="22">
        <x:f>IF(H93="","",IFERROR(H93/G93,""))</x:f>
      </x:c>
      <x:c r="T93" s="23">
        <x:f>IF(H93="","",IFERROR((J93+K93+L93+N93)/H93,""))</x:f>
      </x:c>
      <x:c r="U93" s="22">
        <x:f>IF(COUNTA(J93:L93,N93)=0,"",IFERROR(AVERAGE(J93:L93,N93),""))</x:f>
      </x:c>
      <x:c r="V93" s="16" t="inlineStr">
        <x:is>
          <x:t xml:space="preserve"/>
        </x:is>
      </x:c>
    </x:row>
    <x:row r="94">
      <x:c r="A94" s="17" t="inlineStr">
        <x:is>
          <x:t xml:space="preserve">P008</x:t>
        </x:is>
      </x:c>
      <x:c r="B94" s="17" t="n">
        <x:v>6</x:v>
      </x:c>
      <x:c r="C94" s="17" t="inlineStr">
        <x:is>
          <x:t xml:space="preserve">V10</x:t>
        </x:is>
      </x:c>
      <x:c r="D94" s="17" t="inlineStr">
        <x:is>
          <x:t xml:space="preserve">Product demo</x:t>
        </x:is>
      </x:c>
      <x:c r="E94" s="17" t="inlineStr">
        <x:is>
          <x:t xml:space="preserve">BCC+</x:t>
        </x:is>
      </x:c>
      <x:c r="F94" s="17" t="inlineStr">
        <x:is>
          <x:t xml:space="preserve">Audio-on</x:t>
        </x:is>
      </x:c>
      <x:c r="G94" s="24" t="n">
        <x:v>15</x:v>
      </x:c>
      <x:c r="H94" s="24" t="inlineStr">
        <x:is>
          <x:t xml:space="preserve"/>
        </x:is>
      </x:c>
      <x:c r="I94" s="24" t="inlineStr">
        <x:is>
          <x:t xml:space="preserve"/>
        </x:is>
      </x:c>
      <x:c r="J94" s="24" t="inlineStr">
        <x:is>
          <x:t xml:space="preserve"/>
        </x:is>
      </x:c>
      <x:c r="K94" s="24" t="inlineStr">
        <x:is>
          <x:t xml:space="preserve"/>
        </x:is>
      </x:c>
      <x:c r="L94" s="24" t="inlineStr">
        <x:is>
          <x:t xml:space="preserve"/>
        </x:is>
      </x:c>
      <x:c r="M94" s="24" t="inlineStr">
        <x:is>
          <x:t xml:space="preserve"/>
        </x:is>
      </x:c>
      <x:c r="N94" s="24" t="inlineStr">
        <x:is>
          <x:t xml:space="preserve"/>
        </x:is>
      </x:c>
      <x:c r="O94" s="24" t="inlineStr">
        <x:is>
          <x:t xml:space="preserve"/>
        </x:is>
      </x:c>
      <x:c r="P94" s="24" t="inlineStr">
        <x:is>
          <x:t xml:space="preserve"/>
        </x:is>
      </x:c>
      <x:c r="Q94" s="24" t="inlineStr">
        <x:is>
          <x:t xml:space="preserve"/>
        </x:is>
      </x:c>
      <x:c r="R94" s="24" t="inlineStr">
        <x:is>
          <x:t xml:space="preserve"/>
        </x:is>
      </x:c>
      <x:c r="S94" s="25">
        <x:f>IF(H94="","",IFERROR(H94/G94,""))</x:f>
      </x:c>
      <x:c r="T94" s="26">
        <x:f>IF(H94="","",IFERROR((J94+K94+L94+N94)/H94,""))</x:f>
      </x:c>
      <x:c r="U94" s="25">
        <x:f>IF(COUNTA(J94:L94,N94)=0,"",IFERROR(AVERAGE(J94:L94,N94),""))</x:f>
      </x:c>
      <x:c r="V94" s="17" t="inlineStr">
        <x:is>
          <x:t xml:space="preserve"/>
        </x:is>
      </x:c>
    </x:row>
    <x:row r="95">
      <x:c r="A95" s="16" t="inlineStr">
        <x:is>
          <x:t xml:space="preserve">P008</x:t>
        </x:is>
      </x:c>
      <x:c r="B95" s="16" t="n">
        <x:v>7</x:v>
      </x:c>
      <x:c r="C95" s="16" t="inlineStr">
        <x:is>
          <x:t xml:space="preserve">V01</x:t>
        </x:is>
      </x:c>
      <x:c r="D95" s="16" t="inlineStr">
        <x:is>
          <x:t xml:space="preserve">Productivity</x:t>
        </x:is>
      </x:c>
      <x:c r="E95" s="16" t="inlineStr">
        <x:is>
          <x:t xml:space="preserve">Keyword highlight</x:t>
        </x:is>
      </x:c>
      <x:c r="F95" s="16" t="inlineStr">
        <x:is>
          <x:t xml:space="preserve">Audio-on</x:t>
        </x:is>
      </x:c>
      <x:c r="G95" s="21" t="n">
        <x:v>25</x:v>
      </x:c>
      <x:c r="H95" s="21" t="inlineStr">
        <x:is>
          <x:t xml:space="preserve"/>
        </x:is>
      </x:c>
      <x:c r="I95" s="21" t="inlineStr">
        <x:is>
          <x:t xml:space="preserve"/>
        </x:is>
      </x:c>
      <x:c r="J95" s="21" t="inlineStr">
        <x:is>
          <x:t xml:space="preserve"/>
        </x:is>
      </x:c>
      <x:c r="K95" s="21" t="inlineStr">
        <x:is>
          <x:t xml:space="preserve"/>
        </x:is>
      </x:c>
      <x:c r="L95" s="21" t="inlineStr">
        <x:is>
          <x:t xml:space="preserve"/>
        </x:is>
      </x:c>
      <x:c r="M95" s="21" t="inlineStr">
        <x:is>
          <x:t xml:space="preserve"/>
        </x:is>
      </x:c>
      <x:c r="N95" s="21" t="inlineStr">
        <x:is>
          <x:t xml:space="preserve"/>
        </x:is>
      </x:c>
      <x:c r="O95" s="21" t="inlineStr">
        <x:is>
          <x:t xml:space="preserve"/>
        </x:is>
      </x:c>
      <x:c r="P95" s="21" t="inlineStr">
        <x:is>
          <x:t xml:space="preserve"/>
        </x:is>
      </x:c>
      <x:c r="Q95" s="21" t="inlineStr">
        <x:is>
          <x:t xml:space="preserve"/>
        </x:is>
      </x:c>
      <x:c r="R95" s="21" t="inlineStr">
        <x:is>
          <x:t xml:space="preserve"/>
        </x:is>
      </x:c>
      <x:c r="S95" s="22">
        <x:f>IF(H95="","",IFERROR(H95/G95,""))</x:f>
      </x:c>
      <x:c r="T95" s="23">
        <x:f>IF(H95="","",IFERROR((J95+K95+L95+N95)/H95,""))</x:f>
      </x:c>
      <x:c r="U95" s="22">
        <x:f>IF(COUNTA(J95:L95,N95)=0,"",IFERROR(AVERAGE(J95:L95,N95),""))</x:f>
      </x:c>
      <x:c r="V95" s="16" t="inlineStr">
        <x:is>
          <x:t xml:space="preserve"/>
        </x:is>
      </x:c>
    </x:row>
    <x:row r="96">
      <x:c r="A96" s="17" t="inlineStr">
        <x:is>
          <x:t xml:space="preserve">P008</x:t>
        </x:is>
      </x:c>
      <x:c r="B96" s="17" t="n">
        <x:v>8</x:v>
      </x:c>
      <x:c r="C96" s="17" t="inlineStr">
        <x:is>
          <x:t xml:space="preserve">V12</x:t>
        </x:is>
      </x:c>
      <x:c r="D96" s="17" t="inlineStr">
        <x:is>
          <x:t xml:space="preserve">Time management</x:t>
        </x:is>
      </x:c>
      <x:c r="E96" s="17" t="inlineStr">
        <x:is>
          <x:t xml:space="preserve">Full transcript</x:t>
        </x:is>
      </x:c>
      <x:c r="F96" s="17" t="inlineStr">
        <x:is>
          <x:t xml:space="preserve">Audio-on</x:t>
        </x:is>
      </x:c>
      <x:c r="G96" s="24" t="n">
        <x:v>21</x:v>
      </x:c>
      <x:c r="H96" s="24" t="inlineStr">
        <x:is>
          <x:t xml:space="preserve"/>
        </x:is>
      </x:c>
      <x:c r="I96" s="24" t="inlineStr">
        <x:is>
          <x:t xml:space="preserve"/>
        </x:is>
      </x:c>
      <x:c r="J96" s="24" t="inlineStr">
        <x:is>
          <x:t xml:space="preserve"/>
        </x:is>
      </x:c>
      <x:c r="K96" s="24" t="inlineStr">
        <x:is>
          <x:t xml:space="preserve"/>
        </x:is>
      </x:c>
      <x:c r="L96" s="24" t="inlineStr">
        <x:is>
          <x:t xml:space="preserve"/>
        </x:is>
      </x:c>
      <x:c r="M96" s="24" t="inlineStr">
        <x:is>
          <x:t xml:space="preserve"/>
        </x:is>
      </x:c>
      <x:c r="N96" s="24" t="inlineStr">
        <x:is>
          <x:t xml:space="preserve"/>
        </x:is>
      </x:c>
      <x:c r="O96" s="24" t="inlineStr">
        <x:is>
          <x:t xml:space="preserve"/>
        </x:is>
      </x:c>
      <x:c r="P96" s="24" t="inlineStr">
        <x:is>
          <x:t xml:space="preserve"/>
        </x:is>
      </x:c>
      <x:c r="Q96" s="24" t="inlineStr">
        <x:is>
          <x:t xml:space="preserve"/>
        </x:is>
      </x:c>
      <x:c r="R96" s="24" t="inlineStr">
        <x:is>
          <x:t xml:space="preserve"/>
        </x:is>
      </x:c>
      <x:c r="S96" s="25">
        <x:f>IF(H96="","",IFERROR(H96/G96,""))</x:f>
      </x:c>
      <x:c r="T96" s="26">
        <x:f>IF(H96="","",IFERROR((J96+K96+L96+N96)/H96,""))</x:f>
      </x:c>
      <x:c r="U96" s="25">
        <x:f>IF(COUNTA(J96:L96,N96)=0,"",IFERROR(AVERAGE(J96:L96,N96),""))</x:f>
      </x:c>
      <x:c r="V96" s="17" t="inlineStr">
        <x:is>
          <x:t xml:space="preserve"/>
        </x:is>
      </x:c>
    </x:row>
    <x:row r="97">
      <x:c r="A97" s="16" t="inlineStr">
        <x:is>
          <x:t xml:space="preserve">P008</x:t>
        </x:is>
      </x:c>
      <x:c r="B97" s="16" t="n">
        <x:v>9</x:v>
      </x:c>
      <x:c r="C97" s="16" t="inlineStr">
        <x:is>
          <x:t xml:space="preserve">V02</x:t>
        </x:is>
      </x:c>
      <x:c r="D97" s="16" t="inlineStr">
        <x:is>
          <x:t xml:space="preserve">Study</x:t>
        </x:is>
      </x:c>
      <x:c r="E97" s="16" t="inlineStr">
        <x:is>
          <x:t xml:space="preserve">Semantic compression</x:t>
        </x:is>
      </x:c>
      <x:c r="F97" s="16" t="inlineStr">
        <x:is>
          <x:t xml:space="preserve">Audio-on</x:t>
        </x:is>
      </x:c>
      <x:c r="G97" s="21" t="n">
        <x:v>18</x:v>
      </x:c>
      <x:c r="H97" s="21" t="inlineStr">
        <x:is>
          <x:t xml:space="preserve"/>
        </x:is>
      </x:c>
      <x:c r="I97" s="21" t="inlineStr">
        <x:is>
          <x:t xml:space="preserve"/>
        </x:is>
      </x:c>
      <x:c r="J97" s="21" t="inlineStr">
        <x:is>
          <x:t xml:space="preserve"/>
        </x:is>
      </x:c>
      <x:c r="K97" s="21" t="inlineStr">
        <x:is>
          <x:t xml:space="preserve"/>
        </x:is>
      </x:c>
      <x:c r="L97" s="21" t="inlineStr">
        <x:is>
          <x:t xml:space="preserve"/>
        </x:is>
      </x:c>
      <x:c r="M97" s="21" t="inlineStr">
        <x:is>
          <x:t xml:space="preserve"/>
        </x:is>
      </x:c>
      <x:c r="N97" s="21" t="inlineStr">
        <x:is>
          <x:t xml:space="preserve"/>
        </x:is>
      </x:c>
      <x:c r="O97" s="21" t="inlineStr">
        <x:is>
          <x:t xml:space="preserve"/>
        </x:is>
      </x:c>
      <x:c r="P97" s="21" t="inlineStr">
        <x:is>
          <x:t xml:space="preserve"/>
        </x:is>
      </x:c>
      <x:c r="Q97" s="21" t="inlineStr">
        <x:is>
          <x:t xml:space="preserve"/>
        </x:is>
      </x:c>
      <x:c r="R97" s="21" t="inlineStr">
        <x:is>
          <x:t xml:space="preserve"/>
        </x:is>
      </x:c>
      <x:c r="S97" s="22">
        <x:f>IF(H97="","",IFERROR(H97/G97,""))</x:f>
      </x:c>
      <x:c r="T97" s="23">
        <x:f>IF(H97="","",IFERROR((J97+K97+L97+N97)/H97,""))</x:f>
      </x:c>
      <x:c r="U97" s="22">
        <x:f>IF(COUNTA(J97:L97,N97)=0,"",IFERROR(AVERAGE(J97:L97,N97),""))</x:f>
      </x:c>
      <x:c r="V97" s="16" t="inlineStr">
        <x:is>
          <x:t xml:space="preserve"/>
        </x:is>
      </x:c>
    </x:row>
    <x:row r="98">
      <x:c r="A98" s="17" t="inlineStr">
        <x:is>
          <x:t xml:space="preserve">P008</x:t>
        </x:is>
      </x:c>
      <x:c r="B98" s="17" t="n">
        <x:v>10</x:v>
      </x:c>
      <x:c r="C98" s="17" t="inlineStr">
        <x:is>
          <x:t xml:space="preserve">V06</x:t>
        </x:is>
      </x:c>
      <x:c r="D98" s="17" t="inlineStr">
        <x:is>
          <x:t xml:space="preserve">Overload</x:t>
        </x:is>
      </x:c>
      <x:c r="E98" s="17" t="inlineStr">
        <x:is>
          <x:t xml:space="preserve">Full transcript</x:t>
        </x:is>
      </x:c>
      <x:c r="F98" s="17" t="inlineStr">
        <x:is>
          <x:t xml:space="preserve">Audio-on</x:t>
        </x:is>
      </x:c>
      <x:c r="G98" s="24" t="n">
        <x:v>16</x:v>
      </x:c>
      <x:c r="H98" s="24" t="inlineStr">
        <x:is>
          <x:t xml:space="preserve"/>
        </x:is>
      </x:c>
      <x:c r="I98" s="24" t="inlineStr">
        <x:is>
          <x:t xml:space="preserve"/>
        </x:is>
      </x:c>
      <x:c r="J98" s="24" t="inlineStr">
        <x:is>
          <x:t xml:space="preserve"/>
        </x:is>
      </x:c>
      <x:c r="K98" s="24" t="inlineStr">
        <x:is>
          <x:t xml:space="preserve"/>
        </x:is>
      </x:c>
      <x:c r="L98" s="24" t="inlineStr">
        <x:is>
          <x:t xml:space="preserve"/>
        </x:is>
      </x:c>
      <x:c r="M98" s="24" t="inlineStr">
        <x:is>
          <x:t xml:space="preserve"/>
        </x:is>
      </x:c>
      <x:c r="N98" s="24" t="inlineStr">
        <x:is>
          <x:t xml:space="preserve"/>
        </x:is>
      </x:c>
      <x:c r="O98" s="24" t="inlineStr">
        <x:is>
          <x:t xml:space="preserve"/>
        </x:is>
      </x:c>
      <x:c r="P98" s="24" t="inlineStr">
        <x:is>
          <x:t xml:space="preserve"/>
        </x:is>
      </x:c>
      <x:c r="Q98" s="24" t="inlineStr">
        <x:is>
          <x:t xml:space="preserve"/>
        </x:is>
      </x:c>
      <x:c r="R98" s="24" t="inlineStr">
        <x:is>
          <x:t xml:space="preserve"/>
        </x:is>
      </x:c>
      <x:c r="S98" s="25">
        <x:f>IF(H98="","",IFERROR(H98/G98,""))</x:f>
      </x:c>
      <x:c r="T98" s="26">
        <x:f>IF(H98="","",IFERROR((J98+K98+L98+N98)/H98,""))</x:f>
      </x:c>
      <x:c r="U98" s="25">
        <x:f>IF(COUNTA(J98:L98,N98)=0,"",IFERROR(AVERAGE(J98:L98,N98),""))</x:f>
      </x:c>
      <x:c r="V98" s="17" t="inlineStr">
        <x:is>
          <x:t xml:space="preserve"/>
        </x:is>
      </x:c>
    </x:row>
    <x:row r="99">
      <x:c r="A99" s="16" t="inlineStr">
        <x:is>
          <x:t xml:space="preserve">P008</x:t>
        </x:is>
      </x:c>
      <x:c r="B99" s="16" t="n">
        <x:v>11</x:v>
      </x:c>
      <x:c r="C99" s="16" t="inlineStr">
        <x:is>
          <x:t xml:space="preserve">V08</x:t>
        </x:is>
      </x:c>
      <x:c r="D99" s="16" t="inlineStr">
        <x:is>
          <x:t xml:space="preserve">Coding</x:t>
        </x:is>
      </x:c>
      <x:c r="E99" s="16" t="inlineStr">
        <x:is>
          <x:t xml:space="preserve">Semantic compression</x:t>
        </x:is>
      </x:c>
      <x:c r="F99" s="16" t="inlineStr">
        <x:is>
          <x:t xml:space="preserve">Audio-on</x:t>
        </x:is>
      </x:c>
      <x:c r="G99" s="21" t="n">
        <x:v>24</x:v>
      </x:c>
      <x:c r="H99" s="21" t="inlineStr">
        <x:is>
          <x:t xml:space="preserve"/>
        </x:is>
      </x:c>
      <x:c r="I99" s="21" t="inlineStr">
        <x:is>
          <x:t xml:space="preserve"/>
        </x:is>
      </x:c>
      <x:c r="J99" s="21" t="inlineStr">
        <x:is>
          <x:t xml:space="preserve"/>
        </x:is>
      </x:c>
      <x:c r="K99" s="21" t="inlineStr">
        <x:is>
          <x:t xml:space="preserve"/>
        </x:is>
      </x:c>
      <x:c r="L99" s="21" t="inlineStr">
        <x:is>
          <x:t xml:space="preserve"/>
        </x:is>
      </x:c>
      <x:c r="M99" s="21" t="inlineStr">
        <x:is>
          <x:t xml:space="preserve"/>
        </x:is>
      </x:c>
      <x:c r="N99" s="21" t="inlineStr">
        <x:is>
          <x:t xml:space="preserve"/>
        </x:is>
      </x:c>
      <x:c r="O99" s="21" t="inlineStr">
        <x:is>
          <x:t xml:space="preserve"/>
        </x:is>
      </x:c>
      <x:c r="P99" s="21" t="inlineStr">
        <x:is>
          <x:t xml:space="preserve"/>
        </x:is>
      </x:c>
      <x:c r="Q99" s="21" t="inlineStr">
        <x:is>
          <x:t xml:space="preserve"/>
        </x:is>
      </x:c>
      <x:c r="R99" s="21" t="inlineStr">
        <x:is>
          <x:t xml:space="preserve"/>
        </x:is>
      </x:c>
      <x:c r="S99" s="22">
        <x:f>IF(H99="","",IFERROR(H99/G99,""))</x:f>
      </x:c>
      <x:c r="T99" s="23">
        <x:f>IF(H99="","",IFERROR((J99+K99+L99+N99)/H99,""))</x:f>
      </x:c>
      <x:c r="U99" s="22">
        <x:f>IF(COUNTA(J99:L99,N99)=0,"",IFERROR(AVERAGE(J99:L99,N99),""))</x:f>
      </x:c>
      <x:c r="V99" s="16" t="inlineStr">
        <x:is>
          <x:t xml:space="preserve"/>
        </x:is>
      </x:c>
    </x:row>
    <x:row r="100">
      <x:c r="A100" s="17" t="inlineStr">
        <x:is>
          <x:t xml:space="preserve">P008</x:t>
        </x:is>
      </x:c>
      <x:c r="B100" s="17" t="n">
        <x:v>12</x:v>
      </x:c>
      <x:c r="C100" s="17" t="inlineStr">
        <x:is>
          <x:t xml:space="preserve">V09</x:t>
        </x:is>
      </x:c>
      <x:c r="D100" s="17" t="inlineStr">
        <x:is>
          <x:t xml:space="preserve">Sleep habit</x:t>
        </x:is>
      </x:c>
      <x:c r="E100" s="17" t="inlineStr">
        <x:is>
          <x:t xml:space="preserve">BCC</x:t>
        </x:is>
      </x:c>
      <x:c r="F100" s="17" t="inlineStr">
        <x:is>
          <x:t xml:space="preserve">Audio-on</x:t>
        </x:is>
      </x:c>
      <x:c r="G100" s="24" t="n">
        <x:v>19</x:v>
      </x:c>
      <x:c r="H100" s="24" t="inlineStr">
        <x:is>
          <x:t xml:space="preserve"/>
        </x:is>
      </x:c>
      <x:c r="I100" s="24" t="inlineStr">
        <x:is>
          <x:t xml:space="preserve"/>
        </x:is>
      </x:c>
      <x:c r="J100" s="24" t="inlineStr">
        <x:is>
          <x:t xml:space="preserve"/>
        </x:is>
      </x:c>
      <x:c r="K100" s="24" t="inlineStr">
        <x:is>
          <x:t xml:space="preserve"/>
        </x:is>
      </x:c>
      <x:c r="L100" s="24" t="inlineStr">
        <x:is>
          <x:t xml:space="preserve"/>
        </x:is>
      </x:c>
      <x:c r="M100" s="24" t="inlineStr">
        <x:is>
          <x:t xml:space="preserve"/>
        </x:is>
      </x:c>
      <x:c r="N100" s="24" t="inlineStr">
        <x:is>
          <x:t xml:space="preserve"/>
        </x:is>
      </x:c>
      <x:c r="O100" s="24" t="inlineStr">
        <x:is>
          <x:t xml:space="preserve"/>
        </x:is>
      </x:c>
      <x:c r="P100" s="24" t="inlineStr">
        <x:is>
          <x:t xml:space="preserve"/>
        </x:is>
      </x:c>
      <x:c r="Q100" s="24" t="inlineStr">
        <x:is>
          <x:t xml:space="preserve"/>
        </x:is>
      </x:c>
      <x:c r="R100" s="24" t="inlineStr">
        <x:is>
          <x:t xml:space="preserve"/>
        </x:is>
      </x:c>
      <x:c r="S100" s="25">
        <x:f>IF(H100="","",IFERROR(H100/G100,""))</x:f>
      </x:c>
      <x:c r="T100" s="26">
        <x:f>IF(H100="","",IFERROR((J100+K100+L100+N100)/H100,""))</x:f>
      </x:c>
      <x:c r="U100" s="25">
        <x:f>IF(COUNTA(J100:L100,N100)=0,"",IFERROR(AVERAGE(J100:L100,N100),""))</x:f>
      </x:c>
      <x:c r="V100" s="17" t="inlineStr">
        <x:is>
          <x:t xml:space="preserve"/>
        </x:is>
      </x:c>
    </x:row>
    <x:row r="101">
      <x:c r="A101" s="16" t="inlineStr">
        <x:is>
          <x:t xml:space="preserve">P009</x:t>
        </x:is>
      </x:c>
      <x:c r="B101" s="16" t="n">
        <x:v>1</x:v>
      </x:c>
      <x:c r="C101" s="16" t="inlineStr">
        <x:is>
          <x:t xml:space="preserve">V12</x:t>
        </x:is>
      </x:c>
      <x:c r="D101" s="16" t="inlineStr">
        <x:is>
          <x:t xml:space="preserve">Time management</x:t>
        </x:is>
      </x:c>
      <x:c r="E101" s="16" t="inlineStr">
        <x:is>
          <x:t xml:space="preserve">Keyword highlight</x:t>
        </x:is>
      </x:c>
      <x:c r="F101" s="16" t="inlineStr">
        <x:is>
          <x:t xml:space="preserve">Audio-on</x:t>
        </x:is>
      </x:c>
      <x:c r="G101" s="21" t="n">
        <x:v>21</x:v>
      </x:c>
      <x:c r="H101" s="21" t="inlineStr">
        <x:is>
          <x:t xml:space="preserve"/>
        </x:is>
      </x:c>
      <x:c r="I101" s="21" t="inlineStr">
        <x:is>
          <x:t xml:space="preserve"/>
        </x:is>
      </x:c>
      <x:c r="J101" s="21" t="inlineStr">
        <x:is>
          <x:t xml:space="preserve"/>
        </x:is>
      </x:c>
      <x:c r="K101" s="21" t="inlineStr">
        <x:is>
          <x:t xml:space="preserve"/>
        </x:is>
      </x:c>
      <x:c r="L101" s="21" t="inlineStr">
        <x:is>
          <x:t xml:space="preserve"/>
        </x:is>
      </x:c>
      <x:c r="M101" s="21" t="inlineStr">
        <x:is>
          <x:t xml:space="preserve"/>
        </x:is>
      </x:c>
      <x:c r="N101" s="21" t="inlineStr">
        <x:is>
          <x:t xml:space="preserve"/>
        </x:is>
      </x:c>
      <x:c r="O101" s="21" t="inlineStr">
        <x:is>
          <x:t xml:space="preserve"/>
        </x:is>
      </x:c>
      <x:c r="P101" s="21" t="inlineStr">
        <x:is>
          <x:t xml:space="preserve"/>
        </x:is>
      </x:c>
      <x:c r="Q101" s="21" t="inlineStr">
        <x:is>
          <x:t xml:space="preserve"/>
        </x:is>
      </x:c>
      <x:c r="R101" s="21" t="inlineStr">
        <x:is>
          <x:t xml:space="preserve"/>
        </x:is>
      </x:c>
      <x:c r="S101" s="22">
        <x:f>IF(H101="","",IFERROR(H101/G101,""))</x:f>
      </x:c>
      <x:c r="T101" s="23">
        <x:f>IF(H101="","",IFERROR((J101+K101+L101+N101)/H101,""))</x:f>
      </x:c>
      <x:c r="U101" s="22">
        <x:f>IF(COUNTA(J101:L101,N101)=0,"",IFERROR(AVERAGE(J101:L101,N101),""))</x:f>
      </x:c>
      <x:c r="V101" s="16" t="inlineStr">
        <x:is>
          <x:t xml:space="preserve"/>
        </x:is>
      </x:c>
    </x:row>
    <x:row r="102">
      <x:c r="A102" s="17" t="inlineStr">
        <x:is>
          <x:t xml:space="preserve">P009</x:t>
        </x:is>
      </x:c>
      <x:c r="B102" s="17" t="n">
        <x:v>2</x:v>
      </x:c>
      <x:c r="C102" s="17" t="inlineStr">
        <x:is>
          <x:t xml:space="preserve">V04</x:t>
        </x:is>
      </x:c>
      <x:c r="D102" s="17" t="inlineStr">
        <x:is>
          <x:t xml:space="preserve">Finance</x:t>
        </x:is>
      </x:c>
      <x:c r="E102" s="17" t="inlineStr">
        <x:is>
          <x:t xml:space="preserve">Heavy bionic</x:t>
        </x:is>
      </x:c>
      <x:c r="F102" s="17" t="inlineStr">
        <x:is>
          <x:t xml:space="preserve">Audio-on</x:t>
        </x:is>
      </x:c>
      <x:c r="G102" s="24" t="n">
        <x:v>20</x:v>
      </x:c>
      <x:c r="H102" s="24" t="inlineStr">
        <x:is>
          <x:t xml:space="preserve"/>
        </x:is>
      </x:c>
      <x:c r="I102" s="24" t="inlineStr">
        <x:is>
          <x:t xml:space="preserve"/>
        </x:is>
      </x:c>
      <x:c r="J102" s="24" t="inlineStr">
        <x:is>
          <x:t xml:space="preserve"/>
        </x:is>
      </x:c>
      <x:c r="K102" s="24" t="inlineStr">
        <x:is>
          <x:t xml:space="preserve"/>
        </x:is>
      </x:c>
      <x:c r="L102" s="24" t="inlineStr">
        <x:is>
          <x:t xml:space="preserve"/>
        </x:is>
      </x:c>
      <x:c r="M102" s="24" t="inlineStr">
        <x:is>
          <x:t xml:space="preserve"/>
        </x:is>
      </x:c>
      <x:c r="N102" s="24" t="inlineStr">
        <x:is>
          <x:t xml:space="preserve"/>
        </x:is>
      </x:c>
      <x:c r="O102" s="24" t="inlineStr">
        <x:is>
          <x:t xml:space="preserve"/>
        </x:is>
      </x:c>
      <x:c r="P102" s="24" t="inlineStr">
        <x:is>
          <x:t xml:space="preserve"/>
        </x:is>
      </x:c>
      <x:c r="Q102" s="24" t="inlineStr">
        <x:is>
          <x:t xml:space="preserve"/>
        </x:is>
      </x:c>
      <x:c r="R102" s="24" t="inlineStr">
        <x:is>
          <x:t xml:space="preserve"/>
        </x:is>
      </x:c>
      <x:c r="S102" s="25">
        <x:f>IF(H102="","",IFERROR(H102/G102,""))</x:f>
      </x:c>
      <x:c r="T102" s="26">
        <x:f>IF(H102="","",IFERROR((J102+K102+L102+N102)/H102,""))</x:f>
      </x:c>
      <x:c r="U102" s="25">
        <x:f>IF(COUNTA(J102:L102,N102)=0,"",IFERROR(AVERAGE(J102:L102,N102),""))</x:f>
      </x:c>
      <x:c r="V102" s="17" t="inlineStr">
        <x:is>
          <x:t xml:space="preserve"/>
        </x:is>
      </x:c>
    </x:row>
    <x:row r="103">
      <x:c r="A103" s="16" t="inlineStr">
        <x:is>
          <x:t xml:space="preserve">P009</x:t>
        </x:is>
      </x:c>
      <x:c r="B103" s="16" t="n">
        <x:v>3</x:v>
      </x:c>
      <x:c r="C103" s="16" t="inlineStr">
        <x:is>
          <x:t xml:space="preserve">V11</x:t>
        </x:is>
      </x:c>
      <x:c r="D103" s="16" t="inlineStr">
        <x:is>
          <x:t xml:space="preserve">Creator strategy</x:t>
        </x:is>
      </x:c>
      <x:c r="E103" s="16" t="inlineStr">
        <x:is>
          <x:t xml:space="preserve">Full transcript</x:t>
        </x:is>
      </x:c>
      <x:c r="F103" s="16" t="inlineStr">
        <x:is>
          <x:t xml:space="preserve">Audio-on</x:t>
        </x:is>
      </x:c>
      <x:c r="G103" s="21" t="n">
        <x:v>17</x:v>
      </x:c>
      <x:c r="H103" s="21" t="inlineStr">
        <x:is>
          <x:t xml:space="preserve"/>
        </x:is>
      </x:c>
      <x:c r="I103" s="21" t="inlineStr">
        <x:is>
          <x:t xml:space="preserve"/>
        </x:is>
      </x:c>
      <x:c r="J103" s="21" t="inlineStr">
        <x:is>
          <x:t xml:space="preserve"/>
        </x:is>
      </x:c>
      <x:c r="K103" s="21" t="inlineStr">
        <x:is>
          <x:t xml:space="preserve"/>
        </x:is>
      </x:c>
      <x:c r="L103" s="21" t="inlineStr">
        <x:is>
          <x:t xml:space="preserve"/>
        </x:is>
      </x:c>
      <x:c r="M103" s="21" t="inlineStr">
        <x:is>
          <x:t xml:space="preserve"/>
        </x:is>
      </x:c>
      <x:c r="N103" s="21" t="inlineStr">
        <x:is>
          <x:t xml:space="preserve"/>
        </x:is>
      </x:c>
      <x:c r="O103" s="21" t="inlineStr">
        <x:is>
          <x:t xml:space="preserve"/>
        </x:is>
      </x:c>
      <x:c r="P103" s="21" t="inlineStr">
        <x:is>
          <x:t xml:space="preserve"/>
        </x:is>
      </x:c>
      <x:c r="Q103" s="21" t="inlineStr">
        <x:is>
          <x:t xml:space="preserve"/>
        </x:is>
      </x:c>
      <x:c r="R103" s="21" t="inlineStr">
        <x:is>
          <x:t xml:space="preserve"/>
        </x:is>
      </x:c>
      <x:c r="S103" s="22">
        <x:f>IF(H103="","",IFERROR(H103/G103,""))</x:f>
      </x:c>
      <x:c r="T103" s="23">
        <x:f>IF(H103="","",IFERROR((J103+K103+L103+N103)/H103,""))</x:f>
      </x:c>
      <x:c r="U103" s="22">
        <x:f>IF(COUNTA(J103:L103,N103)=0,"",IFERROR(AVERAGE(J103:L103,N103),""))</x:f>
      </x:c>
      <x:c r="V103" s="16" t="inlineStr">
        <x:is>
          <x:t xml:space="preserve"/>
        </x:is>
      </x:c>
    </x:row>
    <x:row r="104">
      <x:c r="A104" s="17" t="inlineStr">
        <x:is>
          <x:t xml:space="preserve">P009</x:t>
        </x:is>
      </x:c>
      <x:c r="B104" s="17" t="n">
        <x:v>4</x:v>
      </x:c>
      <x:c r="C104" s="17" t="inlineStr">
        <x:is>
          <x:t xml:space="preserve">V06</x:t>
        </x:is>
      </x:c>
      <x:c r="D104" s="17" t="inlineStr">
        <x:is>
          <x:t xml:space="preserve">Overload</x:t>
        </x:is>
      </x:c>
      <x:c r="E104" s="17" t="inlineStr">
        <x:is>
          <x:t xml:space="preserve">Keyword highlight</x:t>
        </x:is>
      </x:c>
      <x:c r="F104" s="17" t="inlineStr">
        <x:is>
          <x:t xml:space="preserve">Audio-on</x:t>
        </x:is>
      </x:c>
      <x:c r="G104" s="24" t="n">
        <x:v>16</x:v>
      </x:c>
      <x:c r="H104" s="24" t="inlineStr">
        <x:is>
          <x:t xml:space="preserve"/>
        </x:is>
      </x:c>
      <x:c r="I104" s="24" t="inlineStr">
        <x:is>
          <x:t xml:space="preserve"/>
        </x:is>
      </x:c>
      <x:c r="J104" s="24" t="inlineStr">
        <x:is>
          <x:t xml:space="preserve"/>
        </x:is>
      </x:c>
      <x:c r="K104" s="24" t="inlineStr">
        <x:is>
          <x:t xml:space="preserve"/>
        </x:is>
      </x:c>
      <x:c r="L104" s="24" t="inlineStr">
        <x:is>
          <x:t xml:space="preserve"/>
        </x:is>
      </x:c>
      <x:c r="M104" s="24" t="inlineStr">
        <x:is>
          <x:t xml:space="preserve"/>
        </x:is>
      </x:c>
      <x:c r="N104" s="24" t="inlineStr">
        <x:is>
          <x:t xml:space="preserve"/>
        </x:is>
      </x:c>
      <x:c r="O104" s="24" t="inlineStr">
        <x:is>
          <x:t xml:space="preserve"/>
        </x:is>
      </x:c>
      <x:c r="P104" s="24" t="inlineStr">
        <x:is>
          <x:t xml:space="preserve"/>
        </x:is>
      </x:c>
      <x:c r="Q104" s="24" t="inlineStr">
        <x:is>
          <x:t xml:space="preserve"/>
        </x:is>
      </x:c>
      <x:c r="R104" s="24" t="inlineStr">
        <x:is>
          <x:t xml:space="preserve"/>
        </x:is>
      </x:c>
      <x:c r="S104" s="25">
        <x:f>IF(H104="","",IFERROR(H104/G104,""))</x:f>
      </x:c>
      <x:c r="T104" s="26">
        <x:f>IF(H104="","",IFERROR((J104+K104+L104+N104)/H104,""))</x:f>
      </x:c>
      <x:c r="U104" s="25">
        <x:f>IF(COUNTA(J104:L104,N104)=0,"",IFERROR(AVERAGE(J104:L104,N104),""))</x:f>
      </x:c>
      <x:c r="V104" s="17" t="inlineStr">
        <x:is>
          <x:t xml:space="preserve"/>
        </x:is>
      </x:c>
    </x:row>
    <x:row r="105">
      <x:c r="A105" s="16" t="inlineStr">
        <x:is>
          <x:t xml:space="preserve">P009</x:t>
        </x:is>
      </x:c>
      <x:c r="B105" s="16" t="n">
        <x:v>5</x:v>
      </x:c>
      <x:c r="C105" s="16" t="inlineStr">
        <x:is>
          <x:t xml:space="preserve">V05</x:t>
        </x:is>
      </x:c>
      <x:c r="D105" s="16" t="inlineStr">
        <x:is>
          <x:t xml:space="preserve">Tutorial</x:t>
        </x:is>
      </x:c>
      <x:c r="E105" s="16" t="inlineStr">
        <x:is>
          <x:t xml:space="preserve">Full transcript</x:t>
        </x:is>
      </x:c>
      <x:c r="F105" s="16" t="inlineStr">
        <x:is>
          <x:t xml:space="preserve">Audio-on</x:t>
        </x:is>
      </x:c>
      <x:c r="G105" s="21" t="n">
        <x:v>20</x:v>
      </x:c>
      <x:c r="H105" s="21" t="inlineStr">
        <x:is>
          <x:t xml:space="preserve"/>
        </x:is>
      </x:c>
      <x:c r="I105" s="21" t="inlineStr">
        <x:is>
          <x:t xml:space="preserve"/>
        </x:is>
      </x:c>
      <x:c r="J105" s="21" t="inlineStr">
        <x:is>
          <x:t xml:space="preserve"/>
        </x:is>
      </x:c>
      <x:c r="K105" s="21" t="inlineStr">
        <x:is>
          <x:t xml:space="preserve"/>
        </x:is>
      </x:c>
      <x:c r="L105" s="21" t="inlineStr">
        <x:is>
          <x:t xml:space="preserve"/>
        </x:is>
      </x:c>
      <x:c r="M105" s="21" t="inlineStr">
        <x:is>
          <x:t xml:space="preserve"/>
        </x:is>
      </x:c>
      <x:c r="N105" s="21" t="inlineStr">
        <x:is>
          <x:t xml:space="preserve"/>
        </x:is>
      </x:c>
      <x:c r="O105" s="21" t="inlineStr">
        <x:is>
          <x:t xml:space="preserve"/>
        </x:is>
      </x:c>
      <x:c r="P105" s="21" t="inlineStr">
        <x:is>
          <x:t xml:space="preserve"/>
        </x:is>
      </x:c>
      <x:c r="Q105" s="21" t="inlineStr">
        <x:is>
          <x:t xml:space="preserve"/>
        </x:is>
      </x:c>
      <x:c r="R105" s="21" t="inlineStr">
        <x:is>
          <x:t xml:space="preserve"/>
        </x:is>
      </x:c>
      <x:c r="S105" s="22">
        <x:f>IF(H105="","",IFERROR(H105/G105,""))</x:f>
      </x:c>
      <x:c r="T105" s="23">
        <x:f>IF(H105="","",IFERROR((J105+K105+L105+N105)/H105,""))</x:f>
      </x:c>
      <x:c r="U105" s="22">
        <x:f>IF(COUNTA(J105:L105,N105)=0,"",IFERROR(AVERAGE(J105:L105,N105),""))</x:f>
      </x:c>
      <x:c r="V105" s="16" t="inlineStr">
        <x:is>
          <x:t xml:space="preserve"/>
        </x:is>
      </x:c>
    </x:row>
    <x:row r="106">
      <x:c r="A106" s="17" t="inlineStr">
        <x:is>
          <x:t xml:space="preserve">P009</x:t>
        </x:is>
      </x:c>
      <x:c r="B106" s="17" t="n">
        <x:v>6</x:v>
      </x:c>
      <x:c r="C106" s="17" t="inlineStr">
        <x:is>
          <x:t xml:space="preserve">V09</x:t>
        </x:is>
      </x:c>
      <x:c r="D106" s="17" t="inlineStr">
        <x:is>
          <x:t xml:space="preserve">Sleep habit</x:t>
        </x:is>
      </x:c>
      <x:c r="E106" s="17" t="inlineStr">
        <x:is>
          <x:t xml:space="preserve">BCC+</x:t>
        </x:is>
      </x:c>
      <x:c r="F106" s="17" t="inlineStr">
        <x:is>
          <x:t xml:space="preserve">Audio-on</x:t>
        </x:is>
      </x:c>
      <x:c r="G106" s="24" t="n">
        <x:v>19</x:v>
      </x:c>
      <x:c r="H106" s="24" t="inlineStr">
        <x:is>
          <x:t xml:space="preserve"/>
        </x:is>
      </x:c>
      <x:c r="I106" s="24" t="inlineStr">
        <x:is>
          <x:t xml:space="preserve"/>
        </x:is>
      </x:c>
      <x:c r="J106" s="24" t="inlineStr">
        <x:is>
          <x:t xml:space="preserve"/>
        </x:is>
      </x:c>
      <x:c r="K106" s="24" t="inlineStr">
        <x:is>
          <x:t xml:space="preserve"/>
        </x:is>
      </x:c>
      <x:c r="L106" s="24" t="inlineStr">
        <x:is>
          <x:t xml:space="preserve"/>
        </x:is>
      </x:c>
      <x:c r="M106" s="24" t="inlineStr">
        <x:is>
          <x:t xml:space="preserve"/>
        </x:is>
      </x:c>
      <x:c r="N106" s="24" t="inlineStr">
        <x:is>
          <x:t xml:space="preserve"/>
        </x:is>
      </x:c>
      <x:c r="O106" s="24" t="inlineStr">
        <x:is>
          <x:t xml:space="preserve"/>
        </x:is>
      </x:c>
      <x:c r="P106" s="24" t="inlineStr">
        <x:is>
          <x:t xml:space="preserve"/>
        </x:is>
      </x:c>
      <x:c r="Q106" s="24" t="inlineStr">
        <x:is>
          <x:t xml:space="preserve"/>
        </x:is>
      </x:c>
      <x:c r="R106" s="24" t="inlineStr">
        <x:is>
          <x:t xml:space="preserve"/>
        </x:is>
      </x:c>
      <x:c r="S106" s="25">
        <x:f>IF(H106="","",IFERROR(H106/G106,""))</x:f>
      </x:c>
      <x:c r="T106" s="26">
        <x:f>IF(H106="","",IFERROR((J106+K106+L106+N106)/H106,""))</x:f>
      </x:c>
      <x:c r="U106" s="25">
        <x:f>IF(COUNTA(J106:L106,N106)=0,"",IFERROR(AVERAGE(J106:L106,N106),""))</x:f>
      </x:c>
      <x:c r="V106" s="17" t="inlineStr">
        <x:is>
          <x:t xml:space="preserve"/>
        </x:is>
      </x:c>
    </x:row>
    <x:row r="107">
      <x:c r="A107" s="16" t="inlineStr">
        <x:is>
          <x:t xml:space="preserve">P009</x:t>
        </x:is>
      </x:c>
      <x:c r="B107" s="16" t="n">
        <x:v>7</x:v>
      </x:c>
      <x:c r="C107" s="16" t="inlineStr">
        <x:is>
          <x:t xml:space="preserve">V07</x:t>
        </x:is>
      </x:c>
      <x:c r="D107" s="16" t="inlineStr">
        <x:is>
          <x:t xml:space="preserve">Business</x:t>
        </x:is>
      </x:c>
      <x:c r="E107" s="16" t="inlineStr">
        <x:is>
          <x:t xml:space="preserve">Semantic compression</x:t>
        </x:is>
      </x:c>
      <x:c r="F107" s="16" t="inlineStr">
        <x:is>
          <x:t xml:space="preserve">Audio-on</x:t>
        </x:is>
      </x:c>
      <x:c r="G107" s="21" t="n">
        <x:v>18</x:v>
      </x:c>
      <x:c r="H107" s="21" t="inlineStr">
        <x:is>
          <x:t xml:space="preserve"/>
        </x:is>
      </x:c>
      <x:c r="I107" s="21" t="inlineStr">
        <x:is>
          <x:t xml:space="preserve"/>
        </x:is>
      </x:c>
      <x:c r="J107" s="21" t="inlineStr">
        <x:is>
          <x:t xml:space="preserve"/>
        </x:is>
      </x:c>
      <x:c r="K107" s="21" t="inlineStr">
        <x:is>
          <x:t xml:space="preserve"/>
        </x:is>
      </x:c>
      <x:c r="L107" s="21" t="inlineStr">
        <x:is>
          <x:t xml:space="preserve"/>
        </x:is>
      </x:c>
      <x:c r="M107" s="21" t="inlineStr">
        <x:is>
          <x:t xml:space="preserve"/>
        </x:is>
      </x:c>
      <x:c r="N107" s="21" t="inlineStr">
        <x:is>
          <x:t xml:space="preserve"/>
        </x:is>
      </x:c>
      <x:c r="O107" s="21" t="inlineStr">
        <x:is>
          <x:t xml:space="preserve"/>
        </x:is>
      </x:c>
      <x:c r="P107" s="21" t="inlineStr">
        <x:is>
          <x:t xml:space="preserve"/>
        </x:is>
      </x:c>
      <x:c r="Q107" s="21" t="inlineStr">
        <x:is>
          <x:t xml:space="preserve"/>
        </x:is>
      </x:c>
      <x:c r="R107" s="21" t="inlineStr">
        <x:is>
          <x:t xml:space="preserve"/>
        </x:is>
      </x:c>
      <x:c r="S107" s="22">
        <x:f>IF(H107="","",IFERROR(H107/G107,""))</x:f>
      </x:c>
      <x:c r="T107" s="23">
        <x:f>IF(H107="","",IFERROR((J107+K107+L107+N107)/H107,""))</x:f>
      </x:c>
      <x:c r="U107" s="22">
        <x:f>IF(COUNTA(J107:L107,N107)=0,"",IFERROR(AVERAGE(J107:L107,N107),""))</x:f>
      </x:c>
      <x:c r="V107" s="16" t="inlineStr">
        <x:is>
          <x:t xml:space="preserve"/>
        </x:is>
      </x:c>
    </x:row>
    <x:row r="108">
      <x:c r="A108" s="17" t="inlineStr">
        <x:is>
          <x:t xml:space="preserve">P009</x:t>
        </x:is>
      </x:c>
      <x:c r="B108" s="17" t="n">
        <x:v>8</x:v>
      </x:c>
      <x:c r="C108" s="17" t="inlineStr">
        <x:is>
          <x:t xml:space="preserve">V10</x:t>
        </x:is>
      </x:c>
      <x:c r="D108" s="17" t="inlineStr">
        <x:is>
          <x:t xml:space="preserve">Product demo</x:t>
        </x:is>
      </x:c>
      <x:c r="E108" s="17" t="inlineStr">
        <x:is>
          <x:t xml:space="preserve">Heavy bionic</x:t>
        </x:is>
      </x:c>
      <x:c r="F108" s="17" t="inlineStr">
        <x:is>
          <x:t xml:space="preserve">Audio-on</x:t>
        </x:is>
      </x:c>
      <x:c r="G108" s="24" t="n">
        <x:v>15</x:v>
      </x:c>
      <x:c r="H108" s="24" t="inlineStr">
        <x:is>
          <x:t xml:space="preserve"/>
        </x:is>
      </x:c>
      <x:c r="I108" s="24" t="inlineStr">
        <x:is>
          <x:t xml:space="preserve"/>
        </x:is>
      </x:c>
      <x:c r="J108" s="24" t="inlineStr">
        <x:is>
          <x:t xml:space="preserve"/>
        </x:is>
      </x:c>
      <x:c r="K108" s="24" t="inlineStr">
        <x:is>
          <x:t xml:space="preserve"/>
        </x:is>
      </x:c>
      <x:c r="L108" s="24" t="inlineStr">
        <x:is>
          <x:t xml:space="preserve"/>
        </x:is>
      </x:c>
      <x:c r="M108" s="24" t="inlineStr">
        <x:is>
          <x:t xml:space="preserve"/>
        </x:is>
      </x:c>
      <x:c r="N108" s="24" t="inlineStr">
        <x:is>
          <x:t xml:space="preserve"/>
        </x:is>
      </x:c>
      <x:c r="O108" s="24" t="inlineStr">
        <x:is>
          <x:t xml:space="preserve"/>
        </x:is>
      </x:c>
      <x:c r="P108" s="24" t="inlineStr">
        <x:is>
          <x:t xml:space="preserve"/>
        </x:is>
      </x:c>
      <x:c r="Q108" s="24" t="inlineStr">
        <x:is>
          <x:t xml:space="preserve"/>
        </x:is>
      </x:c>
      <x:c r="R108" s="24" t="inlineStr">
        <x:is>
          <x:t xml:space="preserve"/>
        </x:is>
      </x:c>
      <x:c r="S108" s="25">
        <x:f>IF(H108="","",IFERROR(H108/G108,""))</x:f>
      </x:c>
      <x:c r="T108" s="26">
        <x:f>IF(H108="","",IFERROR((J108+K108+L108+N108)/H108,""))</x:f>
      </x:c>
      <x:c r="U108" s="25">
        <x:f>IF(COUNTA(J108:L108,N108)=0,"",IFERROR(AVERAGE(J108:L108,N108),""))</x:f>
      </x:c>
      <x:c r="V108" s="17" t="inlineStr">
        <x:is>
          <x:t xml:space="preserve"/>
        </x:is>
      </x:c>
    </x:row>
    <x:row r="109">
      <x:c r="A109" s="16" t="inlineStr">
        <x:is>
          <x:t xml:space="preserve">P009</x:t>
        </x:is>
      </x:c>
      <x:c r="B109" s="16" t="n">
        <x:v>9</x:v>
      </x:c>
      <x:c r="C109" s="16" t="inlineStr">
        <x:is>
          <x:t xml:space="preserve">V02</x:t>
        </x:is>
      </x:c>
      <x:c r="D109" s="16" t="inlineStr">
        <x:is>
          <x:t xml:space="preserve">Study</x:t>
        </x:is>
      </x:c>
      <x:c r="E109" s="16" t="inlineStr">
        <x:is>
          <x:t xml:space="preserve">BCC</x:t>
        </x:is>
      </x:c>
      <x:c r="F109" s="16" t="inlineStr">
        <x:is>
          <x:t xml:space="preserve">Audio-on</x:t>
        </x:is>
      </x:c>
      <x:c r="G109" s="21" t="n">
        <x:v>18</x:v>
      </x:c>
      <x:c r="H109" s="21" t="inlineStr">
        <x:is>
          <x:t xml:space="preserve"/>
        </x:is>
      </x:c>
      <x:c r="I109" s="21" t="inlineStr">
        <x:is>
          <x:t xml:space="preserve"/>
        </x:is>
      </x:c>
      <x:c r="J109" s="21" t="inlineStr">
        <x:is>
          <x:t xml:space="preserve"/>
        </x:is>
      </x:c>
      <x:c r="K109" s="21" t="inlineStr">
        <x:is>
          <x:t xml:space="preserve"/>
        </x:is>
      </x:c>
      <x:c r="L109" s="21" t="inlineStr">
        <x:is>
          <x:t xml:space="preserve"/>
        </x:is>
      </x:c>
      <x:c r="M109" s="21" t="inlineStr">
        <x:is>
          <x:t xml:space="preserve"/>
        </x:is>
      </x:c>
      <x:c r="N109" s="21" t="inlineStr">
        <x:is>
          <x:t xml:space="preserve"/>
        </x:is>
      </x:c>
      <x:c r="O109" s="21" t="inlineStr">
        <x:is>
          <x:t xml:space="preserve"/>
        </x:is>
      </x:c>
      <x:c r="P109" s="21" t="inlineStr">
        <x:is>
          <x:t xml:space="preserve"/>
        </x:is>
      </x:c>
      <x:c r="Q109" s="21" t="inlineStr">
        <x:is>
          <x:t xml:space="preserve"/>
        </x:is>
      </x:c>
      <x:c r="R109" s="21" t="inlineStr">
        <x:is>
          <x:t xml:space="preserve"/>
        </x:is>
      </x:c>
      <x:c r="S109" s="22">
        <x:f>IF(H109="","",IFERROR(H109/G109,""))</x:f>
      </x:c>
      <x:c r="T109" s="23">
        <x:f>IF(H109="","",IFERROR((J109+K109+L109+N109)/H109,""))</x:f>
      </x:c>
      <x:c r="U109" s="22">
        <x:f>IF(COUNTA(J109:L109,N109)=0,"",IFERROR(AVERAGE(J109:L109,N109),""))</x:f>
      </x:c>
      <x:c r="V109" s="16" t="inlineStr">
        <x:is>
          <x:t xml:space="preserve"/>
        </x:is>
      </x:c>
    </x:row>
    <x:row r="110">
      <x:c r="A110" s="17" t="inlineStr">
        <x:is>
          <x:t xml:space="preserve">P009</x:t>
        </x:is>
      </x:c>
      <x:c r="B110" s="17" t="n">
        <x:v>10</x:v>
      </x:c>
      <x:c r="C110" s="17" t="inlineStr">
        <x:is>
          <x:t xml:space="preserve">V08</x:t>
        </x:is>
      </x:c>
      <x:c r="D110" s="17" t="inlineStr">
        <x:is>
          <x:t xml:space="preserve">Coding</x:t>
        </x:is>
      </x:c>
      <x:c r="E110" s="17" t="inlineStr">
        <x:is>
          <x:t xml:space="preserve">BCC</x:t>
        </x:is>
      </x:c>
      <x:c r="F110" s="17" t="inlineStr">
        <x:is>
          <x:t xml:space="preserve">Audio-on</x:t>
        </x:is>
      </x:c>
      <x:c r="G110" s="24" t="n">
        <x:v>24</x:v>
      </x:c>
      <x:c r="H110" s="24" t="inlineStr">
        <x:is>
          <x:t xml:space="preserve"/>
        </x:is>
      </x:c>
      <x:c r="I110" s="24" t="inlineStr">
        <x:is>
          <x:t xml:space="preserve"/>
        </x:is>
      </x:c>
      <x:c r="J110" s="24" t="inlineStr">
        <x:is>
          <x:t xml:space="preserve"/>
        </x:is>
      </x:c>
      <x:c r="K110" s="24" t="inlineStr">
        <x:is>
          <x:t xml:space="preserve"/>
        </x:is>
      </x:c>
      <x:c r="L110" s="24" t="inlineStr">
        <x:is>
          <x:t xml:space="preserve"/>
        </x:is>
      </x:c>
      <x:c r="M110" s="24" t="inlineStr">
        <x:is>
          <x:t xml:space="preserve"/>
        </x:is>
      </x:c>
      <x:c r="N110" s="24" t="inlineStr">
        <x:is>
          <x:t xml:space="preserve"/>
        </x:is>
      </x:c>
      <x:c r="O110" s="24" t="inlineStr">
        <x:is>
          <x:t xml:space="preserve"/>
        </x:is>
      </x:c>
      <x:c r="P110" s="24" t="inlineStr">
        <x:is>
          <x:t xml:space="preserve"/>
        </x:is>
      </x:c>
      <x:c r="Q110" s="24" t="inlineStr">
        <x:is>
          <x:t xml:space="preserve"/>
        </x:is>
      </x:c>
      <x:c r="R110" s="24" t="inlineStr">
        <x:is>
          <x:t xml:space="preserve"/>
        </x:is>
      </x:c>
      <x:c r="S110" s="25">
        <x:f>IF(H110="","",IFERROR(H110/G110,""))</x:f>
      </x:c>
      <x:c r="T110" s="26">
        <x:f>IF(H110="","",IFERROR((J110+K110+L110+N110)/H110,""))</x:f>
      </x:c>
      <x:c r="U110" s="25">
        <x:f>IF(COUNTA(J110:L110,N110)=0,"",IFERROR(AVERAGE(J110:L110,N110),""))</x:f>
      </x:c>
      <x:c r="V110" s="17" t="inlineStr">
        <x:is>
          <x:t xml:space="preserve"/>
        </x:is>
      </x:c>
    </x:row>
    <x:row r="111">
      <x:c r="A111" s="16" t="inlineStr">
        <x:is>
          <x:t xml:space="preserve">P009</x:t>
        </x:is>
      </x:c>
      <x:c r="B111" s="16" t="n">
        <x:v>11</x:v>
      </x:c>
      <x:c r="C111" s="16" t="inlineStr">
        <x:is>
          <x:t xml:space="preserve">V01</x:t>
        </x:is>
      </x:c>
      <x:c r="D111" s="16" t="inlineStr">
        <x:is>
          <x:t xml:space="preserve">Productivity</x:t>
        </x:is>
      </x:c>
      <x:c r="E111" s="16" t="inlineStr">
        <x:is>
          <x:t xml:space="preserve">Semantic compression</x:t>
        </x:is>
      </x:c>
      <x:c r="F111" s="16" t="inlineStr">
        <x:is>
          <x:t xml:space="preserve">Audio-on</x:t>
        </x:is>
      </x:c>
      <x:c r="G111" s="21" t="n">
        <x:v>25</x:v>
      </x:c>
      <x:c r="H111" s="21" t="inlineStr">
        <x:is>
          <x:t xml:space="preserve"/>
        </x:is>
      </x:c>
      <x:c r="I111" s="21" t="inlineStr">
        <x:is>
          <x:t xml:space="preserve"/>
        </x:is>
      </x:c>
      <x:c r="J111" s="21" t="inlineStr">
        <x:is>
          <x:t xml:space="preserve"/>
        </x:is>
      </x:c>
      <x:c r="K111" s="21" t="inlineStr">
        <x:is>
          <x:t xml:space="preserve"/>
        </x:is>
      </x:c>
      <x:c r="L111" s="21" t="inlineStr">
        <x:is>
          <x:t xml:space="preserve"/>
        </x:is>
      </x:c>
      <x:c r="M111" s="21" t="inlineStr">
        <x:is>
          <x:t xml:space="preserve"/>
        </x:is>
      </x:c>
      <x:c r="N111" s="21" t="inlineStr">
        <x:is>
          <x:t xml:space="preserve"/>
        </x:is>
      </x:c>
      <x:c r="O111" s="21" t="inlineStr">
        <x:is>
          <x:t xml:space="preserve"/>
        </x:is>
      </x:c>
      <x:c r="P111" s="21" t="inlineStr">
        <x:is>
          <x:t xml:space="preserve"/>
        </x:is>
      </x:c>
      <x:c r="Q111" s="21" t="inlineStr">
        <x:is>
          <x:t xml:space="preserve"/>
        </x:is>
      </x:c>
      <x:c r="R111" s="21" t="inlineStr">
        <x:is>
          <x:t xml:space="preserve"/>
        </x:is>
      </x:c>
      <x:c r="S111" s="22">
        <x:f>IF(H111="","",IFERROR(H111/G111,""))</x:f>
      </x:c>
      <x:c r="T111" s="23">
        <x:f>IF(H111="","",IFERROR((J111+K111+L111+N111)/H111,""))</x:f>
      </x:c>
      <x:c r="U111" s="22">
        <x:f>IF(COUNTA(J111:L111,N111)=0,"",IFERROR(AVERAGE(J111:L111,N111),""))</x:f>
      </x:c>
      <x:c r="V111" s="16" t="inlineStr">
        <x:is>
          <x:t xml:space="preserve"/>
        </x:is>
      </x:c>
    </x:row>
    <x:row r="112">
      <x:c r="A112" s="17" t="inlineStr">
        <x:is>
          <x:t xml:space="preserve">P009</x:t>
        </x:is>
      </x:c>
      <x:c r="B112" s="17" t="n">
        <x:v>12</x:v>
      </x:c>
      <x:c r="C112" s="17" t="inlineStr">
        <x:is>
          <x:t xml:space="preserve">V03</x:t>
        </x:is>
      </x:c>
      <x:c r="D112" s="17" t="inlineStr">
        <x:is>
          <x:t xml:space="preserve">Fitness</x:t>
        </x:is>
      </x:c>
      <x:c r="E112" s="17" t="inlineStr">
        <x:is>
          <x:t xml:space="preserve">BCC+</x:t>
        </x:is>
      </x:c>
      <x:c r="F112" s="17" t="inlineStr">
        <x:is>
          <x:t xml:space="preserve">Audio-on</x:t>
        </x:is>
      </x:c>
      <x:c r="G112" s="24" t="n">
        <x:v>18</x:v>
      </x:c>
      <x:c r="H112" s="24" t="inlineStr">
        <x:is>
          <x:t xml:space="preserve"/>
        </x:is>
      </x:c>
      <x:c r="I112" s="24" t="inlineStr">
        <x:is>
          <x:t xml:space="preserve"/>
        </x:is>
      </x:c>
      <x:c r="J112" s="24" t="inlineStr">
        <x:is>
          <x:t xml:space="preserve"/>
        </x:is>
      </x:c>
      <x:c r="K112" s="24" t="inlineStr">
        <x:is>
          <x:t xml:space="preserve"/>
        </x:is>
      </x:c>
      <x:c r="L112" s="24" t="inlineStr">
        <x:is>
          <x:t xml:space="preserve"/>
        </x:is>
      </x:c>
      <x:c r="M112" s="24" t="inlineStr">
        <x:is>
          <x:t xml:space="preserve"/>
        </x:is>
      </x:c>
      <x:c r="N112" s="24" t="inlineStr">
        <x:is>
          <x:t xml:space="preserve"/>
        </x:is>
      </x:c>
      <x:c r="O112" s="24" t="inlineStr">
        <x:is>
          <x:t xml:space="preserve"/>
        </x:is>
      </x:c>
      <x:c r="P112" s="24" t="inlineStr">
        <x:is>
          <x:t xml:space="preserve"/>
        </x:is>
      </x:c>
      <x:c r="Q112" s="24" t="inlineStr">
        <x:is>
          <x:t xml:space="preserve"/>
        </x:is>
      </x:c>
      <x:c r="R112" s="24" t="inlineStr">
        <x:is>
          <x:t xml:space="preserve"/>
        </x:is>
      </x:c>
      <x:c r="S112" s="25">
        <x:f>IF(H112="","",IFERROR(H112/G112,""))</x:f>
      </x:c>
      <x:c r="T112" s="26">
        <x:f>IF(H112="","",IFERROR((J112+K112+L112+N112)/H112,""))</x:f>
      </x:c>
      <x:c r="U112" s="25">
        <x:f>IF(COUNTA(J112:L112,N112)=0,"",IFERROR(AVERAGE(J112:L112,N112),""))</x:f>
      </x:c>
      <x:c r="V112" s="17" t="inlineStr">
        <x:is>
          <x:t xml:space="preserve"/>
        </x:is>
      </x:c>
    </x:row>
    <x:row r="113">
      <x:c r="A113" s="16" t="inlineStr">
        <x:is>
          <x:t xml:space="preserve">P010</x:t>
        </x:is>
      </x:c>
      <x:c r="B113" s="16" t="n">
        <x:v>1</x:v>
      </x:c>
      <x:c r="C113" s="16" t="inlineStr">
        <x:is>
          <x:t xml:space="preserve">V03</x:t>
        </x:is>
      </x:c>
      <x:c r="D113" s="16" t="inlineStr">
        <x:is>
          <x:t xml:space="preserve">Fitness</x:t>
        </x:is>
      </x:c>
      <x:c r="E113" s="16" t="inlineStr">
        <x:is>
          <x:t xml:space="preserve">Heavy bionic</x:t>
        </x:is>
      </x:c>
      <x:c r="F113" s="16" t="inlineStr">
        <x:is>
          <x:t xml:space="preserve">Audio-on</x:t>
        </x:is>
      </x:c>
      <x:c r="G113" s="21" t="n">
        <x:v>18</x:v>
      </x:c>
      <x:c r="H113" s="21" t="inlineStr">
        <x:is>
          <x:t xml:space="preserve"/>
        </x:is>
      </x:c>
      <x:c r="I113" s="21" t="inlineStr">
        <x:is>
          <x:t xml:space="preserve"/>
        </x:is>
      </x:c>
      <x:c r="J113" s="21" t="inlineStr">
        <x:is>
          <x:t xml:space="preserve"/>
        </x:is>
      </x:c>
      <x:c r="K113" s="21" t="inlineStr">
        <x:is>
          <x:t xml:space="preserve"/>
        </x:is>
      </x:c>
      <x:c r="L113" s="21" t="inlineStr">
        <x:is>
          <x:t xml:space="preserve"/>
        </x:is>
      </x:c>
      <x:c r="M113" s="21" t="inlineStr">
        <x:is>
          <x:t xml:space="preserve"/>
        </x:is>
      </x:c>
      <x:c r="N113" s="21" t="inlineStr">
        <x:is>
          <x:t xml:space="preserve"/>
        </x:is>
      </x:c>
      <x:c r="O113" s="21" t="inlineStr">
        <x:is>
          <x:t xml:space="preserve"/>
        </x:is>
      </x:c>
      <x:c r="P113" s="21" t="inlineStr">
        <x:is>
          <x:t xml:space="preserve"/>
        </x:is>
      </x:c>
      <x:c r="Q113" s="21" t="inlineStr">
        <x:is>
          <x:t xml:space="preserve"/>
        </x:is>
      </x:c>
      <x:c r="R113" s="21" t="inlineStr">
        <x:is>
          <x:t xml:space="preserve"/>
        </x:is>
      </x:c>
      <x:c r="S113" s="22">
        <x:f>IF(H113="","",IFERROR(H113/G113,""))</x:f>
      </x:c>
      <x:c r="T113" s="23">
        <x:f>IF(H113="","",IFERROR((J113+K113+L113+N113)/H113,""))</x:f>
      </x:c>
      <x:c r="U113" s="22">
        <x:f>IF(COUNTA(J113:L113,N113)=0,"",IFERROR(AVERAGE(J113:L113,N113),""))</x:f>
      </x:c>
      <x:c r="V113" s="16" t="inlineStr">
        <x:is>
          <x:t xml:space="preserve"/>
        </x:is>
      </x:c>
    </x:row>
    <x:row r="114">
      <x:c r="A114" s="17" t="inlineStr">
        <x:is>
          <x:t xml:space="preserve">P010</x:t>
        </x:is>
      </x:c>
      <x:c r="B114" s="17" t="n">
        <x:v>2</x:v>
      </x:c>
      <x:c r="C114" s="17" t="inlineStr">
        <x:is>
          <x:t xml:space="preserve">V05</x:t>
        </x:is>
      </x:c>
      <x:c r="D114" s="17" t="inlineStr">
        <x:is>
          <x:t xml:space="preserve">Tutorial</x:t>
        </x:is>
      </x:c>
      <x:c r="E114" s="17" t="inlineStr">
        <x:is>
          <x:t xml:space="preserve">Keyword highlight</x:t>
        </x:is>
      </x:c>
      <x:c r="F114" s="17" t="inlineStr">
        <x:is>
          <x:t xml:space="preserve">Audio-on</x:t>
        </x:is>
      </x:c>
      <x:c r="G114" s="24" t="n">
        <x:v>20</x:v>
      </x:c>
      <x:c r="H114" s="24" t="inlineStr">
        <x:is>
          <x:t xml:space="preserve"/>
        </x:is>
      </x:c>
      <x:c r="I114" s="24" t="inlineStr">
        <x:is>
          <x:t xml:space="preserve"/>
        </x:is>
      </x:c>
      <x:c r="J114" s="24" t="inlineStr">
        <x:is>
          <x:t xml:space="preserve"/>
        </x:is>
      </x:c>
      <x:c r="K114" s="24" t="inlineStr">
        <x:is>
          <x:t xml:space="preserve"/>
        </x:is>
      </x:c>
      <x:c r="L114" s="24" t="inlineStr">
        <x:is>
          <x:t xml:space="preserve"/>
        </x:is>
      </x:c>
      <x:c r="M114" s="24" t="inlineStr">
        <x:is>
          <x:t xml:space="preserve"/>
        </x:is>
      </x:c>
      <x:c r="N114" s="24" t="inlineStr">
        <x:is>
          <x:t xml:space="preserve"/>
        </x:is>
      </x:c>
      <x:c r="O114" s="24" t="inlineStr">
        <x:is>
          <x:t xml:space="preserve"/>
        </x:is>
      </x:c>
      <x:c r="P114" s="24" t="inlineStr">
        <x:is>
          <x:t xml:space="preserve"/>
        </x:is>
      </x:c>
      <x:c r="Q114" s="24" t="inlineStr">
        <x:is>
          <x:t xml:space="preserve"/>
        </x:is>
      </x:c>
      <x:c r="R114" s="24" t="inlineStr">
        <x:is>
          <x:t xml:space="preserve"/>
        </x:is>
      </x:c>
      <x:c r="S114" s="25">
        <x:f>IF(H114="","",IFERROR(H114/G114,""))</x:f>
      </x:c>
      <x:c r="T114" s="26">
        <x:f>IF(H114="","",IFERROR((J114+K114+L114+N114)/H114,""))</x:f>
      </x:c>
      <x:c r="U114" s="25">
        <x:f>IF(COUNTA(J114:L114,N114)=0,"",IFERROR(AVERAGE(J114:L114,N114),""))</x:f>
      </x:c>
      <x:c r="V114" s="17" t="inlineStr">
        <x:is>
          <x:t xml:space="preserve"/>
        </x:is>
      </x:c>
    </x:row>
    <x:row r="115">
      <x:c r="A115" s="16" t="inlineStr">
        <x:is>
          <x:t xml:space="preserve">P010</x:t>
        </x:is>
      </x:c>
      <x:c r="B115" s="16" t="n">
        <x:v>3</x:v>
      </x:c>
      <x:c r="C115" s="16" t="inlineStr">
        <x:is>
          <x:t xml:space="preserve">V01</x:t>
        </x:is>
      </x:c>
      <x:c r="D115" s="16" t="inlineStr">
        <x:is>
          <x:t xml:space="preserve">Productivity</x:t>
        </x:is>
      </x:c>
      <x:c r="E115" s="16" t="inlineStr">
        <x:is>
          <x:t xml:space="preserve">BCC</x:t>
        </x:is>
      </x:c>
      <x:c r="F115" s="16" t="inlineStr">
        <x:is>
          <x:t xml:space="preserve">Audio-on</x:t>
        </x:is>
      </x:c>
      <x:c r="G115" s="21" t="n">
        <x:v>25</x:v>
      </x:c>
      <x:c r="H115" s="21" t="inlineStr">
        <x:is>
          <x:t xml:space="preserve"/>
        </x:is>
      </x:c>
      <x:c r="I115" s="21" t="inlineStr">
        <x:is>
          <x:t xml:space="preserve"/>
        </x:is>
      </x:c>
      <x:c r="J115" s="21" t="inlineStr">
        <x:is>
          <x:t xml:space="preserve"/>
        </x:is>
      </x:c>
      <x:c r="K115" s="21" t="inlineStr">
        <x:is>
          <x:t xml:space="preserve"/>
        </x:is>
      </x:c>
      <x:c r="L115" s="21" t="inlineStr">
        <x:is>
          <x:t xml:space="preserve"/>
        </x:is>
      </x:c>
      <x:c r="M115" s="21" t="inlineStr">
        <x:is>
          <x:t xml:space="preserve"/>
        </x:is>
      </x:c>
      <x:c r="N115" s="21" t="inlineStr">
        <x:is>
          <x:t xml:space="preserve"/>
        </x:is>
      </x:c>
      <x:c r="O115" s="21" t="inlineStr">
        <x:is>
          <x:t xml:space="preserve"/>
        </x:is>
      </x:c>
      <x:c r="P115" s="21" t="inlineStr">
        <x:is>
          <x:t xml:space="preserve"/>
        </x:is>
      </x:c>
      <x:c r="Q115" s="21" t="inlineStr">
        <x:is>
          <x:t xml:space="preserve"/>
        </x:is>
      </x:c>
      <x:c r="R115" s="21" t="inlineStr">
        <x:is>
          <x:t xml:space="preserve"/>
        </x:is>
      </x:c>
      <x:c r="S115" s="22">
        <x:f>IF(H115="","",IFERROR(H115/G115,""))</x:f>
      </x:c>
      <x:c r="T115" s="23">
        <x:f>IF(H115="","",IFERROR((J115+K115+L115+N115)/H115,""))</x:f>
      </x:c>
      <x:c r="U115" s="22">
        <x:f>IF(COUNTA(J115:L115,N115)=0,"",IFERROR(AVERAGE(J115:L115,N115),""))</x:f>
      </x:c>
      <x:c r="V115" s="16" t="inlineStr">
        <x:is>
          <x:t xml:space="preserve"/>
        </x:is>
      </x:c>
    </x:row>
    <x:row r="116">
      <x:c r="A116" s="17" t="inlineStr">
        <x:is>
          <x:t xml:space="preserve">P010</x:t>
        </x:is>
      </x:c>
      <x:c r="B116" s="17" t="n">
        <x:v>4</x:v>
      </x:c>
      <x:c r="C116" s="17" t="inlineStr">
        <x:is>
          <x:t xml:space="preserve">V08</x:t>
        </x:is>
      </x:c>
      <x:c r="D116" s="17" t="inlineStr">
        <x:is>
          <x:t xml:space="preserve">Coding</x:t>
        </x:is>
      </x:c>
      <x:c r="E116" s="17" t="inlineStr">
        <x:is>
          <x:t xml:space="preserve">BCC+</x:t>
        </x:is>
      </x:c>
      <x:c r="F116" s="17" t="inlineStr">
        <x:is>
          <x:t xml:space="preserve">Audio-on</x:t>
        </x:is>
      </x:c>
      <x:c r="G116" s="24" t="n">
        <x:v>24</x:v>
      </x:c>
      <x:c r="H116" s="24" t="inlineStr">
        <x:is>
          <x:t xml:space="preserve"/>
        </x:is>
      </x:c>
      <x:c r="I116" s="24" t="inlineStr">
        <x:is>
          <x:t xml:space="preserve"/>
        </x:is>
      </x:c>
      <x:c r="J116" s="24" t="inlineStr">
        <x:is>
          <x:t xml:space="preserve"/>
        </x:is>
      </x:c>
      <x:c r="K116" s="24" t="inlineStr">
        <x:is>
          <x:t xml:space="preserve"/>
        </x:is>
      </x:c>
      <x:c r="L116" s="24" t="inlineStr">
        <x:is>
          <x:t xml:space="preserve"/>
        </x:is>
      </x:c>
      <x:c r="M116" s="24" t="inlineStr">
        <x:is>
          <x:t xml:space="preserve"/>
        </x:is>
      </x:c>
      <x:c r="N116" s="24" t="inlineStr">
        <x:is>
          <x:t xml:space="preserve"/>
        </x:is>
      </x:c>
      <x:c r="O116" s="24" t="inlineStr">
        <x:is>
          <x:t xml:space="preserve"/>
        </x:is>
      </x:c>
      <x:c r="P116" s="24" t="inlineStr">
        <x:is>
          <x:t xml:space="preserve"/>
        </x:is>
      </x:c>
      <x:c r="Q116" s="24" t="inlineStr">
        <x:is>
          <x:t xml:space="preserve"/>
        </x:is>
      </x:c>
      <x:c r="R116" s="24" t="inlineStr">
        <x:is>
          <x:t xml:space="preserve"/>
        </x:is>
      </x:c>
      <x:c r="S116" s="25">
        <x:f>IF(H116="","",IFERROR(H116/G116,""))</x:f>
      </x:c>
      <x:c r="T116" s="26">
        <x:f>IF(H116="","",IFERROR((J116+K116+L116+N116)/H116,""))</x:f>
      </x:c>
      <x:c r="U116" s="25">
        <x:f>IF(COUNTA(J116:L116,N116)=0,"",IFERROR(AVERAGE(J116:L116,N116),""))</x:f>
      </x:c>
      <x:c r="V116" s="17" t="inlineStr">
        <x:is>
          <x:t xml:space="preserve"/>
        </x:is>
      </x:c>
    </x:row>
    <x:row r="117">
      <x:c r="A117" s="16" t="inlineStr">
        <x:is>
          <x:t xml:space="preserve">P010</x:t>
        </x:is>
      </x:c>
      <x:c r="B117" s="16" t="n">
        <x:v>5</x:v>
      </x:c>
      <x:c r="C117" s="16" t="inlineStr">
        <x:is>
          <x:t xml:space="preserve">V06</x:t>
        </x:is>
      </x:c>
      <x:c r="D117" s="16" t="inlineStr">
        <x:is>
          <x:t xml:space="preserve">Overload</x:t>
        </x:is>
      </x:c>
      <x:c r="E117" s="16" t="inlineStr">
        <x:is>
          <x:t xml:space="preserve">Semantic compression</x:t>
        </x:is>
      </x:c>
      <x:c r="F117" s="16" t="inlineStr">
        <x:is>
          <x:t xml:space="preserve">Audio-on</x:t>
        </x:is>
      </x:c>
      <x:c r="G117" s="21" t="n">
        <x:v>16</x:v>
      </x:c>
      <x:c r="H117" s="21" t="inlineStr">
        <x:is>
          <x:t xml:space="preserve"/>
        </x:is>
      </x:c>
      <x:c r="I117" s="21" t="inlineStr">
        <x:is>
          <x:t xml:space="preserve"/>
        </x:is>
      </x:c>
      <x:c r="J117" s="21" t="inlineStr">
        <x:is>
          <x:t xml:space="preserve"/>
        </x:is>
      </x:c>
      <x:c r="K117" s="21" t="inlineStr">
        <x:is>
          <x:t xml:space="preserve"/>
        </x:is>
      </x:c>
      <x:c r="L117" s="21" t="inlineStr">
        <x:is>
          <x:t xml:space="preserve"/>
        </x:is>
      </x:c>
      <x:c r="M117" s="21" t="inlineStr">
        <x:is>
          <x:t xml:space="preserve"/>
        </x:is>
      </x:c>
      <x:c r="N117" s="21" t="inlineStr">
        <x:is>
          <x:t xml:space="preserve"/>
        </x:is>
      </x:c>
      <x:c r="O117" s="21" t="inlineStr">
        <x:is>
          <x:t xml:space="preserve"/>
        </x:is>
      </x:c>
      <x:c r="P117" s="21" t="inlineStr">
        <x:is>
          <x:t xml:space="preserve"/>
        </x:is>
      </x:c>
      <x:c r="Q117" s="21" t="inlineStr">
        <x:is>
          <x:t xml:space="preserve"/>
        </x:is>
      </x:c>
      <x:c r="R117" s="21" t="inlineStr">
        <x:is>
          <x:t xml:space="preserve"/>
        </x:is>
      </x:c>
      <x:c r="S117" s="22">
        <x:f>IF(H117="","",IFERROR(H117/G117,""))</x:f>
      </x:c>
      <x:c r="T117" s="23">
        <x:f>IF(H117="","",IFERROR((J117+K117+L117+N117)/H117,""))</x:f>
      </x:c>
      <x:c r="U117" s="22">
        <x:f>IF(COUNTA(J117:L117,N117)=0,"",IFERROR(AVERAGE(J117:L117,N117),""))</x:f>
      </x:c>
      <x:c r="V117" s="16" t="inlineStr">
        <x:is>
          <x:t xml:space="preserve"/>
        </x:is>
      </x:c>
    </x:row>
    <x:row r="118">
      <x:c r="A118" s="17" t="inlineStr">
        <x:is>
          <x:t xml:space="preserve">P010</x:t>
        </x:is>
      </x:c>
      <x:c r="B118" s="17" t="n">
        <x:v>6</x:v>
      </x:c>
      <x:c r="C118" s="17" t="inlineStr">
        <x:is>
          <x:t xml:space="preserve">V07</x:t>
        </x:is>
      </x:c>
      <x:c r="D118" s="17" t="inlineStr">
        <x:is>
          <x:t xml:space="preserve">Business</x:t>
        </x:is>
      </x:c>
      <x:c r="E118" s="17" t="inlineStr">
        <x:is>
          <x:t xml:space="preserve">BCC</x:t>
        </x:is>
      </x:c>
      <x:c r="F118" s="17" t="inlineStr">
        <x:is>
          <x:t xml:space="preserve">Audio-on</x:t>
        </x:is>
      </x:c>
      <x:c r="G118" s="24" t="n">
        <x:v>18</x:v>
      </x:c>
      <x:c r="H118" s="24" t="inlineStr">
        <x:is>
          <x:t xml:space="preserve"/>
        </x:is>
      </x:c>
      <x:c r="I118" s="24" t="inlineStr">
        <x:is>
          <x:t xml:space="preserve"/>
        </x:is>
      </x:c>
      <x:c r="J118" s="24" t="inlineStr">
        <x:is>
          <x:t xml:space="preserve"/>
        </x:is>
      </x:c>
      <x:c r="K118" s="24" t="inlineStr">
        <x:is>
          <x:t xml:space="preserve"/>
        </x:is>
      </x:c>
      <x:c r="L118" s="24" t="inlineStr">
        <x:is>
          <x:t xml:space="preserve"/>
        </x:is>
      </x:c>
      <x:c r="M118" s="24" t="inlineStr">
        <x:is>
          <x:t xml:space="preserve"/>
        </x:is>
      </x:c>
      <x:c r="N118" s="24" t="inlineStr">
        <x:is>
          <x:t xml:space="preserve"/>
        </x:is>
      </x:c>
      <x:c r="O118" s="24" t="inlineStr">
        <x:is>
          <x:t xml:space="preserve"/>
        </x:is>
      </x:c>
      <x:c r="P118" s="24" t="inlineStr">
        <x:is>
          <x:t xml:space="preserve"/>
        </x:is>
      </x:c>
      <x:c r="Q118" s="24" t="inlineStr">
        <x:is>
          <x:t xml:space="preserve"/>
        </x:is>
      </x:c>
      <x:c r="R118" s="24" t="inlineStr">
        <x:is>
          <x:t xml:space="preserve"/>
        </x:is>
      </x:c>
      <x:c r="S118" s="25">
        <x:f>IF(H118="","",IFERROR(H118/G118,""))</x:f>
      </x:c>
      <x:c r="T118" s="26">
        <x:f>IF(H118="","",IFERROR((J118+K118+L118+N118)/H118,""))</x:f>
      </x:c>
      <x:c r="U118" s="25">
        <x:f>IF(COUNTA(J118:L118,N118)=0,"",IFERROR(AVERAGE(J118:L118,N118),""))</x:f>
      </x:c>
      <x:c r="V118" s="17" t="inlineStr">
        <x:is>
          <x:t xml:space="preserve"/>
        </x:is>
      </x:c>
    </x:row>
    <x:row r="119">
      <x:c r="A119" s="16" t="inlineStr">
        <x:is>
          <x:t xml:space="preserve">P010</x:t>
        </x:is>
      </x:c>
      <x:c r="B119" s="16" t="n">
        <x:v>7</x:v>
      </x:c>
      <x:c r="C119" s="16" t="inlineStr">
        <x:is>
          <x:t xml:space="preserve">V12</x:t>
        </x:is>
      </x:c>
      <x:c r="D119" s="16" t="inlineStr">
        <x:is>
          <x:t xml:space="preserve">Time management</x:t>
        </x:is>
      </x:c>
      <x:c r="E119" s="16" t="inlineStr">
        <x:is>
          <x:t xml:space="preserve">Semantic compression</x:t>
        </x:is>
      </x:c>
      <x:c r="F119" s="16" t="inlineStr">
        <x:is>
          <x:t xml:space="preserve">Audio-on</x:t>
        </x:is>
      </x:c>
      <x:c r="G119" s="21" t="n">
        <x:v>21</x:v>
      </x:c>
      <x:c r="H119" s="21" t="inlineStr">
        <x:is>
          <x:t xml:space="preserve"/>
        </x:is>
      </x:c>
      <x:c r="I119" s="21" t="inlineStr">
        <x:is>
          <x:t xml:space="preserve"/>
        </x:is>
      </x:c>
      <x:c r="J119" s="21" t="inlineStr">
        <x:is>
          <x:t xml:space="preserve"/>
        </x:is>
      </x:c>
      <x:c r="K119" s="21" t="inlineStr">
        <x:is>
          <x:t xml:space="preserve"/>
        </x:is>
      </x:c>
      <x:c r="L119" s="21" t="inlineStr">
        <x:is>
          <x:t xml:space="preserve"/>
        </x:is>
      </x:c>
      <x:c r="M119" s="21" t="inlineStr">
        <x:is>
          <x:t xml:space="preserve"/>
        </x:is>
      </x:c>
      <x:c r="N119" s="21" t="inlineStr">
        <x:is>
          <x:t xml:space="preserve"/>
        </x:is>
      </x:c>
      <x:c r="O119" s="21" t="inlineStr">
        <x:is>
          <x:t xml:space="preserve"/>
        </x:is>
      </x:c>
      <x:c r="P119" s="21" t="inlineStr">
        <x:is>
          <x:t xml:space="preserve"/>
        </x:is>
      </x:c>
      <x:c r="Q119" s="21" t="inlineStr">
        <x:is>
          <x:t xml:space="preserve"/>
        </x:is>
      </x:c>
      <x:c r="R119" s="21" t="inlineStr">
        <x:is>
          <x:t xml:space="preserve"/>
        </x:is>
      </x:c>
      <x:c r="S119" s="22">
        <x:f>IF(H119="","",IFERROR(H119/G119,""))</x:f>
      </x:c>
      <x:c r="T119" s="23">
        <x:f>IF(H119="","",IFERROR((J119+K119+L119+N119)/H119,""))</x:f>
      </x:c>
      <x:c r="U119" s="22">
        <x:f>IF(COUNTA(J119:L119,N119)=0,"",IFERROR(AVERAGE(J119:L119,N119),""))</x:f>
      </x:c>
      <x:c r="V119" s="16" t="inlineStr">
        <x:is>
          <x:t xml:space="preserve"/>
        </x:is>
      </x:c>
    </x:row>
    <x:row r="120">
      <x:c r="A120" s="17" t="inlineStr">
        <x:is>
          <x:t xml:space="preserve">P010</x:t>
        </x:is>
      </x:c>
      <x:c r="B120" s="17" t="n">
        <x:v>8</x:v>
      </x:c>
      <x:c r="C120" s="17" t="inlineStr">
        <x:is>
          <x:t xml:space="preserve">V02</x:t>
        </x:is>
      </x:c>
      <x:c r="D120" s="17" t="inlineStr">
        <x:is>
          <x:t xml:space="preserve">Study</x:t>
        </x:is>
      </x:c>
      <x:c r="E120" s="17" t="inlineStr">
        <x:is>
          <x:t xml:space="preserve">BCC+</x:t>
        </x:is>
      </x:c>
      <x:c r="F120" s="17" t="inlineStr">
        <x:is>
          <x:t xml:space="preserve">Audio-on</x:t>
        </x:is>
      </x:c>
      <x:c r="G120" s="24" t="n">
        <x:v>18</x:v>
      </x:c>
      <x:c r="H120" s="24" t="inlineStr">
        <x:is>
          <x:t xml:space="preserve"/>
        </x:is>
      </x:c>
      <x:c r="I120" s="24" t="inlineStr">
        <x:is>
          <x:t xml:space="preserve"/>
        </x:is>
      </x:c>
      <x:c r="J120" s="24" t="inlineStr">
        <x:is>
          <x:t xml:space="preserve"/>
        </x:is>
      </x:c>
      <x:c r="K120" s="24" t="inlineStr">
        <x:is>
          <x:t xml:space="preserve"/>
        </x:is>
      </x:c>
      <x:c r="L120" s="24" t="inlineStr">
        <x:is>
          <x:t xml:space="preserve"/>
        </x:is>
      </x:c>
      <x:c r="M120" s="24" t="inlineStr">
        <x:is>
          <x:t xml:space="preserve"/>
        </x:is>
      </x:c>
      <x:c r="N120" s="24" t="inlineStr">
        <x:is>
          <x:t xml:space="preserve"/>
        </x:is>
      </x:c>
      <x:c r="O120" s="24" t="inlineStr">
        <x:is>
          <x:t xml:space="preserve"/>
        </x:is>
      </x:c>
      <x:c r="P120" s="24" t="inlineStr">
        <x:is>
          <x:t xml:space="preserve"/>
        </x:is>
      </x:c>
      <x:c r="Q120" s="24" t="inlineStr">
        <x:is>
          <x:t xml:space="preserve"/>
        </x:is>
      </x:c>
      <x:c r="R120" s="24" t="inlineStr">
        <x:is>
          <x:t xml:space="preserve"/>
        </x:is>
      </x:c>
      <x:c r="S120" s="25">
        <x:f>IF(H120="","",IFERROR(H120/G120,""))</x:f>
      </x:c>
      <x:c r="T120" s="26">
        <x:f>IF(H120="","",IFERROR((J120+K120+L120+N120)/H120,""))</x:f>
      </x:c>
      <x:c r="U120" s="25">
        <x:f>IF(COUNTA(J120:L120,N120)=0,"",IFERROR(AVERAGE(J120:L120,N120),""))</x:f>
      </x:c>
      <x:c r="V120" s="17" t="inlineStr">
        <x:is>
          <x:t xml:space="preserve"/>
        </x:is>
      </x:c>
    </x:row>
    <x:row r="121">
      <x:c r="A121" s="16" t="inlineStr">
        <x:is>
          <x:t xml:space="preserve">P010</x:t>
        </x:is>
      </x:c>
      <x:c r="B121" s="16" t="n">
        <x:v>9</x:v>
      </x:c>
      <x:c r="C121" s="16" t="inlineStr">
        <x:is>
          <x:t xml:space="preserve">V09</x:t>
        </x:is>
      </x:c>
      <x:c r="D121" s="16" t="inlineStr">
        <x:is>
          <x:t xml:space="preserve">Sleep habit</x:t>
        </x:is>
      </x:c>
      <x:c r="E121" s="16" t="inlineStr">
        <x:is>
          <x:t xml:space="preserve">Heavy bionic</x:t>
        </x:is>
      </x:c>
      <x:c r="F121" s="16" t="inlineStr">
        <x:is>
          <x:t xml:space="preserve">Audio-on</x:t>
        </x:is>
      </x:c>
      <x:c r="G121" s="21" t="n">
        <x:v>19</x:v>
      </x:c>
      <x:c r="H121" s="21" t="inlineStr">
        <x:is>
          <x:t xml:space="preserve"/>
        </x:is>
      </x:c>
      <x:c r="I121" s="21" t="inlineStr">
        <x:is>
          <x:t xml:space="preserve"/>
        </x:is>
      </x:c>
      <x:c r="J121" s="21" t="inlineStr">
        <x:is>
          <x:t xml:space="preserve"/>
        </x:is>
      </x:c>
      <x:c r="K121" s="21" t="inlineStr">
        <x:is>
          <x:t xml:space="preserve"/>
        </x:is>
      </x:c>
      <x:c r="L121" s="21" t="inlineStr">
        <x:is>
          <x:t xml:space="preserve"/>
        </x:is>
      </x:c>
      <x:c r="M121" s="21" t="inlineStr">
        <x:is>
          <x:t xml:space="preserve"/>
        </x:is>
      </x:c>
      <x:c r="N121" s="21" t="inlineStr">
        <x:is>
          <x:t xml:space="preserve"/>
        </x:is>
      </x:c>
      <x:c r="O121" s="21" t="inlineStr">
        <x:is>
          <x:t xml:space="preserve"/>
        </x:is>
      </x:c>
      <x:c r="P121" s="21" t="inlineStr">
        <x:is>
          <x:t xml:space="preserve"/>
        </x:is>
      </x:c>
      <x:c r="Q121" s="21" t="inlineStr">
        <x:is>
          <x:t xml:space="preserve"/>
        </x:is>
      </x:c>
      <x:c r="R121" s="21" t="inlineStr">
        <x:is>
          <x:t xml:space="preserve"/>
        </x:is>
      </x:c>
      <x:c r="S121" s="22">
        <x:f>IF(H121="","",IFERROR(H121/G121,""))</x:f>
      </x:c>
      <x:c r="T121" s="23">
        <x:f>IF(H121="","",IFERROR((J121+K121+L121+N121)/H121,""))</x:f>
      </x:c>
      <x:c r="U121" s="22">
        <x:f>IF(COUNTA(J121:L121,N121)=0,"",IFERROR(AVERAGE(J121:L121,N121),""))</x:f>
      </x:c>
      <x:c r="V121" s="16" t="inlineStr">
        <x:is>
          <x:t xml:space="preserve"/>
        </x:is>
      </x:c>
    </x:row>
    <x:row r="122">
      <x:c r="A122" s="17" t="inlineStr">
        <x:is>
          <x:t xml:space="preserve">P010</x:t>
        </x:is>
      </x:c>
      <x:c r="B122" s="17" t="n">
        <x:v>10</x:v>
      </x:c>
      <x:c r="C122" s="17" t="inlineStr">
        <x:is>
          <x:t xml:space="preserve">V04</x:t>
        </x:is>
      </x:c>
      <x:c r="D122" s="17" t="inlineStr">
        <x:is>
          <x:t xml:space="preserve">Finance</x:t>
        </x:is>
      </x:c>
      <x:c r="E122" s="17" t="inlineStr">
        <x:is>
          <x:t xml:space="preserve">Full transcript</x:t>
        </x:is>
      </x:c>
      <x:c r="F122" s="17" t="inlineStr">
        <x:is>
          <x:t xml:space="preserve">Audio-on</x:t>
        </x:is>
      </x:c>
      <x:c r="G122" s="24" t="n">
        <x:v>20</x:v>
      </x:c>
      <x:c r="H122" s="24" t="inlineStr">
        <x:is>
          <x:t xml:space="preserve"/>
        </x:is>
      </x:c>
      <x:c r="I122" s="24" t="inlineStr">
        <x:is>
          <x:t xml:space="preserve"/>
        </x:is>
      </x:c>
      <x:c r="J122" s="24" t="inlineStr">
        <x:is>
          <x:t xml:space="preserve"/>
        </x:is>
      </x:c>
      <x:c r="K122" s="24" t="inlineStr">
        <x:is>
          <x:t xml:space="preserve"/>
        </x:is>
      </x:c>
      <x:c r="L122" s="24" t="inlineStr">
        <x:is>
          <x:t xml:space="preserve"/>
        </x:is>
      </x:c>
      <x:c r="M122" s="24" t="inlineStr">
        <x:is>
          <x:t xml:space="preserve"/>
        </x:is>
      </x:c>
      <x:c r="N122" s="24" t="inlineStr">
        <x:is>
          <x:t xml:space="preserve"/>
        </x:is>
      </x:c>
      <x:c r="O122" s="24" t="inlineStr">
        <x:is>
          <x:t xml:space="preserve"/>
        </x:is>
      </x:c>
      <x:c r="P122" s="24" t="inlineStr">
        <x:is>
          <x:t xml:space="preserve"/>
        </x:is>
      </x:c>
      <x:c r="Q122" s="24" t="inlineStr">
        <x:is>
          <x:t xml:space="preserve"/>
        </x:is>
      </x:c>
      <x:c r="R122" s="24" t="inlineStr">
        <x:is>
          <x:t xml:space="preserve"/>
        </x:is>
      </x:c>
      <x:c r="S122" s="25">
        <x:f>IF(H122="","",IFERROR(H122/G122,""))</x:f>
      </x:c>
      <x:c r="T122" s="26">
        <x:f>IF(H122="","",IFERROR((J122+K122+L122+N122)/H122,""))</x:f>
      </x:c>
      <x:c r="U122" s="25">
        <x:f>IF(COUNTA(J122:L122,N122)=0,"",IFERROR(AVERAGE(J122:L122,N122),""))</x:f>
      </x:c>
      <x:c r="V122" s="17" t="inlineStr">
        <x:is>
          <x:t xml:space="preserve"/>
        </x:is>
      </x:c>
    </x:row>
    <x:row r="123">
      <x:c r="A123" s="16" t="inlineStr">
        <x:is>
          <x:t xml:space="preserve">P010</x:t>
        </x:is>
      </x:c>
      <x:c r="B123" s="16" t="n">
        <x:v>11</x:v>
      </x:c>
      <x:c r="C123" s="16" t="inlineStr">
        <x:is>
          <x:t xml:space="preserve">V10</x:t>
        </x:is>
      </x:c>
      <x:c r="D123" s="16" t="inlineStr">
        <x:is>
          <x:t xml:space="preserve">Product demo</x:t>
        </x:is>
      </x:c>
      <x:c r="E123" s="16" t="inlineStr">
        <x:is>
          <x:t xml:space="preserve">Full transcript</x:t>
        </x:is>
      </x:c>
      <x:c r="F123" s="16" t="inlineStr">
        <x:is>
          <x:t xml:space="preserve">Audio-on</x:t>
        </x:is>
      </x:c>
      <x:c r="G123" s="21" t="n">
        <x:v>15</x:v>
      </x:c>
      <x:c r="H123" s="21" t="inlineStr">
        <x:is>
          <x:t xml:space="preserve"/>
        </x:is>
      </x:c>
      <x:c r="I123" s="21" t="inlineStr">
        <x:is>
          <x:t xml:space="preserve"/>
        </x:is>
      </x:c>
      <x:c r="J123" s="21" t="inlineStr">
        <x:is>
          <x:t xml:space="preserve"/>
        </x:is>
      </x:c>
      <x:c r="K123" s="21" t="inlineStr">
        <x:is>
          <x:t xml:space="preserve"/>
        </x:is>
      </x:c>
      <x:c r="L123" s="21" t="inlineStr">
        <x:is>
          <x:t xml:space="preserve"/>
        </x:is>
      </x:c>
      <x:c r="M123" s="21" t="inlineStr">
        <x:is>
          <x:t xml:space="preserve"/>
        </x:is>
      </x:c>
      <x:c r="N123" s="21" t="inlineStr">
        <x:is>
          <x:t xml:space="preserve"/>
        </x:is>
      </x:c>
      <x:c r="O123" s="21" t="inlineStr">
        <x:is>
          <x:t xml:space="preserve"/>
        </x:is>
      </x:c>
      <x:c r="P123" s="21" t="inlineStr">
        <x:is>
          <x:t xml:space="preserve"/>
        </x:is>
      </x:c>
      <x:c r="Q123" s="21" t="inlineStr">
        <x:is>
          <x:t xml:space="preserve"/>
        </x:is>
      </x:c>
      <x:c r="R123" s="21" t="inlineStr">
        <x:is>
          <x:t xml:space="preserve"/>
        </x:is>
      </x:c>
      <x:c r="S123" s="22">
        <x:f>IF(H123="","",IFERROR(H123/G123,""))</x:f>
      </x:c>
      <x:c r="T123" s="23">
        <x:f>IF(H123="","",IFERROR((J123+K123+L123+N123)/H123,""))</x:f>
      </x:c>
      <x:c r="U123" s="22">
        <x:f>IF(COUNTA(J123:L123,N123)=0,"",IFERROR(AVERAGE(J123:L123,N123),""))</x:f>
      </x:c>
      <x:c r="V123" s="16" t="inlineStr">
        <x:is>
          <x:t xml:space="preserve"/>
        </x:is>
      </x:c>
    </x:row>
    <x:row r="124">
      <x:c r="A124" s="17" t="inlineStr">
        <x:is>
          <x:t xml:space="preserve">P010</x:t>
        </x:is>
      </x:c>
      <x:c r="B124" s="17" t="n">
        <x:v>12</x:v>
      </x:c>
      <x:c r="C124" s="17" t="inlineStr">
        <x:is>
          <x:t xml:space="preserve">V11</x:t>
        </x:is>
      </x:c>
      <x:c r="D124" s="17" t="inlineStr">
        <x:is>
          <x:t xml:space="preserve">Creator strategy</x:t>
        </x:is>
      </x:c>
      <x:c r="E124" s="17" t="inlineStr">
        <x:is>
          <x:t xml:space="preserve">Keyword highlight</x:t>
        </x:is>
      </x:c>
      <x:c r="F124" s="17" t="inlineStr">
        <x:is>
          <x:t xml:space="preserve">Audio-on</x:t>
        </x:is>
      </x:c>
      <x:c r="G124" s="24" t="n">
        <x:v>17</x:v>
      </x:c>
      <x:c r="H124" s="24" t="inlineStr">
        <x:is>
          <x:t xml:space="preserve"/>
        </x:is>
      </x:c>
      <x:c r="I124" s="24" t="inlineStr">
        <x:is>
          <x:t xml:space="preserve"/>
        </x:is>
      </x:c>
      <x:c r="J124" s="24" t="inlineStr">
        <x:is>
          <x:t xml:space="preserve"/>
        </x:is>
      </x:c>
      <x:c r="K124" s="24" t="inlineStr">
        <x:is>
          <x:t xml:space="preserve"/>
        </x:is>
      </x:c>
      <x:c r="L124" s="24" t="inlineStr">
        <x:is>
          <x:t xml:space="preserve"/>
        </x:is>
      </x:c>
      <x:c r="M124" s="24" t="inlineStr">
        <x:is>
          <x:t xml:space="preserve"/>
        </x:is>
      </x:c>
      <x:c r="N124" s="24" t="inlineStr">
        <x:is>
          <x:t xml:space="preserve"/>
        </x:is>
      </x:c>
      <x:c r="O124" s="24" t="inlineStr">
        <x:is>
          <x:t xml:space="preserve"/>
        </x:is>
      </x:c>
      <x:c r="P124" s="24" t="inlineStr">
        <x:is>
          <x:t xml:space="preserve"/>
        </x:is>
      </x:c>
      <x:c r="Q124" s="24" t="inlineStr">
        <x:is>
          <x:t xml:space="preserve"/>
        </x:is>
      </x:c>
      <x:c r="R124" s="24" t="inlineStr">
        <x:is>
          <x:t xml:space="preserve"/>
        </x:is>
      </x:c>
      <x:c r="S124" s="25">
        <x:f>IF(H124="","",IFERROR(H124/G124,""))</x:f>
      </x:c>
      <x:c r="T124" s="26">
        <x:f>IF(H124="","",IFERROR((J124+K124+L124+N124)/H124,""))</x:f>
      </x:c>
      <x:c r="U124" s="25">
        <x:f>IF(COUNTA(J124:L124,N124)=0,"",IFERROR(AVERAGE(J124:L124,N124),""))</x:f>
      </x:c>
      <x:c r="V124" s="17" t="inlineStr">
        <x:is>
          <x:t xml:space="preserve"/>
        </x:is>
      </x:c>
    </x:row>
    <x:row r="125">
      <x:c r="A125" s="16" t="inlineStr">
        <x:is>
          <x:t xml:space="preserve">P011</x:t>
        </x:is>
      </x:c>
      <x:c r="B125" s="16" t="n">
        <x:v>1</x:v>
      </x:c>
      <x:c r="C125" s="16" t="inlineStr">
        <x:is>
          <x:t xml:space="preserve">V10</x:t>
        </x:is>
      </x:c>
      <x:c r="D125" s="16" t="inlineStr">
        <x:is>
          <x:t xml:space="preserve">Product demo</x:t>
        </x:is>
      </x:c>
      <x:c r="E125" s="16" t="inlineStr">
        <x:is>
          <x:t xml:space="preserve">Keyword highlight</x:t>
        </x:is>
      </x:c>
      <x:c r="F125" s="16" t="inlineStr">
        <x:is>
          <x:t xml:space="preserve">Audio-on</x:t>
        </x:is>
      </x:c>
      <x:c r="G125" s="21" t="n">
        <x:v>15</x:v>
      </x:c>
      <x:c r="H125" s="21" t="inlineStr">
        <x:is>
          <x:t xml:space="preserve"/>
        </x:is>
      </x:c>
      <x:c r="I125" s="21" t="inlineStr">
        <x:is>
          <x:t xml:space="preserve"/>
        </x:is>
      </x:c>
      <x:c r="J125" s="21" t="inlineStr">
        <x:is>
          <x:t xml:space="preserve"/>
        </x:is>
      </x:c>
      <x:c r="K125" s="21" t="inlineStr">
        <x:is>
          <x:t xml:space="preserve"/>
        </x:is>
      </x:c>
      <x:c r="L125" s="21" t="inlineStr">
        <x:is>
          <x:t xml:space="preserve"/>
        </x:is>
      </x:c>
      <x:c r="M125" s="21" t="inlineStr">
        <x:is>
          <x:t xml:space="preserve"/>
        </x:is>
      </x:c>
      <x:c r="N125" s="21" t="inlineStr">
        <x:is>
          <x:t xml:space="preserve"/>
        </x:is>
      </x:c>
      <x:c r="O125" s="21" t="inlineStr">
        <x:is>
          <x:t xml:space="preserve"/>
        </x:is>
      </x:c>
      <x:c r="P125" s="21" t="inlineStr">
        <x:is>
          <x:t xml:space="preserve"/>
        </x:is>
      </x:c>
      <x:c r="Q125" s="21" t="inlineStr">
        <x:is>
          <x:t xml:space="preserve"/>
        </x:is>
      </x:c>
      <x:c r="R125" s="21" t="inlineStr">
        <x:is>
          <x:t xml:space="preserve"/>
        </x:is>
      </x:c>
      <x:c r="S125" s="22">
        <x:f>IF(H125="","",IFERROR(H125/G125,""))</x:f>
      </x:c>
      <x:c r="T125" s="23">
        <x:f>IF(H125="","",IFERROR((J125+K125+L125+N125)/H125,""))</x:f>
      </x:c>
      <x:c r="U125" s="22">
        <x:f>IF(COUNTA(J125:L125,N125)=0,"",IFERROR(AVERAGE(J125:L125,N125),""))</x:f>
      </x:c>
      <x:c r="V125" s="16" t="inlineStr">
        <x:is>
          <x:t xml:space="preserve"/>
        </x:is>
      </x:c>
    </x:row>
    <x:row r="126">
      <x:c r="A126" s="17" t="inlineStr">
        <x:is>
          <x:t xml:space="preserve">P011</x:t>
        </x:is>
      </x:c>
      <x:c r="B126" s="17" t="n">
        <x:v>2</x:v>
      </x:c>
      <x:c r="C126" s="17" t="inlineStr">
        <x:is>
          <x:t xml:space="preserve">V02</x:t>
        </x:is>
      </x:c>
      <x:c r="D126" s="17" t="inlineStr">
        <x:is>
          <x:t xml:space="preserve">Study</x:t>
        </x:is>
      </x:c>
      <x:c r="E126" s="17" t="inlineStr">
        <x:is>
          <x:t xml:space="preserve">Heavy bionic</x:t>
        </x:is>
      </x:c>
      <x:c r="F126" s="17" t="inlineStr">
        <x:is>
          <x:t xml:space="preserve">Audio-on</x:t>
        </x:is>
      </x:c>
      <x:c r="G126" s="24" t="n">
        <x:v>18</x:v>
      </x:c>
      <x:c r="H126" s="24" t="inlineStr">
        <x:is>
          <x:t xml:space="preserve"/>
        </x:is>
      </x:c>
      <x:c r="I126" s="24" t="inlineStr">
        <x:is>
          <x:t xml:space="preserve"/>
        </x:is>
      </x:c>
      <x:c r="J126" s="24" t="inlineStr">
        <x:is>
          <x:t xml:space="preserve"/>
        </x:is>
      </x:c>
      <x:c r="K126" s="24" t="inlineStr">
        <x:is>
          <x:t xml:space="preserve"/>
        </x:is>
      </x:c>
      <x:c r="L126" s="24" t="inlineStr">
        <x:is>
          <x:t xml:space="preserve"/>
        </x:is>
      </x:c>
      <x:c r="M126" s="24" t="inlineStr">
        <x:is>
          <x:t xml:space="preserve"/>
        </x:is>
      </x:c>
      <x:c r="N126" s="24" t="inlineStr">
        <x:is>
          <x:t xml:space="preserve"/>
        </x:is>
      </x:c>
      <x:c r="O126" s="24" t="inlineStr">
        <x:is>
          <x:t xml:space="preserve"/>
        </x:is>
      </x:c>
      <x:c r="P126" s="24" t="inlineStr">
        <x:is>
          <x:t xml:space="preserve"/>
        </x:is>
      </x:c>
      <x:c r="Q126" s="24" t="inlineStr">
        <x:is>
          <x:t xml:space="preserve"/>
        </x:is>
      </x:c>
      <x:c r="R126" s="24" t="inlineStr">
        <x:is>
          <x:t xml:space="preserve"/>
        </x:is>
      </x:c>
      <x:c r="S126" s="25">
        <x:f>IF(H126="","",IFERROR(H126/G126,""))</x:f>
      </x:c>
      <x:c r="T126" s="26">
        <x:f>IF(H126="","",IFERROR((J126+K126+L126+N126)/H126,""))</x:f>
      </x:c>
      <x:c r="U126" s="25">
        <x:f>IF(COUNTA(J126:L126,N126)=0,"",IFERROR(AVERAGE(J126:L126,N126),""))</x:f>
      </x:c>
      <x:c r="V126" s="17" t="inlineStr">
        <x:is>
          <x:t xml:space="preserve"/>
        </x:is>
      </x:c>
    </x:row>
    <x:row r="127">
      <x:c r="A127" s="16" t="inlineStr">
        <x:is>
          <x:t xml:space="preserve">P011</x:t>
        </x:is>
      </x:c>
      <x:c r="B127" s="16" t="n">
        <x:v>3</x:v>
      </x:c>
      <x:c r="C127" s="16" t="inlineStr">
        <x:is>
          <x:t xml:space="preserve">V08</x:t>
        </x:is>
      </x:c>
      <x:c r="D127" s="16" t="inlineStr">
        <x:is>
          <x:t xml:space="preserve">Coding</x:t>
        </x:is>
      </x:c>
      <x:c r="E127" s="16" t="inlineStr">
        <x:is>
          <x:t xml:space="preserve">Heavy bionic</x:t>
        </x:is>
      </x:c>
      <x:c r="F127" s="16" t="inlineStr">
        <x:is>
          <x:t xml:space="preserve">Audio-on</x:t>
        </x:is>
      </x:c>
      <x:c r="G127" s="21" t="n">
        <x:v>24</x:v>
      </x:c>
      <x:c r="H127" s="21" t="inlineStr">
        <x:is>
          <x:t xml:space="preserve"/>
        </x:is>
      </x:c>
      <x:c r="I127" s="21" t="inlineStr">
        <x:is>
          <x:t xml:space="preserve"/>
        </x:is>
      </x:c>
      <x:c r="J127" s="21" t="inlineStr">
        <x:is>
          <x:t xml:space="preserve"/>
        </x:is>
      </x:c>
      <x:c r="K127" s="21" t="inlineStr">
        <x:is>
          <x:t xml:space="preserve"/>
        </x:is>
      </x:c>
      <x:c r="L127" s="21" t="inlineStr">
        <x:is>
          <x:t xml:space="preserve"/>
        </x:is>
      </x:c>
      <x:c r="M127" s="21" t="inlineStr">
        <x:is>
          <x:t xml:space="preserve"/>
        </x:is>
      </x:c>
      <x:c r="N127" s="21" t="inlineStr">
        <x:is>
          <x:t xml:space="preserve"/>
        </x:is>
      </x:c>
      <x:c r="O127" s="21" t="inlineStr">
        <x:is>
          <x:t xml:space="preserve"/>
        </x:is>
      </x:c>
      <x:c r="P127" s="21" t="inlineStr">
        <x:is>
          <x:t xml:space="preserve"/>
        </x:is>
      </x:c>
      <x:c r="Q127" s="21" t="inlineStr">
        <x:is>
          <x:t xml:space="preserve"/>
        </x:is>
      </x:c>
      <x:c r="R127" s="21" t="inlineStr">
        <x:is>
          <x:t xml:space="preserve"/>
        </x:is>
      </x:c>
      <x:c r="S127" s="22">
        <x:f>IF(H127="","",IFERROR(H127/G127,""))</x:f>
      </x:c>
      <x:c r="T127" s="23">
        <x:f>IF(H127="","",IFERROR((J127+K127+L127+N127)/H127,""))</x:f>
      </x:c>
      <x:c r="U127" s="22">
        <x:f>IF(COUNTA(J127:L127,N127)=0,"",IFERROR(AVERAGE(J127:L127,N127),""))</x:f>
      </x:c>
      <x:c r="V127" s="16" t="inlineStr">
        <x:is>
          <x:t xml:space="preserve"/>
        </x:is>
      </x:c>
    </x:row>
    <x:row r="128">
      <x:c r="A128" s="17" t="inlineStr">
        <x:is>
          <x:t xml:space="preserve">P011</x:t>
        </x:is>
      </x:c>
      <x:c r="B128" s="17" t="n">
        <x:v>4</x:v>
      </x:c>
      <x:c r="C128" s="17" t="inlineStr">
        <x:is>
          <x:t xml:space="preserve">V11</x:t>
        </x:is>
      </x:c>
      <x:c r="D128" s="17" t="inlineStr">
        <x:is>
          <x:t xml:space="preserve">Creator strategy</x:t>
        </x:is>
      </x:c>
      <x:c r="E128" s="17" t="inlineStr">
        <x:is>
          <x:t xml:space="preserve">Semantic compression</x:t>
        </x:is>
      </x:c>
      <x:c r="F128" s="17" t="inlineStr">
        <x:is>
          <x:t xml:space="preserve">Audio-on</x:t>
        </x:is>
      </x:c>
      <x:c r="G128" s="24" t="n">
        <x:v>17</x:v>
      </x:c>
      <x:c r="H128" s="24" t="inlineStr">
        <x:is>
          <x:t xml:space="preserve"/>
        </x:is>
      </x:c>
      <x:c r="I128" s="24" t="inlineStr">
        <x:is>
          <x:t xml:space="preserve"/>
        </x:is>
      </x:c>
      <x:c r="J128" s="24" t="inlineStr">
        <x:is>
          <x:t xml:space="preserve"/>
        </x:is>
      </x:c>
      <x:c r="K128" s="24" t="inlineStr">
        <x:is>
          <x:t xml:space="preserve"/>
        </x:is>
      </x:c>
      <x:c r="L128" s="24" t="inlineStr">
        <x:is>
          <x:t xml:space="preserve"/>
        </x:is>
      </x:c>
      <x:c r="M128" s="24" t="inlineStr">
        <x:is>
          <x:t xml:space="preserve"/>
        </x:is>
      </x:c>
      <x:c r="N128" s="24" t="inlineStr">
        <x:is>
          <x:t xml:space="preserve"/>
        </x:is>
      </x:c>
      <x:c r="O128" s="24" t="inlineStr">
        <x:is>
          <x:t xml:space="preserve"/>
        </x:is>
      </x:c>
      <x:c r="P128" s="24" t="inlineStr">
        <x:is>
          <x:t xml:space="preserve"/>
        </x:is>
      </x:c>
      <x:c r="Q128" s="24" t="inlineStr">
        <x:is>
          <x:t xml:space="preserve"/>
        </x:is>
      </x:c>
      <x:c r="R128" s="24" t="inlineStr">
        <x:is>
          <x:t xml:space="preserve"/>
        </x:is>
      </x:c>
      <x:c r="S128" s="25">
        <x:f>IF(H128="","",IFERROR(H128/G128,""))</x:f>
      </x:c>
      <x:c r="T128" s="26">
        <x:f>IF(H128="","",IFERROR((J128+K128+L128+N128)/H128,""))</x:f>
      </x:c>
      <x:c r="U128" s="25">
        <x:f>IF(COUNTA(J128:L128,N128)=0,"",IFERROR(AVERAGE(J128:L128,N128),""))</x:f>
      </x:c>
      <x:c r="V128" s="17" t="inlineStr">
        <x:is>
          <x:t xml:space="preserve"/>
        </x:is>
      </x:c>
    </x:row>
    <x:row r="129">
      <x:c r="A129" s="16" t="inlineStr">
        <x:is>
          <x:t xml:space="preserve">P011</x:t>
        </x:is>
      </x:c>
      <x:c r="B129" s="16" t="n">
        <x:v>5</x:v>
      </x:c>
      <x:c r="C129" s="16" t="inlineStr">
        <x:is>
          <x:t xml:space="preserve">V09</x:t>
        </x:is>
      </x:c>
      <x:c r="D129" s="16" t="inlineStr">
        <x:is>
          <x:t xml:space="preserve">Sleep habit</x:t>
        </x:is>
      </x:c>
      <x:c r="E129" s="16" t="inlineStr">
        <x:is>
          <x:t xml:space="preserve">Full transcript</x:t>
        </x:is>
      </x:c>
      <x:c r="F129" s="16" t="inlineStr">
        <x:is>
          <x:t xml:space="preserve">Audio-on</x:t>
        </x:is>
      </x:c>
      <x:c r="G129" s="21" t="n">
        <x:v>19</x:v>
      </x:c>
      <x:c r="H129" s="21" t="inlineStr">
        <x:is>
          <x:t xml:space="preserve"/>
        </x:is>
      </x:c>
      <x:c r="I129" s="21" t="inlineStr">
        <x:is>
          <x:t xml:space="preserve"/>
        </x:is>
      </x:c>
      <x:c r="J129" s="21" t="inlineStr">
        <x:is>
          <x:t xml:space="preserve"/>
        </x:is>
      </x:c>
      <x:c r="K129" s="21" t="inlineStr">
        <x:is>
          <x:t xml:space="preserve"/>
        </x:is>
      </x:c>
      <x:c r="L129" s="21" t="inlineStr">
        <x:is>
          <x:t xml:space="preserve"/>
        </x:is>
      </x:c>
      <x:c r="M129" s="21" t="inlineStr">
        <x:is>
          <x:t xml:space="preserve"/>
        </x:is>
      </x:c>
      <x:c r="N129" s="21" t="inlineStr">
        <x:is>
          <x:t xml:space="preserve"/>
        </x:is>
      </x:c>
      <x:c r="O129" s="21" t="inlineStr">
        <x:is>
          <x:t xml:space="preserve"/>
        </x:is>
      </x:c>
      <x:c r="P129" s="21" t="inlineStr">
        <x:is>
          <x:t xml:space="preserve"/>
        </x:is>
      </x:c>
      <x:c r="Q129" s="21" t="inlineStr">
        <x:is>
          <x:t xml:space="preserve"/>
        </x:is>
      </x:c>
      <x:c r="R129" s="21" t="inlineStr">
        <x:is>
          <x:t xml:space="preserve"/>
        </x:is>
      </x:c>
      <x:c r="S129" s="22">
        <x:f>IF(H129="","",IFERROR(H129/G129,""))</x:f>
      </x:c>
      <x:c r="T129" s="23">
        <x:f>IF(H129="","",IFERROR((J129+K129+L129+N129)/H129,""))</x:f>
      </x:c>
      <x:c r="U129" s="22">
        <x:f>IF(COUNTA(J129:L129,N129)=0,"",IFERROR(AVERAGE(J129:L129,N129),""))</x:f>
      </x:c>
      <x:c r="V129" s="16" t="inlineStr">
        <x:is>
          <x:t xml:space="preserve"/>
        </x:is>
      </x:c>
    </x:row>
    <x:row r="130">
      <x:c r="A130" s="17" t="inlineStr">
        <x:is>
          <x:t xml:space="preserve">P011</x:t>
        </x:is>
      </x:c>
      <x:c r="B130" s="17" t="n">
        <x:v>6</x:v>
      </x:c>
      <x:c r="C130" s="17" t="inlineStr">
        <x:is>
          <x:t xml:space="preserve">V04</x:t>
        </x:is>
      </x:c>
      <x:c r="D130" s="17" t="inlineStr">
        <x:is>
          <x:t xml:space="preserve">Finance</x:t>
        </x:is>
      </x:c>
      <x:c r="E130" s="17" t="inlineStr">
        <x:is>
          <x:t xml:space="preserve">Keyword highlight</x:t>
        </x:is>
      </x:c>
      <x:c r="F130" s="17" t="inlineStr">
        <x:is>
          <x:t xml:space="preserve">Audio-on</x:t>
        </x:is>
      </x:c>
      <x:c r="G130" s="24" t="n">
        <x:v>20</x:v>
      </x:c>
      <x:c r="H130" s="24" t="inlineStr">
        <x:is>
          <x:t xml:space="preserve"/>
        </x:is>
      </x:c>
      <x:c r="I130" s="24" t="inlineStr">
        <x:is>
          <x:t xml:space="preserve"/>
        </x:is>
      </x:c>
      <x:c r="J130" s="24" t="inlineStr">
        <x:is>
          <x:t xml:space="preserve"/>
        </x:is>
      </x:c>
      <x:c r="K130" s="24" t="inlineStr">
        <x:is>
          <x:t xml:space="preserve"/>
        </x:is>
      </x:c>
      <x:c r="L130" s="24" t="inlineStr">
        <x:is>
          <x:t xml:space="preserve"/>
        </x:is>
      </x:c>
      <x:c r="M130" s="24" t="inlineStr">
        <x:is>
          <x:t xml:space="preserve"/>
        </x:is>
      </x:c>
      <x:c r="N130" s="24" t="inlineStr">
        <x:is>
          <x:t xml:space="preserve"/>
        </x:is>
      </x:c>
      <x:c r="O130" s="24" t="inlineStr">
        <x:is>
          <x:t xml:space="preserve"/>
        </x:is>
      </x:c>
      <x:c r="P130" s="24" t="inlineStr">
        <x:is>
          <x:t xml:space="preserve"/>
        </x:is>
      </x:c>
      <x:c r="Q130" s="24" t="inlineStr">
        <x:is>
          <x:t xml:space="preserve"/>
        </x:is>
      </x:c>
      <x:c r="R130" s="24" t="inlineStr">
        <x:is>
          <x:t xml:space="preserve"/>
        </x:is>
      </x:c>
      <x:c r="S130" s="25">
        <x:f>IF(H130="","",IFERROR(H130/G130,""))</x:f>
      </x:c>
      <x:c r="T130" s="26">
        <x:f>IF(H130="","",IFERROR((J130+K130+L130+N130)/H130,""))</x:f>
      </x:c>
      <x:c r="U130" s="25">
        <x:f>IF(COUNTA(J130:L130,N130)=0,"",IFERROR(AVERAGE(J130:L130,N130),""))</x:f>
      </x:c>
      <x:c r="V130" s="17" t="inlineStr">
        <x:is>
          <x:t xml:space="preserve"/>
        </x:is>
      </x:c>
    </x:row>
    <x:row r="131">
      <x:c r="A131" s="16" t="inlineStr">
        <x:is>
          <x:t xml:space="preserve">P011</x:t>
        </x:is>
      </x:c>
      <x:c r="B131" s="16" t="n">
        <x:v>7</x:v>
      </x:c>
      <x:c r="C131" s="16" t="inlineStr">
        <x:is>
          <x:t xml:space="preserve">V12</x:t>
        </x:is>
      </x:c>
      <x:c r="D131" s="16" t="inlineStr">
        <x:is>
          <x:t xml:space="preserve">Time management</x:t>
        </x:is>
      </x:c>
      <x:c r="E131" s="16" t="inlineStr">
        <x:is>
          <x:t xml:space="preserve">BCC</x:t>
        </x:is>
      </x:c>
      <x:c r="F131" s="16" t="inlineStr">
        <x:is>
          <x:t xml:space="preserve">Audio-on</x:t>
        </x:is>
      </x:c>
      <x:c r="G131" s="21" t="n">
        <x:v>21</x:v>
      </x:c>
      <x:c r="H131" s="21" t="inlineStr">
        <x:is>
          <x:t xml:space="preserve"/>
        </x:is>
      </x:c>
      <x:c r="I131" s="21" t="inlineStr">
        <x:is>
          <x:t xml:space="preserve"/>
        </x:is>
      </x:c>
      <x:c r="J131" s="21" t="inlineStr">
        <x:is>
          <x:t xml:space="preserve"/>
        </x:is>
      </x:c>
      <x:c r="K131" s="21" t="inlineStr">
        <x:is>
          <x:t xml:space="preserve"/>
        </x:is>
      </x:c>
      <x:c r="L131" s="21" t="inlineStr">
        <x:is>
          <x:t xml:space="preserve"/>
        </x:is>
      </x:c>
      <x:c r="M131" s="21" t="inlineStr">
        <x:is>
          <x:t xml:space="preserve"/>
        </x:is>
      </x:c>
      <x:c r="N131" s="21" t="inlineStr">
        <x:is>
          <x:t xml:space="preserve"/>
        </x:is>
      </x:c>
      <x:c r="O131" s="21" t="inlineStr">
        <x:is>
          <x:t xml:space="preserve"/>
        </x:is>
      </x:c>
      <x:c r="P131" s="21" t="inlineStr">
        <x:is>
          <x:t xml:space="preserve"/>
        </x:is>
      </x:c>
      <x:c r="Q131" s="21" t="inlineStr">
        <x:is>
          <x:t xml:space="preserve"/>
        </x:is>
      </x:c>
      <x:c r="R131" s="21" t="inlineStr">
        <x:is>
          <x:t xml:space="preserve"/>
        </x:is>
      </x:c>
      <x:c r="S131" s="22">
        <x:f>IF(H131="","",IFERROR(H131/G131,""))</x:f>
      </x:c>
      <x:c r="T131" s="23">
        <x:f>IF(H131="","",IFERROR((J131+K131+L131+N131)/H131,""))</x:f>
      </x:c>
      <x:c r="U131" s="22">
        <x:f>IF(COUNTA(J131:L131,N131)=0,"",IFERROR(AVERAGE(J131:L131,N131),""))</x:f>
      </x:c>
      <x:c r="V131" s="16" t="inlineStr">
        <x:is>
          <x:t xml:space="preserve"/>
        </x:is>
      </x:c>
    </x:row>
    <x:row r="132">
      <x:c r="A132" s="17" t="inlineStr">
        <x:is>
          <x:t xml:space="preserve">P011</x:t>
        </x:is>
      </x:c>
      <x:c r="B132" s="17" t="n">
        <x:v>8</x:v>
      </x:c>
      <x:c r="C132" s="17" t="inlineStr">
        <x:is>
          <x:t xml:space="preserve">V03</x:t>
        </x:is>
      </x:c>
      <x:c r="D132" s="17" t="inlineStr">
        <x:is>
          <x:t xml:space="preserve">Fitness</x:t>
        </x:is>
      </x:c>
      <x:c r="E132" s="17" t="inlineStr">
        <x:is>
          <x:t xml:space="preserve">Full transcript</x:t>
        </x:is>
      </x:c>
      <x:c r="F132" s="17" t="inlineStr">
        <x:is>
          <x:t xml:space="preserve">Audio-on</x:t>
        </x:is>
      </x:c>
      <x:c r="G132" s="24" t="n">
        <x:v>18</x:v>
      </x:c>
      <x:c r="H132" s="24" t="inlineStr">
        <x:is>
          <x:t xml:space="preserve"/>
        </x:is>
      </x:c>
      <x:c r="I132" s="24" t="inlineStr">
        <x:is>
          <x:t xml:space="preserve"/>
        </x:is>
      </x:c>
      <x:c r="J132" s="24" t="inlineStr">
        <x:is>
          <x:t xml:space="preserve"/>
        </x:is>
      </x:c>
      <x:c r="K132" s="24" t="inlineStr">
        <x:is>
          <x:t xml:space="preserve"/>
        </x:is>
      </x:c>
      <x:c r="L132" s="24" t="inlineStr">
        <x:is>
          <x:t xml:space="preserve"/>
        </x:is>
      </x:c>
      <x:c r="M132" s="24" t="inlineStr">
        <x:is>
          <x:t xml:space="preserve"/>
        </x:is>
      </x:c>
      <x:c r="N132" s="24" t="inlineStr">
        <x:is>
          <x:t xml:space="preserve"/>
        </x:is>
      </x:c>
      <x:c r="O132" s="24" t="inlineStr">
        <x:is>
          <x:t xml:space="preserve"/>
        </x:is>
      </x:c>
      <x:c r="P132" s="24" t="inlineStr">
        <x:is>
          <x:t xml:space="preserve"/>
        </x:is>
      </x:c>
      <x:c r="Q132" s="24" t="inlineStr">
        <x:is>
          <x:t xml:space="preserve"/>
        </x:is>
      </x:c>
      <x:c r="R132" s="24" t="inlineStr">
        <x:is>
          <x:t xml:space="preserve"/>
        </x:is>
      </x:c>
      <x:c r="S132" s="25">
        <x:f>IF(H132="","",IFERROR(H132/G132,""))</x:f>
      </x:c>
      <x:c r="T132" s="26">
        <x:f>IF(H132="","",IFERROR((J132+K132+L132+N132)/H132,""))</x:f>
      </x:c>
      <x:c r="U132" s="25">
        <x:f>IF(COUNTA(J132:L132,N132)=0,"",IFERROR(AVERAGE(J132:L132,N132),""))</x:f>
      </x:c>
      <x:c r="V132" s="17" t="inlineStr">
        <x:is>
          <x:t xml:space="preserve"/>
        </x:is>
      </x:c>
    </x:row>
    <x:row r="133">
      <x:c r="A133" s="16" t="inlineStr">
        <x:is>
          <x:t xml:space="preserve">P011</x:t>
        </x:is>
      </x:c>
      <x:c r="B133" s="16" t="n">
        <x:v>9</x:v>
      </x:c>
      <x:c r="C133" s="16" t="inlineStr">
        <x:is>
          <x:t xml:space="preserve">V07</x:t>
        </x:is>
      </x:c>
      <x:c r="D133" s="16" t="inlineStr">
        <x:is>
          <x:t xml:space="preserve">Business</x:t>
        </x:is>
      </x:c>
      <x:c r="E133" s="16" t="inlineStr">
        <x:is>
          <x:t xml:space="preserve">BCC+</x:t>
        </x:is>
      </x:c>
      <x:c r="F133" s="16" t="inlineStr">
        <x:is>
          <x:t xml:space="preserve">Audio-on</x:t>
        </x:is>
      </x:c>
      <x:c r="G133" s="21" t="n">
        <x:v>18</x:v>
      </x:c>
      <x:c r="H133" s="21" t="inlineStr">
        <x:is>
          <x:t xml:space="preserve"/>
        </x:is>
      </x:c>
      <x:c r="I133" s="21" t="inlineStr">
        <x:is>
          <x:t xml:space="preserve"/>
        </x:is>
      </x:c>
      <x:c r="J133" s="21" t="inlineStr">
        <x:is>
          <x:t xml:space="preserve"/>
        </x:is>
      </x:c>
      <x:c r="K133" s="21" t="inlineStr">
        <x:is>
          <x:t xml:space="preserve"/>
        </x:is>
      </x:c>
      <x:c r="L133" s="21" t="inlineStr">
        <x:is>
          <x:t xml:space="preserve"/>
        </x:is>
      </x:c>
      <x:c r="M133" s="21" t="inlineStr">
        <x:is>
          <x:t xml:space="preserve"/>
        </x:is>
      </x:c>
      <x:c r="N133" s="21" t="inlineStr">
        <x:is>
          <x:t xml:space="preserve"/>
        </x:is>
      </x:c>
      <x:c r="O133" s="21" t="inlineStr">
        <x:is>
          <x:t xml:space="preserve"/>
        </x:is>
      </x:c>
      <x:c r="P133" s="21" t="inlineStr">
        <x:is>
          <x:t xml:space="preserve"/>
        </x:is>
      </x:c>
      <x:c r="Q133" s="21" t="inlineStr">
        <x:is>
          <x:t xml:space="preserve"/>
        </x:is>
      </x:c>
      <x:c r="R133" s="21" t="inlineStr">
        <x:is>
          <x:t xml:space="preserve"/>
        </x:is>
      </x:c>
      <x:c r="S133" s="22">
        <x:f>IF(H133="","",IFERROR(H133/G133,""))</x:f>
      </x:c>
      <x:c r="T133" s="23">
        <x:f>IF(H133="","",IFERROR((J133+K133+L133+N133)/H133,""))</x:f>
      </x:c>
      <x:c r="U133" s="22">
        <x:f>IF(COUNTA(J133:L133,N133)=0,"",IFERROR(AVERAGE(J133:L133,N133),""))</x:f>
      </x:c>
      <x:c r="V133" s="16" t="inlineStr">
        <x:is>
          <x:t xml:space="preserve"/>
        </x:is>
      </x:c>
    </x:row>
    <x:row r="134">
      <x:c r="A134" s="17" t="inlineStr">
        <x:is>
          <x:t xml:space="preserve">P011</x:t>
        </x:is>
      </x:c>
      <x:c r="B134" s="17" t="n">
        <x:v>10</x:v>
      </x:c>
      <x:c r="C134" s="17" t="inlineStr">
        <x:is>
          <x:t xml:space="preserve">V01</x:t>
        </x:is>
      </x:c>
      <x:c r="D134" s="17" t="inlineStr">
        <x:is>
          <x:t xml:space="preserve">Productivity</x:t>
        </x:is>
      </x:c>
      <x:c r="E134" s="17" t="inlineStr">
        <x:is>
          <x:t xml:space="preserve">BCC+</x:t>
        </x:is>
      </x:c>
      <x:c r="F134" s="17" t="inlineStr">
        <x:is>
          <x:t xml:space="preserve">Audio-on</x:t>
        </x:is>
      </x:c>
      <x:c r="G134" s="24" t="n">
        <x:v>25</x:v>
      </x:c>
      <x:c r="H134" s="24" t="inlineStr">
        <x:is>
          <x:t xml:space="preserve"/>
        </x:is>
      </x:c>
      <x:c r="I134" s="24" t="inlineStr">
        <x:is>
          <x:t xml:space="preserve"/>
        </x:is>
      </x:c>
      <x:c r="J134" s="24" t="inlineStr">
        <x:is>
          <x:t xml:space="preserve"/>
        </x:is>
      </x:c>
      <x:c r="K134" s="24" t="inlineStr">
        <x:is>
          <x:t xml:space="preserve"/>
        </x:is>
      </x:c>
      <x:c r="L134" s="24" t="inlineStr">
        <x:is>
          <x:t xml:space="preserve"/>
        </x:is>
      </x:c>
      <x:c r="M134" s="24" t="inlineStr">
        <x:is>
          <x:t xml:space="preserve"/>
        </x:is>
      </x:c>
      <x:c r="N134" s="24" t="inlineStr">
        <x:is>
          <x:t xml:space="preserve"/>
        </x:is>
      </x:c>
      <x:c r="O134" s="24" t="inlineStr">
        <x:is>
          <x:t xml:space="preserve"/>
        </x:is>
      </x:c>
      <x:c r="P134" s="24" t="inlineStr">
        <x:is>
          <x:t xml:space="preserve"/>
        </x:is>
      </x:c>
      <x:c r="Q134" s="24" t="inlineStr">
        <x:is>
          <x:t xml:space="preserve"/>
        </x:is>
      </x:c>
      <x:c r="R134" s="24" t="inlineStr">
        <x:is>
          <x:t xml:space="preserve"/>
        </x:is>
      </x:c>
      <x:c r="S134" s="25">
        <x:f>IF(H134="","",IFERROR(H134/G134,""))</x:f>
      </x:c>
      <x:c r="T134" s="26">
        <x:f>IF(H134="","",IFERROR((J134+K134+L134+N134)/H134,""))</x:f>
      </x:c>
      <x:c r="U134" s="25">
        <x:f>IF(COUNTA(J134:L134,N134)=0,"",IFERROR(AVERAGE(J134:L134,N134),""))</x:f>
      </x:c>
      <x:c r="V134" s="17" t="inlineStr">
        <x:is>
          <x:t xml:space="preserve"/>
        </x:is>
      </x:c>
    </x:row>
    <x:row r="135">
      <x:c r="A135" s="16" t="inlineStr">
        <x:is>
          <x:t xml:space="preserve">P011</x:t>
        </x:is>
      </x:c>
      <x:c r="B135" s="16" t="n">
        <x:v>11</x:v>
      </x:c>
      <x:c r="C135" s="16" t="inlineStr">
        <x:is>
          <x:t xml:space="preserve">V05</x:t>
        </x:is>
      </x:c>
      <x:c r="D135" s="16" t="inlineStr">
        <x:is>
          <x:t xml:space="preserve">Tutorial</x:t>
        </x:is>
      </x:c>
      <x:c r="E135" s="16" t="inlineStr">
        <x:is>
          <x:t xml:space="preserve">Semantic compression</x:t>
        </x:is>
      </x:c>
      <x:c r="F135" s="16" t="inlineStr">
        <x:is>
          <x:t xml:space="preserve">Audio-on</x:t>
        </x:is>
      </x:c>
      <x:c r="G135" s="21" t="n">
        <x:v>20</x:v>
      </x:c>
      <x:c r="H135" s="21" t="inlineStr">
        <x:is>
          <x:t xml:space="preserve"/>
        </x:is>
      </x:c>
      <x:c r="I135" s="21" t="inlineStr">
        <x:is>
          <x:t xml:space="preserve"/>
        </x:is>
      </x:c>
      <x:c r="J135" s="21" t="inlineStr">
        <x:is>
          <x:t xml:space="preserve"/>
        </x:is>
      </x:c>
      <x:c r="K135" s="21" t="inlineStr">
        <x:is>
          <x:t xml:space="preserve"/>
        </x:is>
      </x:c>
      <x:c r="L135" s="21" t="inlineStr">
        <x:is>
          <x:t xml:space="preserve"/>
        </x:is>
      </x:c>
      <x:c r="M135" s="21" t="inlineStr">
        <x:is>
          <x:t xml:space="preserve"/>
        </x:is>
      </x:c>
      <x:c r="N135" s="21" t="inlineStr">
        <x:is>
          <x:t xml:space="preserve"/>
        </x:is>
      </x:c>
      <x:c r="O135" s="21" t="inlineStr">
        <x:is>
          <x:t xml:space="preserve"/>
        </x:is>
      </x:c>
      <x:c r="P135" s="21" t="inlineStr">
        <x:is>
          <x:t xml:space="preserve"/>
        </x:is>
      </x:c>
      <x:c r="Q135" s="21" t="inlineStr">
        <x:is>
          <x:t xml:space="preserve"/>
        </x:is>
      </x:c>
      <x:c r="R135" s="21" t="inlineStr">
        <x:is>
          <x:t xml:space="preserve"/>
        </x:is>
      </x:c>
      <x:c r="S135" s="22">
        <x:f>IF(H135="","",IFERROR(H135/G135,""))</x:f>
      </x:c>
      <x:c r="T135" s="23">
        <x:f>IF(H135="","",IFERROR((J135+K135+L135+N135)/H135,""))</x:f>
      </x:c>
      <x:c r="U135" s="22">
        <x:f>IF(COUNTA(J135:L135,N135)=0,"",IFERROR(AVERAGE(J135:L135,N135),""))</x:f>
      </x:c>
      <x:c r="V135" s="16" t="inlineStr">
        <x:is>
          <x:t xml:space="preserve"/>
        </x:is>
      </x:c>
    </x:row>
    <x:row r="136">
      <x:c r="A136" s="17" t="inlineStr">
        <x:is>
          <x:t xml:space="preserve">P011</x:t>
        </x:is>
      </x:c>
      <x:c r="B136" s="17" t="n">
        <x:v>12</x:v>
      </x:c>
      <x:c r="C136" s="17" t="inlineStr">
        <x:is>
          <x:t xml:space="preserve">V06</x:t>
        </x:is>
      </x:c>
      <x:c r="D136" s="17" t="inlineStr">
        <x:is>
          <x:t xml:space="preserve">Overload</x:t>
        </x:is>
      </x:c>
      <x:c r="E136" s="17" t="inlineStr">
        <x:is>
          <x:t xml:space="preserve">BCC</x:t>
        </x:is>
      </x:c>
      <x:c r="F136" s="17" t="inlineStr">
        <x:is>
          <x:t xml:space="preserve">Audio-on</x:t>
        </x:is>
      </x:c>
      <x:c r="G136" s="24" t="n">
        <x:v>16</x:v>
      </x:c>
      <x:c r="H136" s="24" t="inlineStr">
        <x:is>
          <x:t xml:space="preserve"/>
        </x:is>
      </x:c>
      <x:c r="I136" s="24" t="inlineStr">
        <x:is>
          <x:t xml:space="preserve"/>
        </x:is>
      </x:c>
      <x:c r="J136" s="24" t="inlineStr">
        <x:is>
          <x:t xml:space="preserve"/>
        </x:is>
      </x:c>
      <x:c r="K136" s="24" t="inlineStr">
        <x:is>
          <x:t xml:space="preserve"/>
        </x:is>
      </x:c>
      <x:c r="L136" s="24" t="inlineStr">
        <x:is>
          <x:t xml:space="preserve"/>
        </x:is>
      </x:c>
      <x:c r="M136" s="24" t="inlineStr">
        <x:is>
          <x:t xml:space="preserve"/>
        </x:is>
      </x:c>
      <x:c r="N136" s="24" t="inlineStr">
        <x:is>
          <x:t xml:space="preserve"/>
        </x:is>
      </x:c>
      <x:c r="O136" s="24" t="inlineStr">
        <x:is>
          <x:t xml:space="preserve"/>
        </x:is>
      </x:c>
      <x:c r="P136" s="24" t="inlineStr">
        <x:is>
          <x:t xml:space="preserve"/>
        </x:is>
      </x:c>
      <x:c r="Q136" s="24" t="inlineStr">
        <x:is>
          <x:t xml:space="preserve"/>
        </x:is>
      </x:c>
      <x:c r="R136" s="24" t="inlineStr">
        <x:is>
          <x:t xml:space="preserve"/>
        </x:is>
      </x:c>
      <x:c r="S136" s="25">
        <x:f>IF(H136="","",IFERROR(H136/G136,""))</x:f>
      </x:c>
      <x:c r="T136" s="26">
        <x:f>IF(H136="","",IFERROR((J136+K136+L136+N136)/H136,""))</x:f>
      </x:c>
      <x:c r="U136" s="25">
        <x:f>IF(COUNTA(J136:L136,N136)=0,"",IFERROR(AVERAGE(J136:L136,N136),""))</x:f>
      </x:c>
      <x:c r="V136" s="17" t="inlineStr">
        <x:is>
          <x:t xml:space="preserve"/>
        </x:is>
      </x:c>
    </x:row>
    <x:row r="137">
      <x:c r="A137" s="16" t="inlineStr">
        <x:is>
          <x:t xml:space="preserve">P012</x:t>
        </x:is>
      </x:c>
      <x:c r="B137" s="16" t="n">
        <x:v>1</x:v>
      </x:c>
      <x:c r="C137" s="16" t="inlineStr">
        <x:is>
          <x:t xml:space="preserve">V12</x:t>
        </x:is>
      </x:c>
      <x:c r="D137" s="16" t="inlineStr">
        <x:is>
          <x:t xml:space="preserve">Time management</x:t>
        </x:is>
      </x:c>
      <x:c r="E137" s="16" t="inlineStr">
        <x:is>
          <x:t xml:space="preserve">BCC+</x:t>
        </x:is>
      </x:c>
      <x:c r="F137" s="16" t="inlineStr">
        <x:is>
          <x:t xml:space="preserve">Audio-on</x:t>
        </x:is>
      </x:c>
      <x:c r="G137" s="21" t="n">
        <x:v>21</x:v>
      </x:c>
      <x:c r="H137" s="21" t="inlineStr">
        <x:is>
          <x:t xml:space="preserve"/>
        </x:is>
      </x:c>
      <x:c r="I137" s="21" t="inlineStr">
        <x:is>
          <x:t xml:space="preserve"/>
        </x:is>
      </x:c>
      <x:c r="J137" s="21" t="inlineStr">
        <x:is>
          <x:t xml:space="preserve"/>
        </x:is>
      </x:c>
      <x:c r="K137" s="21" t="inlineStr">
        <x:is>
          <x:t xml:space="preserve"/>
        </x:is>
      </x:c>
      <x:c r="L137" s="21" t="inlineStr">
        <x:is>
          <x:t xml:space="preserve"/>
        </x:is>
      </x:c>
      <x:c r="M137" s="21" t="inlineStr">
        <x:is>
          <x:t xml:space="preserve"/>
        </x:is>
      </x:c>
      <x:c r="N137" s="21" t="inlineStr">
        <x:is>
          <x:t xml:space="preserve"/>
        </x:is>
      </x:c>
      <x:c r="O137" s="21" t="inlineStr">
        <x:is>
          <x:t xml:space="preserve"/>
        </x:is>
      </x:c>
      <x:c r="P137" s="21" t="inlineStr">
        <x:is>
          <x:t xml:space="preserve"/>
        </x:is>
      </x:c>
      <x:c r="Q137" s="21" t="inlineStr">
        <x:is>
          <x:t xml:space="preserve"/>
        </x:is>
      </x:c>
      <x:c r="R137" s="21" t="inlineStr">
        <x:is>
          <x:t xml:space="preserve"/>
        </x:is>
      </x:c>
      <x:c r="S137" s="22">
        <x:f>IF(H137="","",IFERROR(H137/G137,""))</x:f>
      </x:c>
      <x:c r="T137" s="23">
        <x:f>IF(H137="","",IFERROR((J137+K137+L137+N137)/H137,""))</x:f>
      </x:c>
      <x:c r="U137" s="22">
        <x:f>IF(COUNTA(J137:L137,N137)=0,"",IFERROR(AVERAGE(J137:L137,N137),""))</x:f>
      </x:c>
      <x:c r="V137" s="16" t="inlineStr">
        <x:is>
          <x:t xml:space="preserve"/>
        </x:is>
      </x:c>
    </x:row>
    <x:row r="138">
      <x:c r="A138" s="17" t="inlineStr">
        <x:is>
          <x:t xml:space="preserve">P012</x:t>
        </x:is>
      </x:c>
      <x:c r="B138" s="17" t="n">
        <x:v>2</x:v>
      </x:c>
      <x:c r="C138" s="17" t="inlineStr">
        <x:is>
          <x:t xml:space="preserve">V02</x:t>
        </x:is>
      </x:c>
      <x:c r="D138" s="17" t="inlineStr">
        <x:is>
          <x:t xml:space="preserve">Study</x:t>
        </x:is>
      </x:c>
      <x:c r="E138" s="17" t="inlineStr">
        <x:is>
          <x:t xml:space="preserve">Full transcript</x:t>
        </x:is>
      </x:c>
      <x:c r="F138" s="17" t="inlineStr">
        <x:is>
          <x:t xml:space="preserve">Audio-on</x:t>
        </x:is>
      </x:c>
      <x:c r="G138" s="24" t="n">
        <x:v>18</x:v>
      </x:c>
      <x:c r="H138" s="24" t="inlineStr">
        <x:is>
          <x:t xml:space="preserve"/>
        </x:is>
      </x:c>
      <x:c r="I138" s="24" t="inlineStr">
        <x:is>
          <x:t xml:space="preserve"/>
        </x:is>
      </x:c>
      <x:c r="J138" s="24" t="inlineStr">
        <x:is>
          <x:t xml:space="preserve"/>
        </x:is>
      </x:c>
      <x:c r="K138" s="24" t="inlineStr">
        <x:is>
          <x:t xml:space="preserve"/>
        </x:is>
      </x:c>
      <x:c r="L138" s="24" t="inlineStr">
        <x:is>
          <x:t xml:space="preserve"/>
        </x:is>
      </x:c>
      <x:c r="M138" s="24" t="inlineStr">
        <x:is>
          <x:t xml:space="preserve"/>
        </x:is>
      </x:c>
      <x:c r="N138" s="24" t="inlineStr">
        <x:is>
          <x:t xml:space="preserve"/>
        </x:is>
      </x:c>
      <x:c r="O138" s="24" t="inlineStr">
        <x:is>
          <x:t xml:space="preserve"/>
        </x:is>
      </x:c>
      <x:c r="P138" s="24" t="inlineStr">
        <x:is>
          <x:t xml:space="preserve"/>
        </x:is>
      </x:c>
      <x:c r="Q138" s="24" t="inlineStr">
        <x:is>
          <x:t xml:space="preserve"/>
        </x:is>
      </x:c>
      <x:c r="R138" s="24" t="inlineStr">
        <x:is>
          <x:t xml:space="preserve"/>
        </x:is>
      </x:c>
      <x:c r="S138" s="25">
        <x:f>IF(H138="","",IFERROR(H138/G138,""))</x:f>
      </x:c>
      <x:c r="T138" s="26">
        <x:f>IF(H138="","",IFERROR((J138+K138+L138+N138)/H138,""))</x:f>
      </x:c>
      <x:c r="U138" s="25">
        <x:f>IF(COUNTA(J138:L138,N138)=0,"",IFERROR(AVERAGE(J138:L138,N138),""))</x:f>
      </x:c>
      <x:c r="V138" s="17" t="inlineStr">
        <x:is>
          <x:t xml:space="preserve"/>
        </x:is>
      </x:c>
    </x:row>
    <x:row r="139">
      <x:c r="A139" s="16" t="inlineStr">
        <x:is>
          <x:t xml:space="preserve">P012</x:t>
        </x:is>
      </x:c>
      <x:c r="B139" s="16" t="n">
        <x:v>3</x:v>
      </x:c>
      <x:c r="C139" s="16" t="inlineStr">
        <x:is>
          <x:t xml:space="preserve">V08</x:t>
        </x:is>
      </x:c>
      <x:c r="D139" s="16" t="inlineStr">
        <x:is>
          <x:t xml:space="preserve">Coding</x:t>
        </x:is>
      </x:c>
      <x:c r="E139" s="16" t="inlineStr">
        <x:is>
          <x:t xml:space="preserve">Full transcript</x:t>
        </x:is>
      </x:c>
      <x:c r="F139" s="16" t="inlineStr">
        <x:is>
          <x:t xml:space="preserve">Audio-on</x:t>
        </x:is>
      </x:c>
      <x:c r="G139" s="21" t="n">
        <x:v>24</x:v>
      </x:c>
      <x:c r="H139" s="21" t="inlineStr">
        <x:is>
          <x:t xml:space="preserve"/>
        </x:is>
      </x:c>
      <x:c r="I139" s="21" t="inlineStr">
        <x:is>
          <x:t xml:space="preserve"/>
        </x:is>
      </x:c>
      <x:c r="J139" s="21" t="inlineStr">
        <x:is>
          <x:t xml:space="preserve"/>
        </x:is>
      </x:c>
      <x:c r="K139" s="21" t="inlineStr">
        <x:is>
          <x:t xml:space="preserve"/>
        </x:is>
      </x:c>
      <x:c r="L139" s="21" t="inlineStr">
        <x:is>
          <x:t xml:space="preserve"/>
        </x:is>
      </x:c>
      <x:c r="M139" s="21" t="inlineStr">
        <x:is>
          <x:t xml:space="preserve"/>
        </x:is>
      </x:c>
      <x:c r="N139" s="21" t="inlineStr">
        <x:is>
          <x:t xml:space="preserve"/>
        </x:is>
      </x:c>
      <x:c r="O139" s="21" t="inlineStr">
        <x:is>
          <x:t xml:space="preserve"/>
        </x:is>
      </x:c>
      <x:c r="P139" s="21" t="inlineStr">
        <x:is>
          <x:t xml:space="preserve"/>
        </x:is>
      </x:c>
      <x:c r="Q139" s="21" t="inlineStr">
        <x:is>
          <x:t xml:space="preserve"/>
        </x:is>
      </x:c>
      <x:c r="R139" s="21" t="inlineStr">
        <x:is>
          <x:t xml:space="preserve"/>
        </x:is>
      </x:c>
      <x:c r="S139" s="22">
        <x:f>IF(H139="","",IFERROR(H139/G139,""))</x:f>
      </x:c>
      <x:c r="T139" s="23">
        <x:f>IF(H139="","",IFERROR((J139+K139+L139+N139)/H139,""))</x:f>
      </x:c>
      <x:c r="U139" s="22">
        <x:f>IF(COUNTA(J139:L139,N139)=0,"",IFERROR(AVERAGE(J139:L139,N139),""))</x:f>
      </x:c>
      <x:c r="V139" s="16" t="inlineStr">
        <x:is>
          <x:t xml:space="preserve"/>
        </x:is>
      </x:c>
    </x:row>
    <x:row r="140">
      <x:c r="A140" s="17" t="inlineStr">
        <x:is>
          <x:t xml:space="preserve">P012</x:t>
        </x:is>
      </x:c>
      <x:c r="B140" s="17" t="n">
        <x:v>4</x:v>
      </x:c>
      <x:c r="C140" s="17" t="inlineStr">
        <x:is>
          <x:t xml:space="preserve">V09</x:t>
        </x:is>
      </x:c>
      <x:c r="D140" s="17" t="inlineStr">
        <x:is>
          <x:t xml:space="preserve">Sleep habit</x:t>
        </x:is>
      </x:c>
      <x:c r="E140" s="17" t="inlineStr">
        <x:is>
          <x:t xml:space="preserve">Keyword highlight</x:t>
        </x:is>
      </x:c>
      <x:c r="F140" s="17" t="inlineStr">
        <x:is>
          <x:t xml:space="preserve">Audio-on</x:t>
        </x:is>
      </x:c>
      <x:c r="G140" s="24" t="n">
        <x:v>19</x:v>
      </x:c>
      <x:c r="H140" s="24" t="inlineStr">
        <x:is>
          <x:t xml:space="preserve"/>
        </x:is>
      </x:c>
      <x:c r="I140" s="24" t="inlineStr">
        <x:is>
          <x:t xml:space="preserve"/>
        </x:is>
      </x:c>
      <x:c r="J140" s="24" t="inlineStr">
        <x:is>
          <x:t xml:space="preserve"/>
        </x:is>
      </x:c>
      <x:c r="K140" s="24" t="inlineStr">
        <x:is>
          <x:t xml:space="preserve"/>
        </x:is>
      </x:c>
      <x:c r="L140" s="24" t="inlineStr">
        <x:is>
          <x:t xml:space="preserve"/>
        </x:is>
      </x:c>
      <x:c r="M140" s="24" t="inlineStr">
        <x:is>
          <x:t xml:space="preserve"/>
        </x:is>
      </x:c>
      <x:c r="N140" s="24" t="inlineStr">
        <x:is>
          <x:t xml:space="preserve"/>
        </x:is>
      </x:c>
      <x:c r="O140" s="24" t="inlineStr">
        <x:is>
          <x:t xml:space="preserve"/>
        </x:is>
      </x:c>
      <x:c r="P140" s="24" t="inlineStr">
        <x:is>
          <x:t xml:space="preserve"/>
        </x:is>
      </x:c>
      <x:c r="Q140" s="24" t="inlineStr">
        <x:is>
          <x:t xml:space="preserve"/>
        </x:is>
      </x:c>
      <x:c r="R140" s="24" t="inlineStr">
        <x:is>
          <x:t xml:space="preserve"/>
        </x:is>
      </x:c>
      <x:c r="S140" s="25">
        <x:f>IF(H140="","",IFERROR(H140/G140,""))</x:f>
      </x:c>
      <x:c r="T140" s="26">
        <x:f>IF(H140="","",IFERROR((J140+K140+L140+N140)/H140,""))</x:f>
      </x:c>
      <x:c r="U140" s="25">
        <x:f>IF(COUNTA(J140:L140,N140)=0,"",IFERROR(AVERAGE(J140:L140,N140),""))</x:f>
      </x:c>
      <x:c r="V140" s="17" t="inlineStr">
        <x:is>
          <x:t xml:space="preserve"/>
        </x:is>
      </x:c>
    </x:row>
    <x:row r="141">
      <x:c r="A141" s="16" t="inlineStr">
        <x:is>
          <x:t xml:space="preserve">P012</x:t>
        </x:is>
      </x:c>
      <x:c r="B141" s="16" t="n">
        <x:v>5</x:v>
      </x:c>
      <x:c r="C141" s="16" t="inlineStr">
        <x:is>
          <x:t xml:space="preserve">V10</x:t>
        </x:is>
      </x:c>
      <x:c r="D141" s="16" t="inlineStr">
        <x:is>
          <x:t xml:space="preserve">Product demo</x:t>
        </x:is>
      </x:c>
      <x:c r="E141" s="16" t="inlineStr">
        <x:is>
          <x:t xml:space="preserve">Semantic compression</x:t>
        </x:is>
      </x:c>
      <x:c r="F141" s="16" t="inlineStr">
        <x:is>
          <x:t xml:space="preserve">Audio-on</x:t>
        </x:is>
      </x:c>
      <x:c r="G141" s="21" t="n">
        <x:v>15</x:v>
      </x:c>
      <x:c r="H141" s="21" t="inlineStr">
        <x:is>
          <x:t xml:space="preserve"/>
        </x:is>
      </x:c>
      <x:c r="I141" s="21" t="inlineStr">
        <x:is>
          <x:t xml:space="preserve"/>
        </x:is>
      </x:c>
      <x:c r="J141" s="21" t="inlineStr">
        <x:is>
          <x:t xml:space="preserve"/>
        </x:is>
      </x:c>
      <x:c r="K141" s="21" t="inlineStr">
        <x:is>
          <x:t xml:space="preserve"/>
        </x:is>
      </x:c>
      <x:c r="L141" s="21" t="inlineStr">
        <x:is>
          <x:t xml:space="preserve"/>
        </x:is>
      </x:c>
      <x:c r="M141" s="21" t="inlineStr">
        <x:is>
          <x:t xml:space="preserve"/>
        </x:is>
      </x:c>
      <x:c r="N141" s="21" t="inlineStr">
        <x:is>
          <x:t xml:space="preserve"/>
        </x:is>
      </x:c>
      <x:c r="O141" s="21" t="inlineStr">
        <x:is>
          <x:t xml:space="preserve"/>
        </x:is>
      </x:c>
      <x:c r="P141" s="21" t="inlineStr">
        <x:is>
          <x:t xml:space="preserve"/>
        </x:is>
      </x:c>
      <x:c r="Q141" s="21" t="inlineStr">
        <x:is>
          <x:t xml:space="preserve"/>
        </x:is>
      </x:c>
      <x:c r="R141" s="21" t="inlineStr">
        <x:is>
          <x:t xml:space="preserve"/>
        </x:is>
      </x:c>
      <x:c r="S141" s="22">
        <x:f>IF(H141="","",IFERROR(H141/G141,""))</x:f>
      </x:c>
      <x:c r="T141" s="23">
        <x:f>IF(H141="","",IFERROR((J141+K141+L141+N141)/H141,""))</x:f>
      </x:c>
      <x:c r="U141" s="22">
        <x:f>IF(COUNTA(J141:L141,N141)=0,"",IFERROR(AVERAGE(J141:L141,N141),""))</x:f>
      </x:c>
      <x:c r="V141" s="16" t="inlineStr">
        <x:is>
          <x:t xml:space="preserve"/>
        </x:is>
      </x:c>
    </x:row>
    <x:row r="142">
      <x:c r="A142" s="17" t="inlineStr">
        <x:is>
          <x:t xml:space="preserve">P012</x:t>
        </x:is>
      </x:c>
      <x:c r="B142" s="17" t="n">
        <x:v>6</x:v>
      </x:c>
      <x:c r="C142" s="17" t="inlineStr">
        <x:is>
          <x:t xml:space="preserve">V01</x:t>
        </x:is>
      </x:c>
      <x:c r="D142" s="17" t="inlineStr">
        <x:is>
          <x:t xml:space="preserve">Productivity</x:t>
        </x:is>
      </x:c>
      <x:c r="E142" s="17" t="inlineStr">
        <x:is>
          <x:t xml:space="preserve">Heavy bionic</x:t>
        </x:is>
      </x:c>
      <x:c r="F142" s="17" t="inlineStr">
        <x:is>
          <x:t xml:space="preserve">Audio-on</x:t>
        </x:is>
      </x:c>
      <x:c r="G142" s="24" t="n">
        <x:v>25</x:v>
      </x:c>
      <x:c r="H142" s="24" t="inlineStr">
        <x:is>
          <x:t xml:space="preserve"/>
        </x:is>
      </x:c>
      <x:c r="I142" s="24" t="inlineStr">
        <x:is>
          <x:t xml:space="preserve"/>
        </x:is>
      </x:c>
      <x:c r="J142" s="24" t="inlineStr">
        <x:is>
          <x:t xml:space="preserve"/>
        </x:is>
      </x:c>
      <x:c r="K142" s="24" t="inlineStr">
        <x:is>
          <x:t xml:space="preserve"/>
        </x:is>
      </x:c>
      <x:c r="L142" s="24" t="inlineStr">
        <x:is>
          <x:t xml:space="preserve"/>
        </x:is>
      </x:c>
      <x:c r="M142" s="24" t="inlineStr">
        <x:is>
          <x:t xml:space="preserve"/>
        </x:is>
      </x:c>
      <x:c r="N142" s="24" t="inlineStr">
        <x:is>
          <x:t xml:space="preserve"/>
        </x:is>
      </x:c>
      <x:c r="O142" s="24" t="inlineStr">
        <x:is>
          <x:t xml:space="preserve"/>
        </x:is>
      </x:c>
      <x:c r="P142" s="24" t="inlineStr">
        <x:is>
          <x:t xml:space="preserve"/>
        </x:is>
      </x:c>
      <x:c r="Q142" s="24" t="inlineStr">
        <x:is>
          <x:t xml:space="preserve"/>
        </x:is>
      </x:c>
      <x:c r="R142" s="24" t="inlineStr">
        <x:is>
          <x:t xml:space="preserve"/>
        </x:is>
      </x:c>
      <x:c r="S142" s="25">
        <x:f>IF(H142="","",IFERROR(H142/G142,""))</x:f>
      </x:c>
      <x:c r="T142" s="26">
        <x:f>IF(H142="","",IFERROR((J142+K142+L142+N142)/H142,""))</x:f>
      </x:c>
      <x:c r="U142" s="25">
        <x:f>IF(COUNTA(J142:L142,N142)=0,"",IFERROR(AVERAGE(J142:L142,N142),""))</x:f>
      </x:c>
      <x:c r="V142" s="17" t="inlineStr">
        <x:is>
          <x:t xml:space="preserve"/>
        </x:is>
      </x:c>
    </x:row>
    <x:row r="143">
      <x:c r="A143" s="16" t="inlineStr">
        <x:is>
          <x:t xml:space="preserve">P012</x:t>
        </x:is>
      </x:c>
      <x:c r="B143" s="16" t="n">
        <x:v>7</x:v>
      </x:c>
      <x:c r="C143" s="16" t="inlineStr">
        <x:is>
          <x:t xml:space="preserve">V05</x:t>
        </x:is>
      </x:c>
      <x:c r="D143" s="16" t="inlineStr">
        <x:is>
          <x:t xml:space="preserve">Tutorial</x:t>
        </x:is>
      </x:c>
      <x:c r="E143" s="16" t="inlineStr">
        <x:is>
          <x:t xml:space="preserve">BCC</x:t>
        </x:is>
      </x:c>
      <x:c r="F143" s="16" t="inlineStr">
        <x:is>
          <x:t xml:space="preserve">Audio-on</x:t>
        </x:is>
      </x:c>
      <x:c r="G143" s="21" t="n">
        <x:v>20</x:v>
      </x:c>
      <x:c r="H143" s="21" t="inlineStr">
        <x:is>
          <x:t xml:space="preserve"/>
        </x:is>
      </x:c>
      <x:c r="I143" s="21" t="inlineStr">
        <x:is>
          <x:t xml:space="preserve"/>
        </x:is>
      </x:c>
      <x:c r="J143" s="21" t="inlineStr">
        <x:is>
          <x:t xml:space="preserve"/>
        </x:is>
      </x:c>
      <x:c r="K143" s="21" t="inlineStr">
        <x:is>
          <x:t xml:space="preserve"/>
        </x:is>
      </x:c>
      <x:c r="L143" s="21" t="inlineStr">
        <x:is>
          <x:t xml:space="preserve"/>
        </x:is>
      </x:c>
      <x:c r="M143" s="21" t="inlineStr">
        <x:is>
          <x:t xml:space="preserve"/>
        </x:is>
      </x:c>
      <x:c r="N143" s="21" t="inlineStr">
        <x:is>
          <x:t xml:space="preserve"/>
        </x:is>
      </x:c>
      <x:c r="O143" s="21" t="inlineStr">
        <x:is>
          <x:t xml:space="preserve"/>
        </x:is>
      </x:c>
      <x:c r="P143" s="21" t="inlineStr">
        <x:is>
          <x:t xml:space="preserve"/>
        </x:is>
      </x:c>
      <x:c r="Q143" s="21" t="inlineStr">
        <x:is>
          <x:t xml:space="preserve"/>
        </x:is>
      </x:c>
      <x:c r="R143" s="21" t="inlineStr">
        <x:is>
          <x:t xml:space="preserve"/>
        </x:is>
      </x:c>
      <x:c r="S143" s="22">
        <x:f>IF(H143="","",IFERROR(H143/G143,""))</x:f>
      </x:c>
      <x:c r="T143" s="23">
        <x:f>IF(H143="","",IFERROR((J143+K143+L143+N143)/H143,""))</x:f>
      </x:c>
      <x:c r="U143" s="22">
        <x:f>IF(COUNTA(J143:L143,N143)=0,"",IFERROR(AVERAGE(J143:L143,N143),""))</x:f>
      </x:c>
      <x:c r="V143" s="16" t="inlineStr">
        <x:is>
          <x:t xml:space="preserve"/>
        </x:is>
      </x:c>
    </x:row>
    <x:row r="144">
      <x:c r="A144" s="17" t="inlineStr">
        <x:is>
          <x:t xml:space="preserve">P012</x:t>
        </x:is>
      </x:c>
      <x:c r="B144" s="17" t="n">
        <x:v>8</x:v>
      </x:c>
      <x:c r="C144" s="17" t="inlineStr">
        <x:is>
          <x:t xml:space="preserve">V04</x:t>
        </x:is>
      </x:c>
      <x:c r="D144" s="17" t="inlineStr">
        <x:is>
          <x:t xml:space="preserve">Finance</x:t>
        </x:is>
      </x:c>
      <x:c r="E144" s="17" t="inlineStr">
        <x:is>
          <x:t xml:space="preserve">Semantic compression</x:t>
        </x:is>
      </x:c>
      <x:c r="F144" s="17" t="inlineStr">
        <x:is>
          <x:t xml:space="preserve">Audio-on</x:t>
        </x:is>
      </x:c>
      <x:c r="G144" s="24" t="n">
        <x:v>20</x:v>
      </x:c>
      <x:c r="H144" s="24" t="inlineStr">
        <x:is>
          <x:t xml:space="preserve"/>
        </x:is>
      </x:c>
      <x:c r="I144" s="24" t="inlineStr">
        <x:is>
          <x:t xml:space="preserve"/>
        </x:is>
      </x:c>
      <x:c r="J144" s="24" t="inlineStr">
        <x:is>
          <x:t xml:space="preserve"/>
        </x:is>
      </x:c>
      <x:c r="K144" s="24" t="inlineStr">
        <x:is>
          <x:t xml:space="preserve"/>
        </x:is>
      </x:c>
      <x:c r="L144" s="24" t="inlineStr">
        <x:is>
          <x:t xml:space="preserve"/>
        </x:is>
      </x:c>
      <x:c r="M144" s="24" t="inlineStr">
        <x:is>
          <x:t xml:space="preserve"/>
        </x:is>
      </x:c>
      <x:c r="N144" s="24" t="inlineStr">
        <x:is>
          <x:t xml:space="preserve"/>
        </x:is>
      </x:c>
      <x:c r="O144" s="24" t="inlineStr">
        <x:is>
          <x:t xml:space="preserve"/>
        </x:is>
      </x:c>
      <x:c r="P144" s="24" t="inlineStr">
        <x:is>
          <x:t xml:space="preserve"/>
        </x:is>
      </x:c>
      <x:c r="Q144" s="24" t="inlineStr">
        <x:is>
          <x:t xml:space="preserve"/>
        </x:is>
      </x:c>
      <x:c r="R144" s="24" t="inlineStr">
        <x:is>
          <x:t xml:space="preserve"/>
        </x:is>
      </x:c>
      <x:c r="S144" s="25">
        <x:f>IF(H144="","",IFERROR(H144/G144,""))</x:f>
      </x:c>
      <x:c r="T144" s="26">
        <x:f>IF(H144="","",IFERROR((J144+K144+L144+N144)/H144,""))</x:f>
      </x:c>
      <x:c r="U144" s="25">
        <x:f>IF(COUNTA(J144:L144,N144)=0,"",IFERROR(AVERAGE(J144:L144,N144),""))</x:f>
      </x:c>
      <x:c r="V144" s="17" t="inlineStr">
        <x:is>
          <x:t xml:space="preserve"/>
        </x:is>
      </x:c>
    </x:row>
    <x:row r="145">
      <x:c r="A145" s="16" t="inlineStr">
        <x:is>
          <x:t xml:space="preserve">P012</x:t>
        </x:is>
      </x:c>
      <x:c r="B145" s="16" t="n">
        <x:v>9</x:v>
      </x:c>
      <x:c r="C145" s="16" t="inlineStr">
        <x:is>
          <x:t xml:space="preserve">V07</x:t>
        </x:is>
      </x:c>
      <x:c r="D145" s="16" t="inlineStr">
        <x:is>
          <x:t xml:space="preserve">Business</x:t>
        </x:is>
      </x:c>
      <x:c r="E145" s="16" t="inlineStr">
        <x:is>
          <x:t xml:space="preserve">Heavy bionic</x:t>
        </x:is>
      </x:c>
      <x:c r="F145" s="16" t="inlineStr">
        <x:is>
          <x:t xml:space="preserve">Audio-on</x:t>
        </x:is>
      </x:c>
      <x:c r="G145" s="21" t="n">
        <x:v>18</x:v>
      </x:c>
      <x:c r="H145" s="21" t="inlineStr">
        <x:is>
          <x:t xml:space="preserve"/>
        </x:is>
      </x:c>
      <x:c r="I145" s="21" t="inlineStr">
        <x:is>
          <x:t xml:space="preserve"/>
        </x:is>
      </x:c>
      <x:c r="J145" s="21" t="inlineStr">
        <x:is>
          <x:t xml:space="preserve"/>
        </x:is>
      </x:c>
      <x:c r="K145" s="21" t="inlineStr">
        <x:is>
          <x:t xml:space="preserve"/>
        </x:is>
      </x:c>
      <x:c r="L145" s="21" t="inlineStr">
        <x:is>
          <x:t xml:space="preserve"/>
        </x:is>
      </x:c>
      <x:c r="M145" s="21" t="inlineStr">
        <x:is>
          <x:t xml:space="preserve"/>
        </x:is>
      </x:c>
      <x:c r="N145" s="21" t="inlineStr">
        <x:is>
          <x:t xml:space="preserve"/>
        </x:is>
      </x:c>
      <x:c r="O145" s="21" t="inlineStr">
        <x:is>
          <x:t xml:space="preserve"/>
        </x:is>
      </x:c>
      <x:c r="P145" s="21" t="inlineStr">
        <x:is>
          <x:t xml:space="preserve"/>
        </x:is>
      </x:c>
      <x:c r="Q145" s="21" t="inlineStr">
        <x:is>
          <x:t xml:space="preserve"/>
        </x:is>
      </x:c>
      <x:c r="R145" s="21" t="inlineStr">
        <x:is>
          <x:t xml:space="preserve"/>
        </x:is>
      </x:c>
      <x:c r="S145" s="22">
        <x:f>IF(H145="","",IFERROR(H145/G145,""))</x:f>
      </x:c>
      <x:c r="T145" s="23">
        <x:f>IF(H145="","",IFERROR((J145+K145+L145+N145)/H145,""))</x:f>
      </x:c>
      <x:c r="U145" s="22">
        <x:f>IF(COUNTA(J145:L145,N145)=0,"",IFERROR(AVERAGE(J145:L145,N145),""))</x:f>
      </x:c>
      <x:c r="V145" s="16" t="inlineStr">
        <x:is>
          <x:t xml:space="preserve"/>
        </x:is>
      </x:c>
    </x:row>
    <x:row r="146">
      <x:c r="A146" s="17" t="inlineStr">
        <x:is>
          <x:t xml:space="preserve">P012</x:t>
        </x:is>
      </x:c>
      <x:c r="B146" s="17" t="n">
        <x:v>10</x:v>
      </x:c>
      <x:c r="C146" s="17" t="inlineStr">
        <x:is>
          <x:t xml:space="preserve">V11</x:t>
        </x:is>
      </x:c>
      <x:c r="D146" s="17" t="inlineStr">
        <x:is>
          <x:t xml:space="preserve">Creator strategy</x:t>
        </x:is>
      </x:c>
      <x:c r="E146" s="17" t="inlineStr">
        <x:is>
          <x:t xml:space="preserve">BCC</x:t>
        </x:is>
      </x:c>
      <x:c r="F146" s="17" t="inlineStr">
        <x:is>
          <x:t xml:space="preserve">Audio-on</x:t>
        </x:is>
      </x:c>
      <x:c r="G146" s="24" t="n">
        <x:v>17</x:v>
      </x:c>
      <x:c r="H146" s="24" t="inlineStr">
        <x:is>
          <x:t xml:space="preserve"/>
        </x:is>
      </x:c>
      <x:c r="I146" s="24" t="inlineStr">
        <x:is>
          <x:t xml:space="preserve"/>
        </x:is>
      </x:c>
      <x:c r="J146" s="24" t="inlineStr">
        <x:is>
          <x:t xml:space="preserve"/>
        </x:is>
      </x:c>
      <x:c r="K146" s="24" t="inlineStr">
        <x:is>
          <x:t xml:space="preserve"/>
        </x:is>
      </x:c>
      <x:c r="L146" s="24" t="inlineStr">
        <x:is>
          <x:t xml:space="preserve"/>
        </x:is>
      </x:c>
      <x:c r="M146" s="24" t="inlineStr">
        <x:is>
          <x:t xml:space="preserve"/>
        </x:is>
      </x:c>
      <x:c r="N146" s="24" t="inlineStr">
        <x:is>
          <x:t xml:space="preserve"/>
        </x:is>
      </x:c>
      <x:c r="O146" s="24" t="inlineStr">
        <x:is>
          <x:t xml:space="preserve"/>
        </x:is>
      </x:c>
      <x:c r="P146" s="24" t="inlineStr">
        <x:is>
          <x:t xml:space="preserve"/>
        </x:is>
      </x:c>
      <x:c r="Q146" s="24" t="inlineStr">
        <x:is>
          <x:t xml:space="preserve"/>
        </x:is>
      </x:c>
      <x:c r="R146" s="24" t="inlineStr">
        <x:is>
          <x:t xml:space="preserve"/>
        </x:is>
      </x:c>
      <x:c r="S146" s="25">
        <x:f>IF(H146="","",IFERROR(H146/G146,""))</x:f>
      </x:c>
      <x:c r="T146" s="26">
        <x:f>IF(H146="","",IFERROR((J146+K146+L146+N146)/H146,""))</x:f>
      </x:c>
      <x:c r="U146" s="25">
        <x:f>IF(COUNTA(J146:L146,N146)=0,"",IFERROR(AVERAGE(J146:L146,N146),""))</x:f>
      </x:c>
      <x:c r="V146" s="17" t="inlineStr">
        <x:is>
          <x:t xml:space="preserve"/>
        </x:is>
      </x:c>
    </x:row>
    <x:row r="147">
      <x:c r="A147" s="16" t="inlineStr">
        <x:is>
          <x:t xml:space="preserve">P012</x:t>
        </x:is>
      </x:c>
      <x:c r="B147" s="16" t="n">
        <x:v>11</x:v>
      </x:c>
      <x:c r="C147" s="16" t="inlineStr">
        <x:is>
          <x:t xml:space="preserve">V03</x:t>
        </x:is>
      </x:c>
      <x:c r="D147" s="16" t="inlineStr">
        <x:is>
          <x:t xml:space="preserve">Fitness</x:t>
        </x:is>
      </x:c>
      <x:c r="E147" s="16" t="inlineStr">
        <x:is>
          <x:t xml:space="preserve">Keyword highlight</x:t>
        </x:is>
      </x:c>
      <x:c r="F147" s="16" t="inlineStr">
        <x:is>
          <x:t xml:space="preserve">Audio-on</x:t>
        </x:is>
      </x:c>
      <x:c r="G147" s="21" t="n">
        <x:v>18</x:v>
      </x:c>
      <x:c r="H147" s="21" t="inlineStr">
        <x:is>
          <x:t xml:space="preserve"/>
        </x:is>
      </x:c>
      <x:c r="I147" s="21" t="inlineStr">
        <x:is>
          <x:t xml:space="preserve"/>
        </x:is>
      </x:c>
      <x:c r="J147" s="21" t="inlineStr">
        <x:is>
          <x:t xml:space="preserve"/>
        </x:is>
      </x:c>
      <x:c r="K147" s="21" t="inlineStr">
        <x:is>
          <x:t xml:space="preserve"/>
        </x:is>
      </x:c>
      <x:c r="L147" s="21" t="inlineStr">
        <x:is>
          <x:t xml:space="preserve"/>
        </x:is>
      </x:c>
      <x:c r="M147" s="21" t="inlineStr">
        <x:is>
          <x:t xml:space="preserve"/>
        </x:is>
      </x:c>
      <x:c r="N147" s="21" t="inlineStr">
        <x:is>
          <x:t xml:space="preserve"/>
        </x:is>
      </x:c>
      <x:c r="O147" s="21" t="inlineStr">
        <x:is>
          <x:t xml:space="preserve"/>
        </x:is>
      </x:c>
      <x:c r="P147" s="21" t="inlineStr">
        <x:is>
          <x:t xml:space="preserve"/>
        </x:is>
      </x:c>
      <x:c r="Q147" s="21" t="inlineStr">
        <x:is>
          <x:t xml:space="preserve"/>
        </x:is>
      </x:c>
      <x:c r="R147" s="21" t="inlineStr">
        <x:is>
          <x:t xml:space="preserve"/>
        </x:is>
      </x:c>
      <x:c r="S147" s="22">
        <x:f>IF(H147="","",IFERROR(H147/G147,""))</x:f>
      </x:c>
      <x:c r="T147" s="23">
        <x:f>IF(H147="","",IFERROR((J147+K147+L147+N147)/H147,""))</x:f>
      </x:c>
      <x:c r="U147" s="22">
        <x:f>IF(COUNTA(J147:L147,N147)=0,"",IFERROR(AVERAGE(J147:L147,N147),""))</x:f>
      </x:c>
      <x:c r="V147" s="16" t="inlineStr">
        <x:is>
          <x:t xml:space="preserve"/>
        </x:is>
      </x:c>
    </x:row>
    <x:row r="148">
      <x:c r="A148" s="17" t="inlineStr">
        <x:is>
          <x:t xml:space="preserve">P012</x:t>
        </x:is>
      </x:c>
      <x:c r="B148" s="17" t="n">
        <x:v>12</x:v>
      </x:c>
      <x:c r="C148" s="17" t="inlineStr">
        <x:is>
          <x:t xml:space="preserve">V06</x:t>
        </x:is>
      </x:c>
      <x:c r="D148" s="17" t="inlineStr">
        <x:is>
          <x:t xml:space="preserve">Overload</x:t>
        </x:is>
      </x:c>
      <x:c r="E148" s="17" t="inlineStr">
        <x:is>
          <x:t xml:space="preserve">BCC+</x:t>
        </x:is>
      </x:c>
      <x:c r="F148" s="17" t="inlineStr">
        <x:is>
          <x:t xml:space="preserve">Audio-on</x:t>
        </x:is>
      </x:c>
      <x:c r="G148" s="24" t="n">
        <x:v>16</x:v>
      </x:c>
      <x:c r="H148" s="24" t="inlineStr">
        <x:is>
          <x:t xml:space="preserve"/>
        </x:is>
      </x:c>
      <x:c r="I148" s="24" t="inlineStr">
        <x:is>
          <x:t xml:space="preserve"/>
        </x:is>
      </x:c>
      <x:c r="J148" s="24" t="inlineStr">
        <x:is>
          <x:t xml:space="preserve"/>
        </x:is>
      </x:c>
      <x:c r="K148" s="24" t="inlineStr">
        <x:is>
          <x:t xml:space="preserve"/>
        </x:is>
      </x:c>
      <x:c r="L148" s="24" t="inlineStr">
        <x:is>
          <x:t xml:space="preserve"/>
        </x:is>
      </x:c>
      <x:c r="M148" s="24" t="inlineStr">
        <x:is>
          <x:t xml:space="preserve"/>
        </x:is>
      </x:c>
      <x:c r="N148" s="24" t="inlineStr">
        <x:is>
          <x:t xml:space="preserve"/>
        </x:is>
      </x:c>
      <x:c r="O148" s="24" t="inlineStr">
        <x:is>
          <x:t xml:space="preserve"/>
        </x:is>
      </x:c>
      <x:c r="P148" s="24" t="inlineStr">
        <x:is>
          <x:t xml:space="preserve"/>
        </x:is>
      </x:c>
      <x:c r="Q148" s="24" t="inlineStr">
        <x:is>
          <x:t xml:space="preserve"/>
        </x:is>
      </x:c>
      <x:c r="R148" s="24" t="inlineStr">
        <x:is>
          <x:t xml:space="preserve"/>
        </x:is>
      </x:c>
      <x:c r="S148" s="25">
        <x:f>IF(H148="","",IFERROR(H148/G148,""))</x:f>
      </x:c>
      <x:c r="T148" s="26">
        <x:f>IF(H148="","",IFERROR((J148+K148+L148+N148)/H148,""))</x:f>
      </x:c>
      <x:c r="U148" s="25">
        <x:f>IF(COUNTA(J148:L148,N148)=0,"",IFERROR(AVERAGE(J148:L148,N148),""))</x:f>
      </x:c>
      <x:c r="V148" s="17" t="inlineStr">
        <x:is>
          <x:t xml:space="preserve"/>
        </x:is>
      </x:c>
    </x:row>
    <x:row r="149">
      <x:c r="A149" s="16" t="inlineStr">
        <x:is>
          <x:t xml:space="preserve">P013</x:t>
        </x:is>
      </x:c>
      <x:c r="B149" s="16" t="n">
        <x:v>1</x:v>
      </x:c>
      <x:c r="C149" s="16" t="inlineStr">
        <x:is>
          <x:t xml:space="preserve">V10</x:t>
        </x:is>
      </x:c>
      <x:c r="D149" s="16" t="inlineStr">
        <x:is>
          <x:t xml:space="preserve">Product demo</x:t>
        </x:is>
      </x:c>
      <x:c r="E149" s="16" t="inlineStr">
        <x:is>
          <x:t xml:space="preserve">BCC</x:t>
        </x:is>
      </x:c>
      <x:c r="F149" s="16" t="inlineStr">
        <x:is>
          <x:t xml:space="preserve">Muted</x:t>
        </x:is>
      </x:c>
      <x:c r="G149" s="21" t="n">
        <x:v>15</x:v>
      </x:c>
      <x:c r="H149" s="21" t="inlineStr">
        <x:is>
          <x:t xml:space="preserve"/>
        </x:is>
      </x:c>
      <x:c r="I149" s="21" t="inlineStr">
        <x:is>
          <x:t xml:space="preserve"/>
        </x:is>
      </x:c>
      <x:c r="J149" s="21" t="inlineStr">
        <x:is>
          <x:t xml:space="preserve"/>
        </x:is>
      </x:c>
      <x:c r="K149" s="21" t="inlineStr">
        <x:is>
          <x:t xml:space="preserve"/>
        </x:is>
      </x:c>
      <x:c r="L149" s="21" t="inlineStr">
        <x:is>
          <x:t xml:space="preserve"/>
        </x:is>
      </x:c>
      <x:c r="M149" s="21" t="inlineStr">
        <x:is>
          <x:t xml:space="preserve"/>
        </x:is>
      </x:c>
      <x:c r="N149" s="21" t="inlineStr">
        <x:is>
          <x:t xml:space="preserve"/>
        </x:is>
      </x:c>
      <x:c r="O149" s="21" t="inlineStr">
        <x:is>
          <x:t xml:space="preserve"/>
        </x:is>
      </x:c>
      <x:c r="P149" s="21" t="inlineStr">
        <x:is>
          <x:t xml:space="preserve"/>
        </x:is>
      </x:c>
      <x:c r="Q149" s="21" t="inlineStr">
        <x:is>
          <x:t xml:space="preserve"/>
        </x:is>
      </x:c>
      <x:c r="R149" s="21" t="inlineStr">
        <x:is>
          <x:t xml:space="preserve"/>
        </x:is>
      </x:c>
      <x:c r="S149" s="22">
        <x:f>IF(H149="","",IFERROR(H149/G149,""))</x:f>
      </x:c>
      <x:c r="T149" s="23">
        <x:f>IF(H149="","",IFERROR((J149+K149+L149+N149)/H149,""))</x:f>
      </x:c>
      <x:c r="U149" s="22">
        <x:f>IF(COUNTA(J149:L149,N149)=0,"",IFERROR(AVERAGE(J149:L149,N149),""))</x:f>
      </x:c>
      <x:c r="V149" s="16" t="inlineStr">
        <x:is>
          <x:t xml:space="preserve"/>
        </x:is>
      </x:c>
    </x:row>
    <x:row r="150">
      <x:c r="A150" s="17" t="inlineStr">
        <x:is>
          <x:t xml:space="preserve">P013</x:t>
        </x:is>
      </x:c>
      <x:c r="B150" s="17" t="n">
        <x:v>2</x:v>
      </x:c>
      <x:c r="C150" s="17" t="inlineStr">
        <x:is>
          <x:t xml:space="preserve">V06</x:t>
        </x:is>
      </x:c>
      <x:c r="D150" s="17" t="inlineStr">
        <x:is>
          <x:t xml:space="preserve">Overload</x:t>
        </x:is>
      </x:c>
      <x:c r="E150" s="17" t="inlineStr">
        <x:is>
          <x:t xml:space="preserve">Heavy bionic</x:t>
        </x:is>
      </x:c>
      <x:c r="F150" s="17" t="inlineStr">
        <x:is>
          <x:t xml:space="preserve">Muted</x:t>
        </x:is>
      </x:c>
      <x:c r="G150" s="24" t="n">
        <x:v>16</x:v>
      </x:c>
      <x:c r="H150" s="24" t="inlineStr">
        <x:is>
          <x:t xml:space="preserve"/>
        </x:is>
      </x:c>
      <x:c r="I150" s="24" t="inlineStr">
        <x:is>
          <x:t xml:space="preserve"/>
        </x:is>
      </x:c>
      <x:c r="J150" s="24" t="inlineStr">
        <x:is>
          <x:t xml:space="preserve"/>
        </x:is>
      </x:c>
      <x:c r="K150" s="24" t="inlineStr">
        <x:is>
          <x:t xml:space="preserve"/>
        </x:is>
      </x:c>
      <x:c r="L150" s="24" t="inlineStr">
        <x:is>
          <x:t xml:space="preserve"/>
        </x:is>
      </x:c>
      <x:c r="M150" s="24" t="inlineStr">
        <x:is>
          <x:t xml:space="preserve"/>
        </x:is>
      </x:c>
      <x:c r="N150" s="24" t="inlineStr">
        <x:is>
          <x:t xml:space="preserve"/>
        </x:is>
      </x:c>
      <x:c r="O150" s="24" t="inlineStr">
        <x:is>
          <x:t xml:space="preserve"/>
        </x:is>
      </x:c>
      <x:c r="P150" s="24" t="inlineStr">
        <x:is>
          <x:t xml:space="preserve"/>
        </x:is>
      </x:c>
      <x:c r="Q150" s="24" t="inlineStr">
        <x:is>
          <x:t xml:space="preserve"/>
        </x:is>
      </x:c>
      <x:c r="R150" s="24" t="inlineStr">
        <x:is>
          <x:t xml:space="preserve"/>
        </x:is>
      </x:c>
      <x:c r="S150" s="25">
        <x:f>IF(H150="","",IFERROR(H150/G150,""))</x:f>
      </x:c>
      <x:c r="T150" s="26">
        <x:f>IF(H150="","",IFERROR((J150+K150+L150+N150)/H150,""))</x:f>
      </x:c>
      <x:c r="U150" s="25">
        <x:f>IF(COUNTA(J150:L150,N150)=0,"",IFERROR(AVERAGE(J150:L150,N150),""))</x:f>
      </x:c>
      <x:c r="V150" s="17" t="inlineStr">
        <x:is>
          <x:t xml:space="preserve"/>
        </x:is>
      </x:c>
    </x:row>
    <x:row r="151">
      <x:c r="A151" s="16" t="inlineStr">
        <x:is>
          <x:t xml:space="preserve">P013</x:t>
        </x:is>
      </x:c>
      <x:c r="B151" s="16" t="n">
        <x:v>3</x:v>
      </x:c>
      <x:c r="C151" s="16" t="inlineStr">
        <x:is>
          <x:t xml:space="preserve">V11</x:t>
        </x:is>
      </x:c>
      <x:c r="D151" s="16" t="inlineStr">
        <x:is>
          <x:t xml:space="preserve">Creator strategy</x:t>
        </x:is>
      </x:c>
      <x:c r="E151" s="16" t="inlineStr">
        <x:is>
          <x:t xml:space="preserve">BCC+</x:t>
        </x:is>
      </x:c>
      <x:c r="F151" s="16" t="inlineStr">
        <x:is>
          <x:t xml:space="preserve">Muted</x:t>
        </x:is>
      </x:c>
      <x:c r="G151" s="21" t="n">
        <x:v>17</x:v>
      </x:c>
      <x:c r="H151" s="21" t="inlineStr">
        <x:is>
          <x:t xml:space="preserve"/>
        </x:is>
      </x:c>
      <x:c r="I151" s="21" t="inlineStr">
        <x:is>
          <x:t xml:space="preserve"/>
        </x:is>
      </x:c>
      <x:c r="J151" s="21" t="inlineStr">
        <x:is>
          <x:t xml:space="preserve"/>
        </x:is>
      </x:c>
      <x:c r="K151" s="21" t="inlineStr">
        <x:is>
          <x:t xml:space="preserve"/>
        </x:is>
      </x:c>
      <x:c r="L151" s="21" t="inlineStr">
        <x:is>
          <x:t xml:space="preserve"/>
        </x:is>
      </x:c>
      <x:c r="M151" s="21" t="inlineStr">
        <x:is>
          <x:t xml:space="preserve"/>
        </x:is>
      </x:c>
      <x:c r="N151" s="21" t="inlineStr">
        <x:is>
          <x:t xml:space="preserve"/>
        </x:is>
      </x:c>
      <x:c r="O151" s="21" t="inlineStr">
        <x:is>
          <x:t xml:space="preserve"/>
        </x:is>
      </x:c>
      <x:c r="P151" s="21" t="inlineStr">
        <x:is>
          <x:t xml:space="preserve"/>
        </x:is>
      </x:c>
      <x:c r="Q151" s="21" t="inlineStr">
        <x:is>
          <x:t xml:space="preserve"/>
        </x:is>
      </x:c>
      <x:c r="R151" s="21" t="inlineStr">
        <x:is>
          <x:t xml:space="preserve"/>
        </x:is>
      </x:c>
      <x:c r="S151" s="22">
        <x:f>IF(H151="","",IFERROR(H151/G151,""))</x:f>
      </x:c>
      <x:c r="T151" s="23">
        <x:f>IF(H151="","",IFERROR((J151+K151+L151+N151)/H151,""))</x:f>
      </x:c>
      <x:c r="U151" s="22">
        <x:f>IF(COUNTA(J151:L151,N151)=0,"",IFERROR(AVERAGE(J151:L151,N151),""))</x:f>
      </x:c>
      <x:c r="V151" s="16" t="inlineStr">
        <x:is>
          <x:t xml:space="preserve"/>
        </x:is>
      </x:c>
    </x:row>
    <x:row r="152">
      <x:c r="A152" s="17" t="inlineStr">
        <x:is>
          <x:t xml:space="preserve">P013</x:t>
        </x:is>
      </x:c>
      <x:c r="B152" s="17" t="n">
        <x:v>4</x:v>
      </x:c>
      <x:c r="C152" s="17" t="inlineStr">
        <x:is>
          <x:t xml:space="preserve">V02</x:t>
        </x:is>
      </x:c>
      <x:c r="D152" s="17" t="inlineStr">
        <x:is>
          <x:t xml:space="preserve">Study</x:t>
        </x:is>
      </x:c>
      <x:c r="E152" s="17" t="inlineStr">
        <x:is>
          <x:t xml:space="preserve">Keyword highlight</x:t>
        </x:is>
      </x:c>
      <x:c r="F152" s="17" t="inlineStr">
        <x:is>
          <x:t xml:space="preserve">Muted</x:t>
        </x:is>
      </x:c>
      <x:c r="G152" s="24" t="n">
        <x:v>18</x:v>
      </x:c>
      <x:c r="H152" s="24" t="inlineStr">
        <x:is>
          <x:t xml:space="preserve"/>
        </x:is>
      </x:c>
      <x:c r="I152" s="24" t="inlineStr">
        <x:is>
          <x:t xml:space="preserve"/>
        </x:is>
      </x:c>
      <x:c r="J152" s="24" t="inlineStr">
        <x:is>
          <x:t xml:space="preserve"/>
        </x:is>
      </x:c>
      <x:c r="K152" s="24" t="inlineStr">
        <x:is>
          <x:t xml:space="preserve"/>
        </x:is>
      </x:c>
      <x:c r="L152" s="24" t="inlineStr">
        <x:is>
          <x:t xml:space="preserve"/>
        </x:is>
      </x:c>
      <x:c r="M152" s="24" t="inlineStr">
        <x:is>
          <x:t xml:space="preserve"/>
        </x:is>
      </x:c>
      <x:c r="N152" s="24" t="inlineStr">
        <x:is>
          <x:t xml:space="preserve"/>
        </x:is>
      </x:c>
      <x:c r="O152" s="24" t="inlineStr">
        <x:is>
          <x:t xml:space="preserve"/>
        </x:is>
      </x:c>
      <x:c r="P152" s="24" t="inlineStr">
        <x:is>
          <x:t xml:space="preserve"/>
        </x:is>
      </x:c>
      <x:c r="Q152" s="24" t="inlineStr">
        <x:is>
          <x:t xml:space="preserve"/>
        </x:is>
      </x:c>
      <x:c r="R152" s="24" t="inlineStr">
        <x:is>
          <x:t xml:space="preserve"/>
        </x:is>
      </x:c>
      <x:c r="S152" s="25">
        <x:f>IF(H152="","",IFERROR(H152/G152,""))</x:f>
      </x:c>
      <x:c r="T152" s="26">
        <x:f>IF(H152="","",IFERROR((J152+K152+L152+N152)/H152,""))</x:f>
      </x:c>
      <x:c r="U152" s="25">
        <x:f>IF(COUNTA(J152:L152,N152)=0,"",IFERROR(AVERAGE(J152:L152,N152),""))</x:f>
      </x:c>
      <x:c r="V152" s="17" t="inlineStr">
        <x:is>
          <x:t xml:space="preserve"/>
        </x:is>
      </x:c>
    </x:row>
    <x:row r="153">
      <x:c r="A153" s="16" t="inlineStr">
        <x:is>
          <x:t xml:space="preserve">P013</x:t>
        </x:is>
      </x:c>
      <x:c r="B153" s="16" t="n">
        <x:v>5</x:v>
      </x:c>
      <x:c r="C153" s="16" t="inlineStr">
        <x:is>
          <x:t xml:space="preserve">V04</x:t>
        </x:is>
      </x:c>
      <x:c r="D153" s="16" t="inlineStr">
        <x:is>
          <x:t xml:space="preserve">Finance</x:t>
        </x:is>
      </x:c>
      <x:c r="E153" s="16" t="inlineStr">
        <x:is>
          <x:t xml:space="preserve">BCC</x:t>
        </x:is>
      </x:c>
      <x:c r="F153" s="16" t="inlineStr">
        <x:is>
          <x:t xml:space="preserve">Muted</x:t>
        </x:is>
      </x:c>
      <x:c r="G153" s="21" t="n">
        <x:v>20</x:v>
      </x:c>
      <x:c r="H153" s="21" t="inlineStr">
        <x:is>
          <x:t xml:space="preserve"/>
        </x:is>
      </x:c>
      <x:c r="I153" s="21" t="inlineStr">
        <x:is>
          <x:t xml:space="preserve"/>
        </x:is>
      </x:c>
      <x:c r="J153" s="21" t="inlineStr">
        <x:is>
          <x:t xml:space="preserve"/>
        </x:is>
      </x:c>
      <x:c r="K153" s="21" t="inlineStr">
        <x:is>
          <x:t xml:space="preserve"/>
        </x:is>
      </x:c>
      <x:c r="L153" s="21" t="inlineStr">
        <x:is>
          <x:t xml:space="preserve"/>
        </x:is>
      </x:c>
      <x:c r="M153" s="21" t="inlineStr">
        <x:is>
          <x:t xml:space="preserve"/>
        </x:is>
      </x:c>
      <x:c r="N153" s="21" t="inlineStr">
        <x:is>
          <x:t xml:space="preserve"/>
        </x:is>
      </x:c>
      <x:c r="O153" s="21" t="inlineStr">
        <x:is>
          <x:t xml:space="preserve"/>
        </x:is>
      </x:c>
      <x:c r="P153" s="21" t="inlineStr">
        <x:is>
          <x:t xml:space="preserve"/>
        </x:is>
      </x:c>
      <x:c r="Q153" s="21" t="inlineStr">
        <x:is>
          <x:t xml:space="preserve"/>
        </x:is>
      </x:c>
      <x:c r="R153" s="21" t="inlineStr">
        <x:is>
          <x:t xml:space="preserve"/>
        </x:is>
      </x:c>
      <x:c r="S153" s="22">
        <x:f>IF(H153="","",IFERROR(H153/G153,""))</x:f>
      </x:c>
      <x:c r="T153" s="23">
        <x:f>IF(H153="","",IFERROR((J153+K153+L153+N153)/H153,""))</x:f>
      </x:c>
      <x:c r="U153" s="22">
        <x:f>IF(COUNTA(J153:L153,N153)=0,"",IFERROR(AVERAGE(J153:L153,N153),""))</x:f>
      </x:c>
      <x:c r="V153" s="16" t="inlineStr">
        <x:is>
          <x:t xml:space="preserve"/>
        </x:is>
      </x:c>
    </x:row>
    <x:row r="154">
      <x:c r="A154" s="17" t="inlineStr">
        <x:is>
          <x:t xml:space="preserve">P013</x:t>
        </x:is>
      </x:c>
      <x:c r="B154" s="17" t="n">
        <x:v>6</x:v>
      </x:c>
      <x:c r="C154" s="17" t="inlineStr">
        <x:is>
          <x:t xml:space="preserve">V09</x:t>
        </x:is>
      </x:c>
      <x:c r="D154" s="17" t="inlineStr">
        <x:is>
          <x:t xml:space="preserve">Sleep habit</x:t>
        </x:is>
      </x:c>
      <x:c r="E154" s="17" t="inlineStr">
        <x:is>
          <x:t xml:space="preserve">Semantic compression</x:t>
        </x:is>
      </x:c>
      <x:c r="F154" s="17" t="inlineStr">
        <x:is>
          <x:t xml:space="preserve">Muted</x:t>
        </x:is>
      </x:c>
      <x:c r="G154" s="24" t="n">
        <x:v>19</x:v>
      </x:c>
      <x:c r="H154" s="24" t="inlineStr">
        <x:is>
          <x:t xml:space="preserve"/>
        </x:is>
      </x:c>
      <x:c r="I154" s="24" t="inlineStr">
        <x:is>
          <x:t xml:space="preserve"/>
        </x:is>
      </x:c>
      <x:c r="J154" s="24" t="inlineStr">
        <x:is>
          <x:t xml:space="preserve"/>
        </x:is>
      </x:c>
      <x:c r="K154" s="24" t="inlineStr">
        <x:is>
          <x:t xml:space="preserve"/>
        </x:is>
      </x:c>
      <x:c r="L154" s="24" t="inlineStr">
        <x:is>
          <x:t xml:space="preserve"/>
        </x:is>
      </x:c>
      <x:c r="M154" s="24" t="inlineStr">
        <x:is>
          <x:t xml:space="preserve"/>
        </x:is>
      </x:c>
      <x:c r="N154" s="24" t="inlineStr">
        <x:is>
          <x:t xml:space="preserve"/>
        </x:is>
      </x:c>
      <x:c r="O154" s="24" t="inlineStr">
        <x:is>
          <x:t xml:space="preserve"/>
        </x:is>
      </x:c>
      <x:c r="P154" s="24" t="inlineStr">
        <x:is>
          <x:t xml:space="preserve"/>
        </x:is>
      </x:c>
      <x:c r="Q154" s="24" t="inlineStr">
        <x:is>
          <x:t xml:space="preserve"/>
        </x:is>
      </x:c>
      <x:c r="R154" s="24" t="inlineStr">
        <x:is>
          <x:t xml:space="preserve"/>
        </x:is>
      </x:c>
      <x:c r="S154" s="25">
        <x:f>IF(H154="","",IFERROR(H154/G154,""))</x:f>
      </x:c>
      <x:c r="T154" s="26">
        <x:f>IF(H154="","",IFERROR((J154+K154+L154+N154)/H154,""))</x:f>
      </x:c>
      <x:c r="U154" s="25">
        <x:f>IF(COUNTA(J154:L154,N154)=0,"",IFERROR(AVERAGE(J154:L154,N154),""))</x:f>
      </x:c>
      <x:c r="V154" s="17" t="inlineStr">
        <x:is>
          <x:t xml:space="preserve"/>
        </x:is>
      </x:c>
    </x:row>
    <x:row r="155">
      <x:c r="A155" s="16" t="inlineStr">
        <x:is>
          <x:t xml:space="preserve">P013</x:t>
        </x:is>
      </x:c>
      <x:c r="B155" s="16" t="n">
        <x:v>7</x:v>
      </x:c>
      <x:c r="C155" s="16" t="inlineStr">
        <x:is>
          <x:t xml:space="preserve">V12</x:t>
        </x:is>
      </x:c>
      <x:c r="D155" s="16" t="inlineStr">
        <x:is>
          <x:t xml:space="preserve">Time management</x:t>
        </x:is>
      </x:c>
      <x:c r="E155" s="16" t="inlineStr">
        <x:is>
          <x:t xml:space="preserve">Heavy bionic</x:t>
        </x:is>
      </x:c>
      <x:c r="F155" s="16" t="inlineStr">
        <x:is>
          <x:t xml:space="preserve">Muted</x:t>
        </x:is>
      </x:c>
      <x:c r="G155" s="21" t="n">
        <x:v>21</x:v>
      </x:c>
      <x:c r="H155" s="21" t="inlineStr">
        <x:is>
          <x:t xml:space="preserve"/>
        </x:is>
      </x:c>
      <x:c r="I155" s="21" t="inlineStr">
        <x:is>
          <x:t xml:space="preserve"/>
        </x:is>
      </x:c>
      <x:c r="J155" s="21" t="inlineStr">
        <x:is>
          <x:t xml:space="preserve"/>
        </x:is>
      </x:c>
      <x:c r="K155" s="21" t="inlineStr">
        <x:is>
          <x:t xml:space="preserve"/>
        </x:is>
      </x:c>
      <x:c r="L155" s="21" t="inlineStr">
        <x:is>
          <x:t xml:space="preserve"/>
        </x:is>
      </x:c>
      <x:c r="M155" s="21" t="inlineStr">
        <x:is>
          <x:t xml:space="preserve"/>
        </x:is>
      </x:c>
      <x:c r="N155" s="21" t="inlineStr">
        <x:is>
          <x:t xml:space="preserve"/>
        </x:is>
      </x:c>
      <x:c r="O155" s="21" t="inlineStr">
        <x:is>
          <x:t xml:space="preserve"/>
        </x:is>
      </x:c>
      <x:c r="P155" s="21" t="inlineStr">
        <x:is>
          <x:t xml:space="preserve"/>
        </x:is>
      </x:c>
      <x:c r="Q155" s="21" t="inlineStr">
        <x:is>
          <x:t xml:space="preserve"/>
        </x:is>
      </x:c>
      <x:c r="R155" s="21" t="inlineStr">
        <x:is>
          <x:t xml:space="preserve"/>
        </x:is>
      </x:c>
      <x:c r="S155" s="22">
        <x:f>IF(H155="","",IFERROR(H155/G155,""))</x:f>
      </x:c>
      <x:c r="T155" s="23">
        <x:f>IF(H155="","",IFERROR((J155+K155+L155+N155)/H155,""))</x:f>
      </x:c>
      <x:c r="U155" s="22">
        <x:f>IF(COUNTA(J155:L155,N155)=0,"",IFERROR(AVERAGE(J155:L155,N155),""))</x:f>
      </x:c>
      <x:c r="V155" s="16" t="inlineStr">
        <x:is>
          <x:t xml:space="preserve"/>
        </x:is>
      </x:c>
    </x:row>
    <x:row r="156">
      <x:c r="A156" s="17" t="inlineStr">
        <x:is>
          <x:t xml:space="preserve">P013</x:t>
        </x:is>
      </x:c>
      <x:c r="B156" s="17" t="n">
        <x:v>8</x:v>
      </x:c>
      <x:c r="C156" s="17" t="inlineStr">
        <x:is>
          <x:t xml:space="preserve">V07</x:t>
        </x:is>
      </x:c>
      <x:c r="D156" s="17" t="inlineStr">
        <x:is>
          <x:t xml:space="preserve">Business</x:t>
        </x:is>
      </x:c>
      <x:c r="E156" s="17" t="inlineStr">
        <x:is>
          <x:t xml:space="preserve">Full transcript</x:t>
        </x:is>
      </x:c>
      <x:c r="F156" s="17" t="inlineStr">
        <x:is>
          <x:t xml:space="preserve">Muted</x:t>
        </x:is>
      </x:c>
      <x:c r="G156" s="24" t="n">
        <x:v>18</x:v>
      </x:c>
      <x:c r="H156" s="24" t="inlineStr">
        <x:is>
          <x:t xml:space="preserve"/>
        </x:is>
      </x:c>
      <x:c r="I156" s="24" t="inlineStr">
        <x:is>
          <x:t xml:space="preserve"/>
        </x:is>
      </x:c>
      <x:c r="J156" s="24" t="inlineStr">
        <x:is>
          <x:t xml:space="preserve"/>
        </x:is>
      </x:c>
      <x:c r="K156" s="24" t="inlineStr">
        <x:is>
          <x:t xml:space="preserve"/>
        </x:is>
      </x:c>
      <x:c r="L156" s="24" t="inlineStr">
        <x:is>
          <x:t xml:space="preserve"/>
        </x:is>
      </x:c>
      <x:c r="M156" s="24" t="inlineStr">
        <x:is>
          <x:t xml:space="preserve"/>
        </x:is>
      </x:c>
      <x:c r="N156" s="24" t="inlineStr">
        <x:is>
          <x:t xml:space="preserve"/>
        </x:is>
      </x:c>
      <x:c r="O156" s="24" t="inlineStr">
        <x:is>
          <x:t xml:space="preserve"/>
        </x:is>
      </x:c>
      <x:c r="P156" s="24" t="inlineStr">
        <x:is>
          <x:t xml:space="preserve"/>
        </x:is>
      </x:c>
      <x:c r="Q156" s="24" t="inlineStr">
        <x:is>
          <x:t xml:space="preserve"/>
        </x:is>
      </x:c>
      <x:c r="R156" s="24" t="inlineStr">
        <x:is>
          <x:t xml:space="preserve"/>
        </x:is>
      </x:c>
      <x:c r="S156" s="25">
        <x:f>IF(H156="","",IFERROR(H156/G156,""))</x:f>
      </x:c>
      <x:c r="T156" s="26">
        <x:f>IF(H156="","",IFERROR((J156+K156+L156+N156)/H156,""))</x:f>
      </x:c>
      <x:c r="U156" s="25">
        <x:f>IF(COUNTA(J156:L156,N156)=0,"",IFERROR(AVERAGE(J156:L156,N156),""))</x:f>
      </x:c>
      <x:c r="V156" s="17" t="inlineStr">
        <x:is>
          <x:t xml:space="preserve"/>
        </x:is>
      </x:c>
    </x:row>
    <x:row r="157">
      <x:c r="A157" s="16" t="inlineStr">
        <x:is>
          <x:t xml:space="preserve">P013</x:t>
        </x:is>
      </x:c>
      <x:c r="B157" s="16" t="n">
        <x:v>9</x:v>
      </x:c>
      <x:c r="C157" s="16" t="inlineStr">
        <x:is>
          <x:t xml:space="preserve">V01</x:t>
        </x:is>
      </x:c>
      <x:c r="D157" s="16" t="inlineStr">
        <x:is>
          <x:t xml:space="preserve">Productivity</x:t>
        </x:is>
      </x:c>
      <x:c r="E157" s="16" t="inlineStr">
        <x:is>
          <x:t xml:space="preserve">Full transcript</x:t>
        </x:is>
      </x:c>
      <x:c r="F157" s="16" t="inlineStr">
        <x:is>
          <x:t xml:space="preserve">Muted</x:t>
        </x:is>
      </x:c>
      <x:c r="G157" s="21" t="n">
        <x:v>25</x:v>
      </x:c>
      <x:c r="H157" s="21" t="inlineStr">
        <x:is>
          <x:t xml:space="preserve"/>
        </x:is>
      </x:c>
      <x:c r="I157" s="21" t="inlineStr">
        <x:is>
          <x:t xml:space="preserve"/>
        </x:is>
      </x:c>
      <x:c r="J157" s="21" t="inlineStr">
        <x:is>
          <x:t xml:space="preserve"/>
        </x:is>
      </x:c>
      <x:c r="K157" s="21" t="inlineStr">
        <x:is>
          <x:t xml:space="preserve"/>
        </x:is>
      </x:c>
      <x:c r="L157" s="21" t="inlineStr">
        <x:is>
          <x:t xml:space="preserve"/>
        </x:is>
      </x:c>
      <x:c r="M157" s="21" t="inlineStr">
        <x:is>
          <x:t xml:space="preserve"/>
        </x:is>
      </x:c>
      <x:c r="N157" s="21" t="inlineStr">
        <x:is>
          <x:t xml:space="preserve"/>
        </x:is>
      </x:c>
      <x:c r="O157" s="21" t="inlineStr">
        <x:is>
          <x:t xml:space="preserve"/>
        </x:is>
      </x:c>
      <x:c r="P157" s="21" t="inlineStr">
        <x:is>
          <x:t xml:space="preserve"/>
        </x:is>
      </x:c>
      <x:c r="Q157" s="21" t="inlineStr">
        <x:is>
          <x:t xml:space="preserve"/>
        </x:is>
      </x:c>
      <x:c r="R157" s="21" t="inlineStr">
        <x:is>
          <x:t xml:space="preserve"/>
        </x:is>
      </x:c>
      <x:c r="S157" s="22">
        <x:f>IF(H157="","",IFERROR(H157/G157,""))</x:f>
      </x:c>
      <x:c r="T157" s="23">
        <x:f>IF(H157="","",IFERROR((J157+K157+L157+N157)/H157,""))</x:f>
      </x:c>
      <x:c r="U157" s="22">
        <x:f>IF(COUNTA(J157:L157,N157)=0,"",IFERROR(AVERAGE(J157:L157,N157),""))</x:f>
      </x:c>
      <x:c r="V157" s="16" t="inlineStr">
        <x:is>
          <x:t xml:space="preserve"/>
        </x:is>
      </x:c>
    </x:row>
    <x:row r="158">
      <x:c r="A158" s="17" t="inlineStr">
        <x:is>
          <x:t xml:space="preserve">P013</x:t>
        </x:is>
      </x:c>
      <x:c r="B158" s="17" t="n">
        <x:v>10</x:v>
      </x:c>
      <x:c r="C158" s="17" t="inlineStr">
        <x:is>
          <x:t xml:space="preserve">V03</x:t>
        </x:is>
      </x:c>
      <x:c r="D158" s="17" t="inlineStr">
        <x:is>
          <x:t xml:space="preserve">Fitness</x:t>
        </x:is>
      </x:c>
      <x:c r="E158" s="17" t="inlineStr">
        <x:is>
          <x:t xml:space="preserve">Semantic compression</x:t>
        </x:is>
      </x:c>
      <x:c r="F158" s="17" t="inlineStr">
        <x:is>
          <x:t xml:space="preserve">Muted</x:t>
        </x:is>
      </x:c>
      <x:c r="G158" s="24" t="n">
        <x:v>18</x:v>
      </x:c>
      <x:c r="H158" s="24" t="inlineStr">
        <x:is>
          <x:t xml:space="preserve"/>
        </x:is>
      </x:c>
      <x:c r="I158" s="24" t="inlineStr">
        <x:is>
          <x:t xml:space="preserve"/>
        </x:is>
      </x:c>
      <x:c r="J158" s="24" t="inlineStr">
        <x:is>
          <x:t xml:space="preserve"/>
        </x:is>
      </x:c>
      <x:c r="K158" s="24" t="inlineStr">
        <x:is>
          <x:t xml:space="preserve"/>
        </x:is>
      </x:c>
      <x:c r="L158" s="24" t="inlineStr">
        <x:is>
          <x:t xml:space="preserve"/>
        </x:is>
      </x:c>
      <x:c r="M158" s="24" t="inlineStr">
        <x:is>
          <x:t xml:space="preserve"/>
        </x:is>
      </x:c>
      <x:c r="N158" s="24" t="inlineStr">
        <x:is>
          <x:t xml:space="preserve"/>
        </x:is>
      </x:c>
      <x:c r="O158" s="24" t="inlineStr">
        <x:is>
          <x:t xml:space="preserve"/>
        </x:is>
      </x:c>
      <x:c r="P158" s="24" t="inlineStr">
        <x:is>
          <x:t xml:space="preserve"/>
        </x:is>
      </x:c>
      <x:c r="Q158" s="24" t="inlineStr">
        <x:is>
          <x:t xml:space="preserve"/>
        </x:is>
      </x:c>
      <x:c r="R158" s="24" t="inlineStr">
        <x:is>
          <x:t xml:space="preserve"/>
        </x:is>
      </x:c>
      <x:c r="S158" s="25">
        <x:f>IF(H158="","",IFERROR(H158/G158,""))</x:f>
      </x:c>
      <x:c r="T158" s="26">
        <x:f>IF(H158="","",IFERROR((J158+K158+L158+N158)/H158,""))</x:f>
      </x:c>
      <x:c r="U158" s="25">
        <x:f>IF(COUNTA(J158:L158,N158)=0,"",IFERROR(AVERAGE(J158:L158,N158),""))</x:f>
      </x:c>
      <x:c r="V158" s="17" t="inlineStr">
        <x:is>
          <x:t xml:space="preserve"/>
        </x:is>
      </x:c>
    </x:row>
    <x:row r="159">
      <x:c r="A159" s="16" t="inlineStr">
        <x:is>
          <x:t xml:space="preserve">P013</x:t>
        </x:is>
      </x:c>
      <x:c r="B159" s="16" t="n">
        <x:v>11</x:v>
      </x:c>
      <x:c r="C159" s="16" t="inlineStr">
        <x:is>
          <x:t xml:space="preserve">V05</x:t>
        </x:is>
      </x:c>
      <x:c r="D159" s="16" t="inlineStr">
        <x:is>
          <x:t xml:space="preserve">Tutorial</x:t>
        </x:is>
      </x:c>
      <x:c r="E159" s="16" t="inlineStr">
        <x:is>
          <x:t xml:space="preserve">BCC+</x:t>
        </x:is>
      </x:c>
      <x:c r="F159" s="16" t="inlineStr">
        <x:is>
          <x:t xml:space="preserve">Muted</x:t>
        </x:is>
      </x:c>
      <x:c r="G159" s="21" t="n">
        <x:v>20</x:v>
      </x:c>
      <x:c r="H159" s="21" t="inlineStr">
        <x:is>
          <x:t xml:space="preserve"/>
        </x:is>
      </x:c>
      <x:c r="I159" s="21" t="inlineStr">
        <x:is>
          <x:t xml:space="preserve"/>
        </x:is>
      </x:c>
      <x:c r="J159" s="21" t="inlineStr">
        <x:is>
          <x:t xml:space="preserve"/>
        </x:is>
      </x:c>
      <x:c r="K159" s="21" t="inlineStr">
        <x:is>
          <x:t xml:space="preserve"/>
        </x:is>
      </x:c>
      <x:c r="L159" s="21" t="inlineStr">
        <x:is>
          <x:t xml:space="preserve"/>
        </x:is>
      </x:c>
      <x:c r="M159" s="21" t="inlineStr">
        <x:is>
          <x:t xml:space="preserve"/>
        </x:is>
      </x:c>
      <x:c r="N159" s="21" t="inlineStr">
        <x:is>
          <x:t xml:space="preserve"/>
        </x:is>
      </x:c>
      <x:c r="O159" s="21" t="inlineStr">
        <x:is>
          <x:t xml:space="preserve"/>
        </x:is>
      </x:c>
      <x:c r="P159" s="21" t="inlineStr">
        <x:is>
          <x:t xml:space="preserve"/>
        </x:is>
      </x:c>
      <x:c r="Q159" s="21" t="inlineStr">
        <x:is>
          <x:t xml:space="preserve"/>
        </x:is>
      </x:c>
      <x:c r="R159" s="21" t="inlineStr">
        <x:is>
          <x:t xml:space="preserve"/>
        </x:is>
      </x:c>
      <x:c r="S159" s="22">
        <x:f>IF(H159="","",IFERROR(H159/G159,""))</x:f>
      </x:c>
      <x:c r="T159" s="23">
        <x:f>IF(H159="","",IFERROR((J159+K159+L159+N159)/H159,""))</x:f>
      </x:c>
      <x:c r="U159" s="22">
        <x:f>IF(COUNTA(J159:L159,N159)=0,"",IFERROR(AVERAGE(J159:L159,N159),""))</x:f>
      </x:c>
      <x:c r="V159" s="16" t="inlineStr">
        <x:is>
          <x:t xml:space="preserve"/>
        </x:is>
      </x:c>
    </x:row>
    <x:row r="160">
      <x:c r="A160" s="17" t="inlineStr">
        <x:is>
          <x:t xml:space="preserve">P013</x:t>
        </x:is>
      </x:c>
      <x:c r="B160" s="17" t="n">
        <x:v>12</x:v>
      </x:c>
      <x:c r="C160" s="17" t="inlineStr">
        <x:is>
          <x:t xml:space="preserve">V08</x:t>
        </x:is>
      </x:c>
      <x:c r="D160" s="17" t="inlineStr">
        <x:is>
          <x:t xml:space="preserve">Coding</x:t>
        </x:is>
      </x:c>
      <x:c r="E160" s="17" t="inlineStr">
        <x:is>
          <x:t xml:space="preserve">Keyword highlight</x:t>
        </x:is>
      </x:c>
      <x:c r="F160" s="17" t="inlineStr">
        <x:is>
          <x:t xml:space="preserve">Muted</x:t>
        </x:is>
      </x:c>
      <x:c r="G160" s="24" t="n">
        <x:v>24</x:v>
      </x:c>
      <x:c r="H160" s="24" t="inlineStr">
        <x:is>
          <x:t xml:space="preserve"/>
        </x:is>
      </x:c>
      <x:c r="I160" s="24" t="inlineStr">
        <x:is>
          <x:t xml:space="preserve"/>
        </x:is>
      </x:c>
      <x:c r="J160" s="24" t="inlineStr">
        <x:is>
          <x:t xml:space="preserve"/>
        </x:is>
      </x:c>
      <x:c r="K160" s="24" t="inlineStr">
        <x:is>
          <x:t xml:space="preserve"/>
        </x:is>
      </x:c>
      <x:c r="L160" s="24" t="inlineStr">
        <x:is>
          <x:t xml:space="preserve"/>
        </x:is>
      </x:c>
      <x:c r="M160" s="24" t="inlineStr">
        <x:is>
          <x:t xml:space="preserve"/>
        </x:is>
      </x:c>
      <x:c r="N160" s="24" t="inlineStr">
        <x:is>
          <x:t xml:space="preserve"/>
        </x:is>
      </x:c>
      <x:c r="O160" s="24" t="inlineStr">
        <x:is>
          <x:t xml:space="preserve"/>
        </x:is>
      </x:c>
      <x:c r="P160" s="24" t="inlineStr">
        <x:is>
          <x:t xml:space="preserve"/>
        </x:is>
      </x:c>
      <x:c r="Q160" s="24" t="inlineStr">
        <x:is>
          <x:t xml:space="preserve"/>
        </x:is>
      </x:c>
      <x:c r="R160" s="24" t="inlineStr">
        <x:is>
          <x:t xml:space="preserve"/>
        </x:is>
      </x:c>
      <x:c r="S160" s="25">
        <x:f>IF(H160="","",IFERROR(H160/G160,""))</x:f>
      </x:c>
      <x:c r="T160" s="26">
        <x:f>IF(H160="","",IFERROR((J160+K160+L160+N160)/H160,""))</x:f>
      </x:c>
      <x:c r="U160" s="25">
        <x:f>IF(COUNTA(J160:L160,N160)=0,"",IFERROR(AVERAGE(J160:L160,N160),""))</x:f>
      </x:c>
      <x:c r="V160" s="17" t="inlineStr">
        <x:is>
          <x:t xml:space="preserve"/>
        </x:is>
      </x:c>
    </x:row>
    <x:row r="161">
      <x:c r="A161" s="16" t="inlineStr">
        <x:is>
          <x:t xml:space="preserve">P014</x:t>
        </x:is>
      </x:c>
      <x:c r="B161" s="16" t="n">
        <x:v>1</x:v>
      </x:c>
      <x:c r="C161" s="16" t="inlineStr">
        <x:is>
          <x:t xml:space="preserve">V08</x:t>
        </x:is>
      </x:c>
      <x:c r="D161" s="16" t="inlineStr">
        <x:is>
          <x:t xml:space="preserve">Coding</x:t>
        </x:is>
      </x:c>
      <x:c r="E161" s="16" t="inlineStr">
        <x:is>
          <x:t xml:space="preserve">Semantic compression</x:t>
        </x:is>
      </x:c>
      <x:c r="F161" s="16" t="inlineStr">
        <x:is>
          <x:t xml:space="preserve">Muted</x:t>
        </x:is>
      </x:c>
      <x:c r="G161" s="21" t="n">
        <x:v>24</x:v>
      </x:c>
      <x:c r="H161" s="21" t="inlineStr">
        <x:is>
          <x:t xml:space="preserve"/>
        </x:is>
      </x:c>
      <x:c r="I161" s="21" t="inlineStr">
        <x:is>
          <x:t xml:space="preserve"/>
        </x:is>
      </x:c>
      <x:c r="J161" s="21" t="inlineStr">
        <x:is>
          <x:t xml:space="preserve"/>
        </x:is>
      </x:c>
      <x:c r="K161" s="21" t="inlineStr">
        <x:is>
          <x:t xml:space="preserve"/>
        </x:is>
      </x:c>
      <x:c r="L161" s="21" t="inlineStr">
        <x:is>
          <x:t xml:space="preserve"/>
        </x:is>
      </x:c>
      <x:c r="M161" s="21" t="inlineStr">
        <x:is>
          <x:t xml:space="preserve"/>
        </x:is>
      </x:c>
      <x:c r="N161" s="21" t="inlineStr">
        <x:is>
          <x:t xml:space="preserve"/>
        </x:is>
      </x:c>
      <x:c r="O161" s="21" t="inlineStr">
        <x:is>
          <x:t xml:space="preserve"/>
        </x:is>
      </x:c>
      <x:c r="P161" s="21" t="inlineStr">
        <x:is>
          <x:t xml:space="preserve"/>
        </x:is>
      </x:c>
      <x:c r="Q161" s="21" t="inlineStr">
        <x:is>
          <x:t xml:space="preserve"/>
        </x:is>
      </x:c>
      <x:c r="R161" s="21" t="inlineStr">
        <x:is>
          <x:t xml:space="preserve"/>
        </x:is>
      </x:c>
      <x:c r="S161" s="22">
        <x:f>IF(H161="","",IFERROR(H161/G161,""))</x:f>
      </x:c>
      <x:c r="T161" s="23">
        <x:f>IF(H161="","",IFERROR((J161+K161+L161+N161)/H161,""))</x:f>
      </x:c>
      <x:c r="U161" s="22">
        <x:f>IF(COUNTA(J161:L161,N161)=0,"",IFERROR(AVERAGE(J161:L161,N161),""))</x:f>
      </x:c>
      <x:c r="V161" s="16" t="inlineStr">
        <x:is>
          <x:t xml:space="preserve"/>
        </x:is>
      </x:c>
    </x:row>
    <x:row r="162">
      <x:c r="A162" s="17" t="inlineStr">
        <x:is>
          <x:t xml:space="preserve">P014</x:t>
        </x:is>
      </x:c>
      <x:c r="B162" s="17" t="n">
        <x:v>2</x:v>
      </x:c>
      <x:c r="C162" s="17" t="inlineStr">
        <x:is>
          <x:t xml:space="preserve">V03</x:t>
        </x:is>
      </x:c>
      <x:c r="D162" s="17" t="inlineStr">
        <x:is>
          <x:t xml:space="preserve">Fitness</x:t>
        </x:is>
      </x:c>
      <x:c r="E162" s="17" t="inlineStr">
        <x:is>
          <x:t xml:space="preserve">BCC</x:t>
        </x:is>
      </x:c>
      <x:c r="F162" s="17" t="inlineStr">
        <x:is>
          <x:t xml:space="preserve">Muted</x:t>
        </x:is>
      </x:c>
      <x:c r="G162" s="24" t="n">
        <x:v>18</x:v>
      </x:c>
      <x:c r="H162" s="24" t="inlineStr">
        <x:is>
          <x:t xml:space="preserve"/>
        </x:is>
      </x:c>
      <x:c r="I162" s="24" t="inlineStr">
        <x:is>
          <x:t xml:space="preserve"/>
        </x:is>
      </x:c>
      <x:c r="J162" s="24" t="inlineStr">
        <x:is>
          <x:t xml:space="preserve"/>
        </x:is>
      </x:c>
      <x:c r="K162" s="24" t="inlineStr">
        <x:is>
          <x:t xml:space="preserve"/>
        </x:is>
      </x:c>
      <x:c r="L162" s="24" t="inlineStr">
        <x:is>
          <x:t xml:space="preserve"/>
        </x:is>
      </x:c>
      <x:c r="M162" s="24" t="inlineStr">
        <x:is>
          <x:t xml:space="preserve"/>
        </x:is>
      </x:c>
      <x:c r="N162" s="24" t="inlineStr">
        <x:is>
          <x:t xml:space="preserve"/>
        </x:is>
      </x:c>
      <x:c r="O162" s="24" t="inlineStr">
        <x:is>
          <x:t xml:space="preserve"/>
        </x:is>
      </x:c>
      <x:c r="P162" s="24" t="inlineStr">
        <x:is>
          <x:t xml:space="preserve"/>
        </x:is>
      </x:c>
      <x:c r="Q162" s="24" t="inlineStr">
        <x:is>
          <x:t xml:space="preserve"/>
        </x:is>
      </x:c>
      <x:c r="R162" s="24" t="inlineStr">
        <x:is>
          <x:t xml:space="preserve"/>
        </x:is>
      </x:c>
      <x:c r="S162" s="25">
        <x:f>IF(H162="","",IFERROR(H162/G162,""))</x:f>
      </x:c>
      <x:c r="T162" s="26">
        <x:f>IF(H162="","",IFERROR((J162+K162+L162+N162)/H162,""))</x:f>
      </x:c>
      <x:c r="U162" s="25">
        <x:f>IF(COUNTA(J162:L162,N162)=0,"",IFERROR(AVERAGE(J162:L162,N162),""))</x:f>
      </x:c>
      <x:c r="V162" s="17" t="inlineStr">
        <x:is>
          <x:t xml:space="preserve"/>
        </x:is>
      </x:c>
    </x:row>
    <x:row r="163">
      <x:c r="A163" s="16" t="inlineStr">
        <x:is>
          <x:t xml:space="preserve">P014</x:t>
        </x:is>
      </x:c>
      <x:c r="B163" s="16" t="n">
        <x:v>3</x:v>
      </x:c>
      <x:c r="C163" s="16" t="inlineStr">
        <x:is>
          <x:t xml:space="preserve">V06</x:t>
        </x:is>
      </x:c>
      <x:c r="D163" s="16" t="inlineStr">
        <x:is>
          <x:t xml:space="preserve">Overload</x:t>
        </x:is>
      </x:c>
      <x:c r="E163" s="16" t="inlineStr">
        <x:is>
          <x:t xml:space="preserve">Full transcript</x:t>
        </x:is>
      </x:c>
      <x:c r="F163" s="16" t="inlineStr">
        <x:is>
          <x:t xml:space="preserve">Muted</x:t>
        </x:is>
      </x:c>
      <x:c r="G163" s="21" t="n">
        <x:v>16</x:v>
      </x:c>
      <x:c r="H163" s="21" t="inlineStr">
        <x:is>
          <x:t xml:space="preserve"/>
        </x:is>
      </x:c>
      <x:c r="I163" s="21" t="inlineStr">
        <x:is>
          <x:t xml:space="preserve"/>
        </x:is>
      </x:c>
      <x:c r="J163" s="21" t="inlineStr">
        <x:is>
          <x:t xml:space="preserve"/>
        </x:is>
      </x:c>
      <x:c r="K163" s="21" t="inlineStr">
        <x:is>
          <x:t xml:space="preserve"/>
        </x:is>
      </x:c>
      <x:c r="L163" s="21" t="inlineStr">
        <x:is>
          <x:t xml:space="preserve"/>
        </x:is>
      </x:c>
      <x:c r="M163" s="21" t="inlineStr">
        <x:is>
          <x:t xml:space="preserve"/>
        </x:is>
      </x:c>
      <x:c r="N163" s="21" t="inlineStr">
        <x:is>
          <x:t xml:space="preserve"/>
        </x:is>
      </x:c>
      <x:c r="O163" s="21" t="inlineStr">
        <x:is>
          <x:t xml:space="preserve"/>
        </x:is>
      </x:c>
      <x:c r="P163" s="21" t="inlineStr">
        <x:is>
          <x:t xml:space="preserve"/>
        </x:is>
      </x:c>
      <x:c r="Q163" s="21" t="inlineStr">
        <x:is>
          <x:t xml:space="preserve"/>
        </x:is>
      </x:c>
      <x:c r="R163" s="21" t="inlineStr">
        <x:is>
          <x:t xml:space="preserve"/>
        </x:is>
      </x:c>
      <x:c r="S163" s="22">
        <x:f>IF(H163="","",IFERROR(H163/G163,""))</x:f>
      </x:c>
      <x:c r="T163" s="23">
        <x:f>IF(H163="","",IFERROR((J163+K163+L163+N163)/H163,""))</x:f>
      </x:c>
      <x:c r="U163" s="22">
        <x:f>IF(COUNTA(J163:L163,N163)=0,"",IFERROR(AVERAGE(J163:L163,N163),""))</x:f>
      </x:c>
      <x:c r="V163" s="16" t="inlineStr">
        <x:is>
          <x:t xml:space="preserve"/>
        </x:is>
      </x:c>
    </x:row>
    <x:row r="164">
      <x:c r="A164" s="17" t="inlineStr">
        <x:is>
          <x:t xml:space="preserve">P014</x:t>
        </x:is>
      </x:c>
      <x:c r="B164" s="17" t="n">
        <x:v>4</x:v>
      </x:c>
      <x:c r="C164" s="17" t="inlineStr">
        <x:is>
          <x:t xml:space="preserve">V02</x:t>
        </x:is>
      </x:c>
      <x:c r="D164" s="17" t="inlineStr">
        <x:is>
          <x:t xml:space="preserve">Study</x:t>
        </x:is>
      </x:c>
      <x:c r="E164" s="17" t="inlineStr">
        <x:is>
          <x:t xml:space="preserve">Semantic compression</x:t>
        </x:is>
      </x:c>
      <x:c r="F164" s="17" t="inlineStr">
        <x:is>
          <x:t xml:space="preserve">Muted</x:t>
        </x:is>
      </x:c>
      <x:c r="G164" s="24" t="n">
        <x:v>18</x:v>
      </x:c>
      <x:c r="H164" s="24" t="inlineStr">
        <x:is>
          <x:t xml:space="preserve"/>
        </x:is>
      </x:c>
      <x:c r="I164" s="24" t="inlineStr">
        <x:is>
          <x:t xml:space="preserve"/>
        </x:is>
      </x:c>
      <x:c r="J164" s="24" t="inlineStr">
        <x:is>
          <x:t xml:space="preserve"/>
        </x:is>
      </x:c>
      <x:c r="K164" s="24" t="inlineStr">
        <x:is>
          <x:t xml:space="preserve"/>
        </x:is>
      </x:c>
      <x:c r="L164" s="24" t="inlineStr">
        <x:is>
          <x:t xml:space="preserve"/>
        </x:is>
      </x:c>
      <x:c r="M164" s="24" t="inlineStr">
        <x:is>
          <x:t xml:space="preserve"/>
        </x:is>
      </x:c>
      <x:c r="N164" s="24" t="inlineStr">
        <x:is>
          <x:t xml:space="preserve"/>
        </x:is>
      </x:c>
      <x:c r="O164" s="24" t="inlineStr">
        <x:is>
          <x:t xml:space="preserve"/>
        </x:is>
      </x:c>
      <x:c r="P164" s="24" t="inlineStr">
        <x:is>
          <x:t xml:space="preserve"/>
        </x:is>
      </x:c>
      <x:c r="Q164" s="24" t="inlineStr">
        <x:is>
          <x:t xml:space="preserve"/>
        </x:is>
      </x:c>
      <x:c r="R164" s="24" t="inlineStr">
        <x:is>
          <x:t xml:space="preserve"/>
        </x:is>
      </x:c>
      <x:c r="S164" s="25">
        <x:f>IF(H164="","",IFERROR(H164/G164,""))</x:f>
      </x:c>
      <x:c r="T164" s="26">
        <x:f>IF(H164="","",IFERROR((J164+K164+L164+N164)/H164,""))</x:f>
      </x:c>
      <x:c r="U164" s="25">
        <x:f>IF(COUNTA(J164:L164,N164)=0,"",IFERROR(AVERAGE(J164:L164,N164),""))</x:f>
      </x:c>
      <x:c r="V164" s="17" t="inlineStr">
        <x:is>
          <x:t xml:space="preserve"/>
        </x:is>
      </x:c>
    </x:row>
    <x:row r="165">
      <x:c r="A165" s="16" t="inlineStr">
        <x:is>
          <x:t xml:space="preserve">P014</x:t>
        </x:is>
      </x:c>
      <x:c r="B165" s="16" t="n">
        <x:v>5</x:v>
      </x:c>
      <x:c r="C165" s="16" t="inlineStr">
        <x:is>
          <x:t xml:space="preserve">V12</x:t>
        </x:is>
      </x:c>
      <x:c r="D165" s="16" t="inlineStr">
        <x:is>
          <x:t xml:space="preserve">Time management</x:t>
        </x:is>
      </x:c>
      <x:c r="E165" s="16" t="inlineStr">
        <x:is>
          <x:t xml:space="preserve">Full transcript</x:t>
        </x:is>
      </x:c>
      <x:c r="F165" s="16" t="inlineStr">
        <x:is>
          <x:t xml:space="preserve">Muted</x:t>
        </x:is>
      </x:c>
      <x:c r="G165" s="21" t="n">
        <x:v>21</x:v>
      </x:c>
      <x:c r="H165" s="21" t="inlineStr">
        <x:is>
          <x:t xml:space="preserve"/>
        </x:is>
      </x:c>
      <x:c r="I165" s="21" t="inlineStr">
        <x:is>
          <x:t xml:space="preserve"/>
        </x:is>
      </x:c>
      <x:c r="J165" s="21" t="inlineStr">
        <x:is>
          <x:t xml:space="preserve"/>
        </x:is>
      </x:c>
      <x:c r="K165" s="21" t="inlineStr">
        <x:is>
          <x:t xml:space="preserve"/>
        </x:is>
      </x:c>
      <x:c r="L165" s="21" t="inlineStr">
        <x:is>
          <x:t xml:space="preserve"/>
        </x:is>
      </x:c>
      <x:c r="M165" s="21" t="inlineStr">
        <x:is>
          <x:t xml:space="preserve"/>
        </x:is>
      </x:c>
      <x:c r="N165" s="21" t="inlineStr">
        <x:is>
          <x:t xml:space="preserve"/>
        </x:is>
      </x:c>
      <x:c r="O165" s="21" t="inlineStr">
        <x:is>
          <x:t xml:space="preserve"/>
        </x:is>
      </x:c>
      <x:c r="P165" s="21" t="inlineStr">
        <x:is>
          <x:t xml:space="preserve"/>
        </x:is>
      </x:c>
      <x:c r="Q165" s="21" t="inlineStr">
        <x:is>
          <x:t xml:space="preserve"/>
        </x:is>
      </x:c>
      <x:c r="R165" s="21" t="inlineStr">
        <x:is>
          <x:t xml:space="preserve"/>
        </x:is>
      </x:c>
      <x:c r="S165" s="22">
        <x:f>IF(H165="","",IFERROR(H165/G165,""))</x:f>
      </x:c>
      <x:c r="T165" s="23">
        <x:f>IF(H165="","",IFERROR((J165+K165+L165+N165)/H165,""))</x:f>
      </x:c>
      <x:c r="U165" s="22">
        <x:f>IF(COUNTA(J165:L165,N165)=0,"",IFERROR(AVERAGE(J165:L165,N165),""))</x:f>
      </x:c>
      <x:c r="V165" s="16" t="inlineStr">
        <x:is>
          <x:t xml:space="preserve"/>
        </x:is>
      </x:c>
    </x:row>
    <x:row r="166">
      <x:c r="A166" s="17" t="inlineStr">
        <x:is>
          <x:t xml:space="preserve">P014</x:t>
        </x:is>
      </x:c>
      <x:c r="B166" s="17" t="n">
        <x:v>6</x:v>
      </x:c>
      <x:c r="C166" s="17" t="inlineStr">
        <x:is>
          <x:t xml:space="preserve">V07</x:t>
        </x:is>
      </x:c>
      <x:c r="D166" s="17" t="inlineStr">
        <x:is>
          <x:t xml:space="preserve">Business</x:t>
        </x:is>
      </x:c>
      <x:c r="E166" s="17" t="inlineStr">
        <x:is>
          <x:t xml:space="preserve">Keyword highlight</x:t>
        </x:is>
      </x:c>
      <x:c r="F166" s="17" t="inlineStr">
        <x:is>
          <x:t xml:space="preserve">Muted</x:t>
        </x:is>
      </x:c>
      <x:c r="G166" s="24" t="n">
        <x:v>18</x:v>
      </x:c>
      <x:c r="H166" s="24" t="inlineStr">
        <x:is>
          <x:t xml:space="preserve"/>
        </x:is>
      </x:c>
      <x:c r="I166" s="24" t="inlineStr">
        <x:is>
          <x:t xml:space="preserve"/>
        </x:is>
      </x:c>
      <x:c r="J166" s="24" t="inlineStr">
        <x:is>
          <x:t xml:space="preserve"/>
        </x:is>
      </x:c>
      <x:c r="K166" s="24" t="inlineStr">
        <x:is>
          <x:t xml:space="preserve"/>
        </x:is>
      </x:c>
      <x:c r="L166" s="24" t="inlineStr">
        <x:is>
          <x:t xml:space="preserve"/>
        </x:is>
      </x:c>
      <x:c r="M166" s="24" t="inlineStr">
        <x:is>
          <x:t xml:space="preserve"/>
        </x:is>
      </x:c>
      <x:c r="N166" s="24" t="inlineStr">
        <x:is>
          <x:t xml:space="preserve"/>
        </x:is>
      </x:c>
      <x:c r="O166" s="24" t="inlineStr">
        <x:is>
          <x:t xml:space="preserve"/>
        </x:is>
      </x:c>
      <x:c r="P166" s="24" t="inlineStr">
        <x:is>
          <x:t xml:space="preserve"/>
        </x:is>
      </x:c>
      <x:c r="Q166" s="24" t="inlineStr">
        <x:is>
          <x:t xml:space="preserve"/>
        </x:is>
      </x:c>
      <x:c r="R166" s="24" t="inlineStr">
        <x:is>
          <x:t xml:space="preserve"/>
        </x:is>
      </x:c>
      <x:c r="S166" s="25">
        <x:f>IF(H166="","",IFERROR(H166/G166,""))</x:f>
      </x:c>
      <x:c r="T166" s="26">
        <x:f>IF(H166="","",IFERROR((J166+K166+L166+N166)/H166,""))</x:f>
      </x:c>
      <x:c r="U166" s="25">
        <x:f>IF(COUNTA(J166:L166,N166)=0,"",IFERROR(AVERAGE(J166:L166,N166),""))</x:f>
      </x:c>
      <x:c r="V166" s="17" t="inlineStr">
        <x:is>
          <x:t xml:space="preserve"/>
        </x:is>
      </x:c>
    </x:row>
    <x:row r="167">
      <x:c r="A167" s="16" t="inlineStr">
        <x:is>
          <x:t xml:space="preserve">P014</x:t>
        </x:is>
      </x:c>
      <x:c r="B167" s="16" t="n">
        <x:v>7</x:v>
      </x:c>
      <x:c r="C167" s="16" t="inlineStr">
        <x:is>
          <x:t xml:space="preserve">V10</x:t>
        </x:is>
      </x:c>
      <x:c r="D167" s="16" t="inlineStr">
        <x:is>
          <x:t xml:space="preserve">Product demo</x:t>
        </x:is>
      </x:c>
      <x:c r="E167" s="16" t="inlineStr">
        <x:is>
          <x:t xml:space="preserve">BCC+</x:t>
        </x:is>
      </x:c>
      <x:c r="F167" s="16" t="inlineStr">
        <x:is>
          <x:t xml:space="preserve">Muted</x:t>
        </x:is>
      </x:c>
      <x:c r="G167" s="21" t="n">
        <x:v>15</x:v>
      </x:c>
      <x:c r="H167" s="21" t="inlineStr">
        <x:is>
          <x:t xml:space="preserve"/>
        </x:is>
      </x:c>
      <x:c r="I167" s="21" t="inlineStr">
        <x:is>
          <x:t xml:space="preserve"/>
        </x:is>
      </x:c>
      <x:c r="J167" s="21" t="inlineStr">
        <x:is>
          <x:t xml:space="preserve"/>
        </x:is>
      </x:c>
      <x:c r="K167" s="21" t="inlineStr">
        <x:is>
          <x:t xml:space="preserve"/>
        </x:is>
      </x:c>
      <x:c r="L167" s="21" t="inlineStr">
        <x:is>
          <x:t xml:space="preserve"/>
        </x:is>
      </x:c>
      <x:c r="M167" s="21" t="inlineStr">
        <x:is>
          <x:t xml:space="preserve"/>
        </x:is>
      </x:c>
      <x:c r="N167" s="21" t="inlineStr">
        <x:is>
          <x:t xml:space="preserve"/>
        </x:is>
      </x:c>
      <x:c r="O167" s="21" t="inlineStr">
        <x:is>
          <x:t xml:space="preserve"/>
        </x:is>
      </x:c>
      <x:c r="P167" s="21" t="inlineStr">
        <x:is>
          <x:t xml:space="preserve"/>
        </x:is>
      </x:c>
      <x:c r="Q167" s="21" t="inlineStr">
        <x:is>
          <x:t xml:space="preserve"/>
        </x:is>
      </x:c>
      <x:c r="R167" s="21" t="inlineStr">
        <x:is>
          <x:t xml:space="preserve"/>
        </x:is>
      </x:c>
      <x:c r="S167" s="22">
        <x:f>IF(H167="","",IFERROR(H167/G167,""))</x:f>
      </x:c>
      <x:c r="T167" s="23">
        <x:f>IF(H167="","",IFERROR((J167+K167+L167+N167)/H167,""))</x:f>
      </x:c>
      <x:c r="U167" s="22">
        <x:f>IF(COUNTA(J167:L167,N167)=0,"",IFERROR(AVERAGE(J167:L167,N167),""))</x:f>
      </x:c>
      <x:c r="V167" s="16" t="inlineStr">
        <x:is>
          <x:t xml:space="preserve"/>
        </x:is>
      </x:c>
    </x:row>
    <x:row r="168">
      <x:c r="A168" s="17" t="inlineStr">
        <x:is>
          <x:t xml:space="preserve">P014</x:t>
        </x:is>
      </x:c>
      <x:c r="B168" s="17" t="n">
        <x:v>8</x:v>
      </x:c>
      <x:c r="C168" s="17" t="inlineStr">
        <x:is>
          <x:t xml:space="preserve">V11</x:t>
        </x:is>
      </x:c>
      <x:c r="D168" s="17" t="inlineStr">
        <x:is>
          <x:t xml:space="preserve">Creator strategy</x:t>
        </x:is>
      </x:c>
      <x:c r="E168" s="17" t="inlineStr">
        <x:is>
          <x:t xml:space="preserve">Heavy bionic</x:t>
        </x:is>
      </x:c>
      <x:c r="F168" s="17" t="inlineStr">
        <x:is>
          <x:t xml:space="preserve">Muted</x:t>
        </x:is>
      </x:c>
      <x:c r="G168" s="24" t="n">
        <x:v>17</x:v>
      </x:c>
      <x:c r="H168" s="24" t="inlineStr">
        <x:is>
          <x:t xml:space="preserve"/>
        </x:is>
      </x:c>
      <x:c r="I168" s="24" t="inlineStr">
        <x:is>
          <x:t xml:space="preserve"/>
        </x:is>
      </x:c>
      <x:c r="J168" s="24" t="inlineStr">
        <x:is>
          <x:t xml:space="preserve"/>
        </x:is>
      </x:c>
      <x:c r="K168" s="24" t="inlineStr">
        <x:is>
          <x:t xml:space="preserve"/>
        </x:is>
      </x:c>
      <x:c r="L168" s="24" t="inlineStr">
        <x:is>
          <x:t xml:space="preserve"/>
        </x:is>
      </x:c>
      <x:c r="M168" s="24" t="inlineStr">
        <x:is>
          <x:t xml:space="preserve"/>
        </x:is>
      </x:c>
      <x:c r="N168" s="24" t="inlineStr">
        <x:is>
          <x:t xml:space="preserve"/>
        </x:is>
      </x:c>
      <x:c r="O168" s="24" t="inlineStr">
        <x:is>
          <x:t xml:space="preserve"/>
        </x:is>
      </x:c>
      <x:c r="P168" s="24" t="inlineStr">
        <x:is>
          <x:t xml:space="preserve"/>
        </x:is>
      </x:c>
      <x:c r="Q168" s="24" t="inlineStr">
        <x:is>
          <x:t xml:space="preserve"/>
        </x:is>
      </x:c>
      <x:c r="R168" s="24" t="inlineStr">
        <x:is>
          <x:t xml:space="preserve"/>
        </x:is>
      </x:c>
      <x:c r="S168" s="25">
        <x:f>IF(H168="","",IFERROR(H168/G168,""))</x:f>
      </x:c>
      <x:c r="T168" s="26">
        <x:f>IF(H168="","",IFERROR((J168+K168+L168+N168)/H168,""))</x:f>
      </x:c>
      <x:c r="U168" s="25">
        <x:f>IF(COUNTA(J168:L168,N168)=0,"",IFERROR(AVERAGE(J168:L168,N168),""))</x:f>
      </x:c>
      <x:c r="V168" s="17" t="inlineStr">
        <x:is>
          <x:t xml:space="preserve"/>
        </x:is>
      </x:c>
    </x:row>
    <x:row r="169">
      <x:c r="A169" s="16" t="inlineStr">
        <x:is>
          <x:t xml:space="preserve">P014</x:t>
        </x:is>
      </x:c>
      <x:c r="B169" s="16" t="n">
        <x:v>9</x:v>
      </x:c>
      <x:c r="C169" s="16" t="inlineStr">
        <x:is>
          <x:t xml:space="preserve">V05</x:t>
        </x:is>
      </x:c>
      <x:c r="D169" s="16" t="inlineStr">
        <x:is>
          <x:t xml:space="preserve">Tutorial</x:t>
        </x:is>
      </x:c>
      <x:c r="E169" s="16" t="inlineStr">
        <x:is>
          <x:t xml:space="preserve">Heavy bionic</x:t>
        </x:is>
      </x:c>
      <x:c r="F169" s="16" t="inlineStr">
        <x:is>
          <x:t xml:space="preserve">Muted</x:t>
        </x:is>
      </x:c>
      <x:c r="G169" s="21" t="n">
        <x:v>20</x:v>
      </x:c>
      <x:c r="H169" s="21" t="inlineStr">
        <x:is>
          <x:t xml:space="preserve"/>
        </x:is>
      </x:c>
      <x:c r="I169" s="21" t="inlineStr">
        <x:is>
          <x:t xml:space="preserve"/>
        </x:is>
      </x:c>
      <x:c r="J169" s="21" t="inlineStr">
        <x:is>
          <x:t xml:space="preserve"/>
        </x:is>
      </x:c>
      <x:c r="K169" s="21" t="inlineStr">
        <x:is>
          <x:t xml:space="preserve"/>
        </x:is>
      </x:c>
      <x:c r="L169" s="21" t="inlineStr">
        <x:is>
          <x:t xml:space="preserve"/>
        </x:is>
      </x:c>
      <x:c r="M169" s="21" t="inlineStr">
        <x:is>
          <x:t xml:space="preserve"/>
        </x:is>
      </x:c>
      <x:c r="N169" s="21" t="inlineStr">
        <x:is>
          <x:t xml:space="preserve"/>
        </x:is>
      </x:c>
      <x:c r="O169" s="21" t="inlineStr">
        <x:is>
          <x:t xml:space="preserve"/>
        </x:is>
      </x:c>
      <x:c r="P169" s="21" t="inlineStr">
        <x:is>
          <x:t xml:space="preserve"/>
        </x:is>
      </x:c>
      <x:c r="Q169" s="21" t="inlineStr">
        <x:is>
          <x:t xml:space="preserve"/>
        </x:is>
      </x:c>
      <x:c r="R169" s="21" t="inlineStr">
        <x:is>
          <x:t xml:space="preserve"/>
        </x:is>
      </x:c>
      <x:c r="S169" s="22">
        <x:f>IF(H169="","",IFERROR(H169/G169,""))</x:f>
      </x:c>
      <x:c r="T169" s="23">
        <x:f>IF(H169="","",IFERROR((J169+K169+L169+N169)/H169,""))</x:f>
      </x:c>
      <x:c r="U169" s="22">
        <x:f>IF(COUNTA(J169:L169,N169)=0,"",IFERROR(AVERAGE(J169:L169,N169),""))</x:f>
      </x:c>
      <x:c r="V169" s="16" t="inlineStr">
        <x:is>
          <x:t xml:space="preserve"/>
        </x:is>
      </x:c>
    </x:row>
    <x:row r="170">
      <x:c r="A170" s="17" t="inlineStr">
        <x:is>
          <x:t xml:space="preserve">P014</x:t>
        </x:is>
      </x:c>
      <x:c r="B170" s="17" t="n">
        <x:v>10</x:v>
      </x:c>
      <x:c r="C170" s="17" t="inlineStr">
        <x:is>
          <x:t xml:space="preserve">V04</x:t>
        </x:is>
      </x:c>
      <x:c r="D170" s="17" t="inlineStr">
        <x:is>
          <x:t xml:space="preserve">Finance</x:t>
        </x:is>
      </x:c>
      <x:c r="E170" s="17" t="inlineStr">
        <x:is>
          <x:t xml:space="preserve">BCC+</x:t>
        </x:is>
      </x:c>
      <x:c r="F170" s="17" t="inlineStr">
        <x:is>
          <x:t xml:space="preserve">Muted</x:t>
        </x:is>
      </x:c>
      <x:c r="G170" s="24" t="n">
        <x:v>20</x:v>
      </x:c>
      <x:c r="H170" s="24" t="inlineStr">
        <x:is>
          <x:t xml:space="preserve"/>
        </x:is>
      </x:c>
      <x:c r="I170" s="24" t="inlineStr">
        <x:is>
          <x:t xml:space="preserve"/>
        </x:is>
      </x:c>
      <x:c r="J170" s="24" t="inlineStr">
        <x:is>
          <x:t xml:space="preserve"/>
        </x:is>
      </x:c>
      <x:c r="K170" s="24" t="inlineStr">
        <x:is>
          <x:t xml:space="preserve"/>
        </x:is>
      </x:c>
      <x:c r="L170" s="24" t="inlineStr">
        <x:is>
          <x:t xml:space="preserve"/>
        </x:is>
      </x:c>
      <x:c r="M170" s="24" t="inlineStr">
        <x:is>
          <x:t xml:space="preserve"/>
        </x:is>
      </x:c>
      <x:c r="N170" s="24" t="inlineStr">
        <x:is>
          <x:t xml:space="preserve"/>
        </x:is>
      </x:c>
      <x:c r="O170" s="24" t="inlineStr">
        <x:is>
          <x:t xml:space="preserve"/>
        </x:is>
      </x:c>
      <x:c r="P170" s="24" t="inlineStr">
        <x:is>
          <x:t xml:space="preserve"/>
        </x:is>
      </x:c>
      <x:c r="Q170" s="24" t="inlineStr">
        <x:is>
          <x:t xml:space="preserve"/>
        </x:is>
      </x:c>
      <x:c r="R170" s="24" t="inlineStr">
        <x:is>
          <x:t xml:space="preserve"/>
        </x:is>
      </x:c>
      <x:c r="S170" s="25">
        <x:f>IF(H170="","",IFERROR(H170/G170,""))</x:f>
      </x:c>
      <x:c r="T170" s="26">
        <x:f>IF(H170="","",IFERROR((J170+K170+L170+N170)/H170,""))</x:f>
      </x:c>
      <x:c r="U170" s="25">
        <x:f>IF(COUNTA(J170:L170,N170)=0,"",IFERROR(AVERAGE(J170:L170,N170),""))</x:f>
      </x:c>
      <x:c r="V170" s="17" t="inlineStr">
        <x:is>
          <x:t xml:space="preserve"/>
        </x:is>
      </x:c>
    </x:row>
    <x:row r="171">
      <x:c r="A171" s="16" t="inlineStr">
        <x:is>
          <x:t xml:space="preserve">P014</x:t>
        </x:is>
      </x:c>
      <x:c r="B171" s="16" t="n">
        <x:v>11</x:v>
      </x:c>
      <x:c r="C171" s="16" t="inlineStr">
        <x:is>
          <x:t xml:space="preserve">V01</x:t>
        </x:is>
      </x:c>
      <x:c r="D171" s="16" t="inlineStr">
        <x:is>
          <x:t xml:space="preserve">Productivity</x:t>
        </x:is>
      </x:c>
      <x:c r="E171" s="16" t="inlineStr">
        <x:is>
          <x:t xml:space="preserve">Keyword highlight</x:t>
        </x:is>
      </x:c>
      <x:c r="F171" s="16" t="inlineStr">
        <x:is>
          <x:t xml:space="preserve">Muted</x:t>
        </x:is>
      </x:c>
      <x:c r="G171" s="21" t="n">
        <x:v>25</x:v>
      </x:c>
      <x:c r="H171" s="21" t="inlineStr">
        <x:is>
          <x:t xml:space="preserve"/>
        </x:is>
      </x:c>
      <x:c r="I171" s="21" t="inlineStr">
        <x:is>
          <x:t xml:space="preserve"/>
        </x:is>
      </x:c>
      <x:c r="J171" s="21" t="inlineStr">
        <x:is>
          <x:t xml:space="preserve"/>
        </x:is>
      </x:c>
      <x:c r="K171" s="21" t="inlineStr">
        <x:is>
          <x:t xml:space="preserve"/>
        </x:is>
      </x:c>
      <x:c r="L171" s="21" t="inlineStr">
        <x:is>
          <x:t xml:space="preserve"/>
        </x:is>
      </x:c>
      <x:c r="M171" s="21" t="inlineStr">
        <x:is>
          <x:t xml:space="preserve"/>
        </x:is>
      </x:c>
      <x:c r="N171" s="21" t="inlineStr">
        <x:is>
          <x:t xml:space="preserve"/>
        </x:is>
      </x:c>
      <x:c r="O171" s="21" t="inlineStr">
        <x:is>
          <x:t xml:space="preserve"/>
        </x:is>
      </x:c>
      <x:c r="P171" s="21" t="inlineStr">
        <x:is>
          <x:t xml:space="preserve"/>
        </x:is>
      </x:c>
      <x:c r="Q171" s="21" t="inlineStr">
        <x:is>
          <x:t xml:space="preserve"/>
        </x:is>
      </x:c>
      <x:c r="R171" s="21" t="inlineStr">
        <x:is>
          <x:t xml:space="preserve"/>
        </x:is>
      </x:c>
      <x:c r="S171" s="22">
        <x:f>IF(H171="","",IFERROR(H171/G171,""))</x:f>
      </x:c>
      <x:c r="T171" s="23">
        <x:f>IF(H171="","",IFERROR((J171+K171+L171+N171)/H171,""))</x:f>
      </x:c>
      <x:c r="U171" s="22">
        <x:f>IF(COUNTA(J171:L171,N171)=0,"",IFERROR(AVERAGE(J171:L171,N171),""))</x:f>
      </x:c>
      <x:c r="V171" s="16" t="inlineStr">
        <x:is>
          <x:t xml:space="preserve"/>
        </x:is>
      </x:c>
    </x:row>
    <x:row r="172">
      <x:c r="A172" s="17" t="inlineStr">
        <x:is>
          <x:t xml:space="preserve">P014</x:t>
        </x:is>
      </x:c>
      <x:c r="B172" s="17" t="n">
        <x:v>12</x:v>
      </x:c>
      <x:c r="C172" s="17" t="inlineStr">
        <x:is>
          <x:t xml:space="preserve">V09</x:t>
        </x:is>
      </x:c>
      <x:c r="D172" s="17" t="inlineStr">
        <x:is>
          <x:t xml:space="preserve">Sleep habit</x:t>
        </x:is>
      </x:c>
      <x:c r="E172" s="17" t="inlineStr">
        <x:is>
          <x:t xml:space="preserve">BCC</x:t>
        </x:is>
      </x:c>
      <x:c r="F172" s="17" t="inlineStr">
        <x:is>
          <x:t xml:space="preserve">Muted</x:t>
        </x:is>
      </x:c>
      <x:c r="G172" s="24" t="n">
        <x:v>19</x:v>
      </x:c>
      <x:c r="H172" s="24" t="inlineStr">
        <x:is>
          <x:t xml:space="preserve"/>
        </x:is>
      </x:c>
      <x:c r="I172" s="24" t="inlineStr">
        <x:is>
          <x:t xml:space="preserve"/>
        </x:is>
      </x:c>
      <x:c r="J172" s="24" t="inlineStr">
        <x:is>
          <x:t xml:space="preserve"/>
        </x:is>
      </x:c>
      <x:c r="K172" s="24" t="inlineStr">
        <x:is>
          <x:t xml:space="preserve"/>
        </x:is>
      </x:c>
      <x:c r="L172" s="24" t="inlineStr">
        <x:is>
          <x:t xml:space="preserve"/>
        </x:is>
      </x:c>
      <x:c r="M172" s="24" t="inlineStr">
        <x:is>
          <x:t xml:space="preserve"/>
        </x:is>
      </x:c>
      <x:c r="N172" s="24" t="inlineStr">
        <x:is>
          <x:t xml:space="preserve"/>
        </x:is>
      </x:c>
      <x:c r="O172" s="24" t="inlineStr">
        <x:is>
          <x:t xml:space="preserve"/>
        </x:is>
      </x:c>
      <x:c r="P172" s="24" t="inlineStr">
        <x:is>
          <x:t xml:space="preserve"/>
        </x:is>
      </x:c>
      <x:c r="Q172" s="24" t="inlineStr">
        <x:is>
          <x:t xml:space="preserve"/>
        </x:is>
      </x:c>
      <x:c r="R172" s="24" t="inlineStr">
        <x:is>
          <x:t xml:space="preserve"/>
        </x:is>
      </x:c>
      <x:c r="S172" s="25">
        <x:f>IF(H172="","",IFERROR(H172/G172,""))</x:f>
      </x:c>
      <x:c r="T172" s="26">
        <x:f>IF(H172="","",IFERROR((J172+K172+L172+N172)/H172,""))</x:f>
      </x:c>
      <x:c r="U172" s="25">
        <x:f>IF(COUNTA(J172:L172,N172)=0,"",IFERROR(AVERAGE(J172:L172,N172),""))</x:f>
      </x:c>
      <x:c r="V172" s="17" t="inlineStr">
        <x:is>
          <x:t xml:space="preserve"/>
        </x:is>
      </x:c>
    </x:row>
    <x:row r="173">
      <x:c r="A173" s="16" t="inlineStr">
        <x:is>
          <x:t xml:space="preserve">P015</x:t>
        </x:is>
      </x:c>
      <x:c r="B173" s="16" t="n">
        <x:v>1</x:v>
      </x:c>
      <x:c r="C173" s="16" t="inlineStr">
        <x:is>
          <x:t xml:space="preserve">V06</x:t>
        </x:is>
      </x:c>
      <x:c r="D173" s="16" t="inlineStr">
        <x:is>
          <x:t xml:space="preserve">Overload</x:t>
        </x:is>
      </x:c>
      <x:c r="E173" s="16" t="inlineStr">
        <x:is>
          <x:t xml:space="preserve">Keyword highlight</x:t>
        </x:is>
      </x:c>
      <x:c r="F173" s="16" t="inlineStr">
        <x:is>
          <x:t xml:space="preserve">Muted</x:t>
        </x:is>
      </x:c>
      <x:c r="G173" s="21" t="n">
        <x:v>16</x:v>
      </x:c>
      <x:c r="H173" s="21" t="inlineStr">
        <x:is>
          <x:t xml:space="preserve"/>
        </x:is>
      </x:c>
      <x:c r="I173" s="21" t="inlineStr">
        <x:is>
          <x:t xml:space="preserve"/>
        </x:is>
      </x:c>
      <x:c r="J173" s="21" t="inlineStr">
        <x:is>
          <x:t xml:space="preserve"/>
        </x:is>
      </x:c>
      <x:c r="K173" s="21" t="inlineStr">
        <x:is>
          <x:t xml:space="preserve"/>
        </x:is>
      </x:c>
      <x:c r="L173" s="21" t="inlineStr">
        <x:is>
          <x:t xml:space="preserve"/>
        </x:is>
      </x:c>
      <x:c r="M173" s="21" t="inlineStr">
        <x:is>
          <x:t xml:space="preserve"/>
        </x:is>
      </x:c>
      <x:c r="N173" s="21" t="inlineStr">
        <x:is>
          <x:t xml:space="preserve"/>
        </x:is>
      </x:c>
      <x:c r="O173" s="21" t="inlineStr">
        <x:is>
          <x:t xml:space="preserve"/>
        </x:is>
      </x:c>
      <x:c r="P173" s="21" t="inlineStr">
        <x:is>
          <x:t xml:space="preserve"/>
        </x:is>
      </x:c>
      <x:c r="Q173" s="21" t="inlineStr">
        <x:is>
          <x:t xml:space="preserve"/>
        </x:is>
      </x:c>
      <x:c r="R173" s="21" t="inlineStr">
        <x:is>
          <x:t xml:space="preserve"/>
        </x:is>
      </x:c>
      <x:c r="S173" s="22">
        <x:f>IF(H173="","",IFERROR(H173/G173,""))</x:f>
      </x:c>
      <x:c r="T173" s="23">
        <x:f>IF(H173="","",IFERROR((J173+K173+L173+N173)/H173,""))</x:f>
      </x:c>
      <x:c r="U173" s="22">
        <x:f>IF(COUNTA(J173:L173,N173)=0,"",IFERROR(AVERAGE(J173:L173,N173),""))</x:f>
      </x:c>
      <x:c r="V173" s="16" t="inlineStr">
        <x:is>
          <x:t xml:space="preserve"/>
        </x:is>
      </x:c>
    </x:row>
    <x:row r="174">
      <x:c r="A174" s="17" t="inlineStr">
        <x:is>
          <x:t xml:space="preserve">P015</x:t>
        </x:is>
      </x:c>
      <x:c r="B174" s="17" t="n">
        <x:v>2</x:v>
      </x:c>
      <x:c r="C174" s="17" t="inlineStr">
        <x:is>
          <x:t xml:space="preserve">V01</x:t>
        </x:is>
      </x:c>
      <x:c r="D174" s="17" t="inlineStr">
        <x:is>
          <x:t xml:space="preserve">Productivity</x:t>
        </x:is>
      </x:c>
      <x:c r="E174" s="17" t="inlineStr">
        <x:is>
          <x:t xml:space="preserve">Semantic compression</x:t>
        </x:is>
      </x:c>
      <x:c r="F174" s="17" t="inlineStr">
        <x:is>
          <x:t xml:space="preserve">Muted</x:t>
        </x:is>
      </x:c>
      <x:c r="G174" s="24" t="n">
        <x:v>25</x:v>
      </x:c>
      <x:c r="H174" s="24" t="inlineStr">
        <x:is>
          <x:t xml:space="preserve"/>
        </x:is>
      </x:c>
      <x:c r="I174" s="24" t="inlineStr">
        <x:is>
          <x:t xml:space="preserve"/>
        </x:is>
      </x:c>
      <x:c r="J174" s="24" t="inlineStr">
        <x:is>
          <x:t xml:space="preserve"/>
        </x:is>
      </x:c>
      <x:c r="K174" s="24" t="inlineStr">
        <x:is>
          <x:t xml:space="preserve"/>
        </x:is>
      </x:c>
      <x:c r="L174" s="24" t="inlineStr">
        <x:is>
          <x:t xml:space="preserve"/>
        </x:is>
      </x:c>
      <x:c r="M174" s="24" t="inlineStr">
        <x:is>
          <x:t xml:space="preserve"/>
        </x:is>
      </x:c>
      <x:c r="N174" s="24" t="inlineStr">
        <x:is>
          <x:t xml:space="preserve"/>
        </x:is>
      </x:c>
      <x:c r="O174" s="24" t="inlineStr">
        <x:is>
          <x:t xml:space="preserve"/>
        </x:is>
      </x:c>
      <x:c r="P174" s="24" t="inlineStr">
        <x:is>
          <x:t xml:space="preserve"/>
        </x:is>
      </x:c>
      <x:c r="Q174" s="24" t="inlineStr">
        <x:is>
          <x:t xml:space="preserve"/>
        </x:is>
      </x:c>
      <x:c r="R174" s="24" t="inlineStr">
        <x:is>
          <x:t xml:space="preserve"/>
        </x:is>
      </x:c>
      <x:c r="S174" s="25">
        <x:f>IF(H174="","",IFERROR(H174/G174,""))</x:f>
      </x:c>
      <x:c r="T174" s="26">
        <x:f>IF(H174="","",IFERROR((J174+K174+L174+N174)/H174,""))</x:f>
      </x:c>
      <x:c r="U174" s="25">
        <x:f>IF(COUNTA(J174:L174,N174)=0,"",IFERROR(AVERAGE(J174:L174,N174),""))</x:f>
      </x:c>
      <x:c r="V174" s="17" t="inlineStr">
        <x:is>
          <x:t xml:space="preserve"/>
        </x:is>
      </x:c>
    </x:row>
    <x:row r="175">
      <x:c r="A175" s="16" t="inlineStr">
        <x:is>
          <x:t xml:space="preserve">P015</x:t>
        </x:is>
      </x:c>
      <x:c r="B175" s="16" t="n">
        <x:v>3</x:v>
      </x:c>
      <x:c r="C175" s="16" t="inlineStr">
        <x:is>
          <x:t xml:space="preserve">V12</x:t>
        </x:is>
      </x:c>
      <x:c r="D175" s="16" t="inlineStr">
        <x:is>
          <x:t xml:space="preserve">Time management</x:t>
        </x:is>
      </x:c>
      <x:c r="E175" s="16" t="inlineStr">
        <x:is>
          <x:t xml:space="preserve">Keyword highlight</x:t>
        </x:is>
      </x:c>
      <x:c r="F175" s="16" t="inlineStr">
        <x:is>
          <x:t xml:space="preserve">Muted</x:t>
        </x:is>
      </x:c>
      <x:c r="G175" s="21" t="n">
        <x:v>21</x:v>
      </x:c>
      <x:c r="H175" s="21" t="inlineStr">
        <x:is>
          <x:t xml:space="preserve"/>
        </x:is>
      </x:c>
      <x:c r="I175" s="21" t="inlineStr">
        <x:is>
          <x:t xml:space="preserve"/>
        </x:is>
      </x:c>
      <x:c r="J175" s="21" t="inlineStr">
        <x:is>
          <x:t xml:space="preserve"/>
        </x:is>
      </x:c>
      <x:c r="K175" s="21" t="inlineStr">
        <x:is>
          <x:t xml:space="preserve"/>
        </x:is>
      </x:c>
      <x:c r="L175" s="21" t="inlineStr">
        <x:is>
          <x:t xml:space="preserve"/>
        </x:is>
      </x:c>
      <x:c r="M175" s="21" t="inlineStr">
        <x:is>
          <x:t xml:space="preserve"/>
        </x:is>
      </x:c>
      <x:c r="N175" s="21" t="inlineStr">
        <x:is>
          <x:t xml:space="preserve"/>
        </x:is>
      </x:c>
      <x:c r="O175" s="21" t="inlineStr">
        <x:is>
          <x:t xml:space="preserve"/>
        </x:is>
      </x:c>
      <x:c r="P175" s="21" t="inlineStr">
        <x:is>
          <x:t xml:space="preserve"/>
        </x:is>
      </x:c>
      <x:c r="Q175" s="21" t="inlineStr">
        <x:is>
          <x:t xml:space="preserve"/>
        </x:is>
      </x:c>
      <x:c r="R175" s="21" t="inlineStr">
        <x:is>
          <x:t xml:space="preserve"/>
        </x:is>
      </x:c>
      <x:c r="S175" s="22">
        <x:f>IF(H175="","",IFERROR(H175/G175,""))</x:f>
      </x:c>
      <x:c r="T175" s="23">
        <x:f>IF(H175="","",IFERROR((J175+K175+L175+N175)/H175,""))</x:f>
      </x:c>
      <x:c r="U175" s="22">
        <x:f>IF(COUNTA(J175:L175,N175)=0,"",IFERROR(AVERAGE(J175:L175,N175),""))</x:f>
      </x:c>
      <x:c r="V175" s="16" t="inlineStr">
        <x:is>
          <x:t xml:space="preserve"/>
        </x:is>
      </x:c>
    </x:row>
    <x:row r="176">
      <x:c r="A176" s="17" t="inlineStr">
        <x:is>
          <x:t xml:space="preserve">P015</x:t>
        </x:is>
      </x:c>
      <x:c r="B176" s="17" t="n">
        <x:v>4</x:v>
      </x:c>
      <x:c r="C176" s="17" t="inlineStr">
        <x:is>
          <x:t xml:space="preserve">V10</x:t>
        </x:is>
      </x:c>
      <x:c r="D176" s="17" t="inlineStr">
        <x:is>
          <x:t xml:space="preserve">Product demo</x:t>
        </x:is>
      </x:c>
      <x:c r="E176" s="17" t="inlineStr">
        <x:is>
          <x:t xml:space="preserve">Heavy bionic</x:t>
        </x:is>
      </x:c>
      <x:c r="F176" s="17" t="inlineStr">
        <x:is>
          <x:t xml:space="preserve">Muted</x:t>
        </x:is>
      </x:c>
      <x:c r="G176" s="24" t="n">
        <x:v>15</x:v>
      </x:c>
      <x:c r="H176" s="24" t="inlineStr">
        <x:is>
          <x:t xml:space="preserve"/>
        </x:is>
      </x:c>
      <x:c r="I176" s="24" t="inlineStr">
        <x:is>
          <x:t xml:space="preserve"/>
        </x:is>
      </x:c>
      <x:c r="J176" s="24" t="inlineStr">
        <x:is>
          <x:t xml:space="preserve"/>
        </x:is>
      </x:c>
      <x:c r="K176" s="24" t="inlineStr">
        <x:is>
          <x:t xml:space="preserve"/>
        </x:is>
      </x:c>
      <x:c r="L176" s="24" t="inlineStr">
        <x:is>
          <x:t xml:space="preserve"/>
        </x:is>
      </x:c>
      <x:c r="M176" s="24" t="inlineStr">
        <x:is>
          <x:t xml:space="preserve"/>
        </x:is>
      </x:c>
      <x:c r="N176" s="24" t="inlineStr">
        <x:is>
          <x:t xml:space="preserve"/>
        </x:is>
      </x:c>
      <x:c r="O176" s="24" t="inlineStr">
        <x:is>
          <x:t xml:space="preserve"/>
        </x:is>
      </x:c>
      <x:c r="P176" s="24" t="inlineStr">
        <x:is>
          <x:t xml:space="preserve"/>
        </x:is>
      </x:c>
      <x:c r="Q176" s="24" t="inlineStr">
        <x:is>
          <x:t xml:space="preserve"/>
        </x:is>
      </x:c>
      <x:c r="R176" s="24" t="inlineStr">
        <x:is>
          <x:t xml:space="preserve"/>
        </x:is>
      </x:c>
      <x:c r="S176" s="25">
        <x:f>IF(H176="","",IFERROR(H176/G176,""))</x:f>
      </x:c>
      <x:c r="T176" s="26">
        <x:f>IF(H176="","",IFERROR((J176+K176+L176+N176)/H176,""))</x:f>
      </x:c>
      <x:c r="U176" s="25">
        <x:f>IF(COUNTA(J176:L176,N176)=0,"",IFERROR(AVERAGE(J176:L176,N176),""))</x:f>
      </x:c>
      <x:c r="V176" s="17" t="inlineStr">
        <x:is>
          <x:t xml:space="preserve"/>
        </x:is>
      </x:c>
    </x:row>
    <x:row r="177">
      <x:c r="A177" s="16" t="inlineStr">
        <x:is>
          <x:t xml:space="preserve">P015</x:t>
        </x:is>
      </x:c>
      <x:c r="B177" s="16" t="n">
        <x:v>5</x:v>
      </x:c>
      <x:c r="C177" s="16" t="inlineStr">
        <x:is>
          <x:t xml:space="preserve">V11</x:t>
        </x:is>
      </x:c>
      <x:c r="D177" s="16" t="inlineStr">
        <x:is>
          <x:t xml:space="preserve">Creator strategy</x:t>
        </x:is>
      </x:c>
      <x:c r="E177" s="16" t="inlineStr">
        <x:is>
          <x:t xml:space="preserve">Full transcript</x:t>
        </x:is>
      </x:c>
      <x:c r="F177" s="16" t="inlineStr">
        <x:is>
          <x:t xml:space="preserve">Muted</x:t>
        </x:is>
      </x:c>
      <x:c r="G177" s="21" t="n">
        <x:v>17</x:v>
      </x:c>
      <x:c r="H177" s="21" t="inlineStr">
        <x:is>
          <x:t xml:space="preserve"/>
        </x:is>
      </x:c>
      <x:c r="I177" s="21" t="inlineStr">
        <x:is>
          <x:t xml:space="preserve"/>
        </x:is>
      </x:c>
      <x:c r="J177" s="21" t="inlineStr">
        <x:is>
          <x:t xml:space="preserve"/>
        </x:is>
      </x:c>
      <x:c r="K177" s="21" t="inlineStr">
        <x:is>
          <x:t xml:space="preserve"/>
        </x:is>
      </x:c>
      <x:c r="L177" s="21" t="inlineStr">
        <x:is>
          <x:t xml:space="preserve"/>
        </x:is>
      </x:c>
      <x:c r="M177" s="21" t="inlineStr">
        <x:is>
          <x:t xml:space="preserve"/>
        </x:is>
      </x:c>
      <x:c r="N177" s="21" t="inlineStr">
        <x:is>
          <x:t xml:space="preserve"/>
        </x:is>
      </x:c>
      <x:c r="O177" s="21" t="inlineStr">
        <x:is>
          <x:t xml:space="preserve"/>
        </x:is>
      </x:c>
      <x:c r="P177" s="21" t="inlineStr">
        <x:is>
          <x:t xml:space="preserve"/>
        </x:is>
      </x:c>
      <x:c r="Q177" s="21" t="inlineStr">
        <x:is>
          <x:t xml:space="preserve"/>
        </x:is>
      </x:c>
      <x:c r="R177" s="21" t="inlineStr">
        <x:is>
          <x:t xml:space="preserve"/>
        </x:is>
      </x:c>
      <x:c r="S177" s="22">
        <x:f>IF(H177="","",IFERROR(H177/G177,""))</x:f>
      </x:c>
      <x:c r="T177" s="23">
        <x:f>IF(H177="","",IFERROR((J177+K177+L177+N177)/H177,""))</x:f>
      </x:c>
      <x:c r="U177" s="22">
        <x:f>IF(COUNTA(J177:L177,N177)=0,"",IFERROR(AVERAGE(J177:L177,N177),""))</x:f>
      </x:c>
      <x:c r="V177" s="16" t="inlineStr">
        <x:is>
          <x:t xml:space="preserve"/>
        </x:is>
      </x:c>
    </x:row>
    <x:row r="178">
      <x:c r="A178" s="17" t="inlineStr">
        <x:is>
          <x:t xml:space="preserve">P015</x:t>
        </x:is>
      </x:c>
      <x:c r="B178" s="17" t="n">
        <x:v>6</x:v>
      </x:c>
      <x:c r="C178" s="17" t="inlineStr">
        <x:is>
          <x:t xml:space="preserve">V04</x:t>
        </x:is>
      </x:c>
      <x:c r="D178" s="17" t="inlineStr">
        <x:is>
          <x:t xml:space="preserve">Finance</x:t>
        </x:is>
      </x:c>
      <x:c r="E178" s="17" t="inlineStr">
        <x:is>
          <x:t xml:space="preserve">Heavy bionic</x:t>
        </x:is>
      </x:c>
      <x:c r="F178" s="17" t="inlineStr">
        <x:is>
          <x:t xml:space="preserve">Muted</x:t>
        </x:is>
      </x:c>
      <x:c r="G178" s="24" t="n">
        <x:v>20</x:v>
      </x:c>
      <x:c r="H178" s="24" t="inlineStr">
        <x:is>
          <x:t xml:space="preserve"/>
        </x:is>
      </x:c>
      <x:c r="I178" s="24" t="inlineStr">
        <x:is>
          <x:t xml:space="preserve"/>
        </x:is>
      </x:c>
      <x:c r="J178" s="24" t="inlineStr">
        <x:is>
          <x:t xml:space="preserve"/>
        </x:is>
      </x:c>
      <x:c r="K178" s="24" t="inlineStr">
        <x:is>
          <x:t xml:space="preserve"/>
        </x:is>
      </x:c>
      <x:c r="L178" s="24" t="inlineStr">
        <x:is>
          <x:t xml:space="preserve"/>
        </x:is>
      </x:c>
      <x:c r="M178" s="24" t="inlineStr">
        <x:is>
          <x:t xml:space="preserve"/>
        </x:is>
      </x:c>
      <x:c r="N178" s="24" t="inlineStr">
        <x:is>
          <x:t xml:space="preserve"/>
        </x:is>
      </x:c>
      <x:c r="O178" s="24" t="inlineStr">
        <x:is>
          <x:t xml:space="preserve"/>
        </x:is>
      </x:c>
      <x:c r="P178" s="24" t="inlineStr">
        <x:is>
          <x:t xml:space="preserve"/>
        </x:is>
      </x:c>
      <x:c r="Q178" s="24" t="inlineStr">
        <x:is>
          <x:t xml:space="preserve"/>
        </x:is>
      </x:c>
      <x:c r="R178" s="24" t="inlineStr">
        <x:is>
          <x:t xml:space="preserve"/>
        </x:is>
      </x:c>
      <x:c r="S178" s="25">
        <x:f>IF(H178="","",IFERROR(H178/G178,""))</x:f>
      </x:c>
      <x:c r="T178" s="26">
        <x:f>IF(H178="","",IFERROR((J178+K178+L178+N178)/H178,""))</x:f>
      </x:c>
      <x:c r="U178" s="25">
        <x:f>IF(COUNTA(J178:L178,N178)=0,"",IFERROR(AVERAGE(J178:L178,N178),""))</x:f>
      </x:c>
      <x:c r="V178" s="17" t="inlineStr">
        <x:is>
          <x:t xml:space="preserve"/>
        </x:is>
      </x:c>
    </x:row>
    <x:row r="179">
      <x:c r="A179" s="16" t="inlineStr">
        <x:is>
          <x:t xml:space="preserve">P015</x:t>
        </x:is>
      </x:c>
      <x:c r="B179" s="16" t="n">
        <x:v>7</x:v>
      </x:c>
      <x:c r="C179" s="16" t="inlineStr">
        <x:is>
          <x:t xml:space="preserve">V03</x:t>
        </x:is>
      </x:c>
      <x:c r="D179" s="16" t="inlineStr">
        <x:is>
          <x:t xml:space="preserve">Fitness</x:t>
        </x:is>
      </x:c>
      <x:c r="E179" s="16" t="inlineStr">
        <x:is>
          <x:t xml:space="preserve">BCC+</x:t>
        </x:is>
      </x:c>
      <x:c r="F179" s="16" t="inlineStr">
        <x:is>
          <x:t xml:space="preserve">Muted</x:t>
        </x:is>
      </x:c>
      <x:c r="G179" s="21" t="n">
        <x:v>18</x:v>
      </x:c>
      <x:c r="H179" s="21" t="inlineStr">
        <x:is>
          <x:t xml:space="preserve"/>
        </x:is>
      </x:c>
      <x:c r="I179" s="21" t="inlineStr">
        <x:is>
          <x:t xml:space="preserve"/>
        </x:is>
      </x:c>
      <x:c r="J179" s="21" t="inlineStr">
        <x:is>
          <x:t xml:space="preserve"/>
        </x:is>
      </x:c>
      <x:c r="K179" s="21" t="inlineStr">
        <x:is>
          <x:t xml:space="preserve"/>
        </x:is>
      </x:c>
      <x:c r="L179" s="21" t="inlineStr">
        <x:is>
          <x:t xml:space="preserve"/>
        </x:is>
      </x:c>
      <x:c r="M179" s="21" t="inlineStr">
        <x:is>
          <x:t xml:space="preserve"/>
        </x:is>
      </x:c>
      <x:c r="N179" s="21" t="inlineStr">
        <x:is>
          <x:t xml:space="preserve"/>
        </x:is>
      </x:c>
      <x:c r="O179" s="21" t="inlineStr">
        <x:is>
          <x:t xml:space="preserve"/>
        </x:is>
      </x:c>
      <x:c r="P179" s="21" t="inlineStr">
        <x:is>
          <x:t xml:space="preserve"/>
        </x:is>
      </x:c>
      <x:c r="Q179" s="21" t="inlineStr">
        <x:is>
          <x:t xml:space="preserve"/>
        </x:is>
      </x:c>
      <x:c r="R179" s="21" t="inlineStr">
        <x:is>
          <x:t xml:space="preserve"/>
        </x:is>
      </x:c>
      <x:c r="S179" s="22">
        <x:f>IF(H179="","",IFERROR(H179/G179,""))</x:f>
      </x:c>
      <x:c r="T179" s="23">
        <x:f>IF(H179="","",IFERROR((J179+K179+L179+N179)/H179,""))</x:f>
      </x:c>
      <x:c r="U179" s="22">
        <x:f>IF(COUNTA(J179:L179,N179)=0,"",IFERROR(AVERAGE(J179:L179,N179),""))</x:f>
      </x:c>
      <x:c r="V179" s="16" t="inlineStr">
        <x:is>
          <x:t xml:space="preserve"/>
        </x:is>
      </x:c>
    </x:row>
    <x:row r="180">
      <x:c r="A180" s="17" t="inlineStr">
        <x:is>
          <x:t xml:space="preserve">P015</x:t>
        </x:is>
      </x:c>
      <x:c r="B180" s="17" t="n">
        <x:v>8</x:v>
      </x:c>
      <x:c r="C180" s="17" t="inlineStr">
        <x:is>
          <x:t xml:space="preserve">V07</x:t>
        </x:is>
      </x:c>
      <x:c r="D180" s="17" t="inlineStr">
        <x:is>
          <x:t xml:space="preserve">Business</x:t>
        </x:is>
      </x:c>
      <x:c r="E180" s="17" t="inlineStr">
        <x:is>
          <x:t xml:space="preserve">Semantic compression</x:t>
        </x:is>
      </x:c>
      <x:c r="F180" s="17" t="inlineStr">
        <x:is>
          <x:t xml:space="preserve">Muted</x:t>
        </x:is>
      </x:c>
      <x:c r="G180" s="24" t="n">
        <x:v>18</x:v>
      </x:c>
      <x:c r="H180" s="24" t="inlineStr">
        <x:is>
          <x:t xml:space="preserve"/>
        </x:is>
      </x:c>
      <x:c r="I180" s="24" t="inlineStr">
        <x:is>
          <x:t xml:space="preserve"/>
        </x:is>
      </x:c>
      <x:c r="J180" s="24" t="inlineStr">
        <x:is>
          <x:t xml:space="preserve"/>
        </x:is>
      </x:c>
      <x:c r="K180" s="24" t="inlineStr">
        <x:is>
          <x:t xml:space="preserve"/>
        </x:is>
      </x:c>
      <x:c r="L180" s="24" t="inlineStr">
        <x:is>
          <x:t xml:space="preserve"/>
        </x:is>
      </x:c>
      <x:c r="M180" s="24" t="inlineStr">
        <x:is>
          <x:t xml:space="preserve"/>
        </x:is>
      </x:c>
      <x:c r="N180" s="24" t="inlineStr">
        <x:is>
          <x:t xml:space="preserve"/>
        </x:is>
      </x:c>
      <x:c r="O180" s="24" t="inlineStr">
        <x:is>
          <x:t xml:space="preserve"/>
        </x:is>
      </x:c>
      <x:c r="P180" s="24" t="inlineStr">
        <x:is>
          <x:t xml:space="preserve"/>
        </x:is>
      </x:c>
      <x:c r="Q180" s="24" t="inlineStr">
        <x:is>
          <x:t xml:space="preserve"/>
        </x:is>
      </x:c>
      <x:c r="R180" s="24" t="inlineStr">
        <x:is>
          <x:t xml:space="preserve"/>
        </x:is>
      </x:c>
      <x:c r="S180" s="25">
        <x:f>IF(H180="","",IFERROR(H180/G180,""))</x:f>
      </x:c>
      <x:c r="T180" s="26">
        <x:f>IF(H180="","",IFERROR((J180+K180+L180+N180)/H180,""))</x:f>
      </x:c>
      <x:c r="U180" s="25">
        <x:f>IF(COUNTA(J180:L180,N180)=0,"",IFERROR(AVERAGE(J180:L180,N180),""))</x:f>
      </x:c>
      <x:c r="V180" s="17" t="inlineStr">
        <x:is>
          <x:t xml:space="preserve"/>
        </x:is>
      </x:c>
    </x:row>
    <x:row r="181">
      <x:c r="A181" s="16" t="inlineStr">
        <x:is>
          <x:t xml:space="preserve">P015</x:t>
        </x:is>
      </x:c>
      <x:c r="B181" s="16" t="n">
        <x:v>9</x:v>
      </x:c>
      <x:c r="C181" s="16" t="inlineStr">
        <x:is>
          <x:t xml:space="preserve">V09</x:t>
        </x:is>
      </x:c>
      <x:c r="D181" s="16" t="inlineStr">
        <x:is>
          <x:t xml:space="preserve">Sleep habit</x:t>
        </x:is>
      </x:c>
      <x:c r="E181" s="16" t="inlineStr">
        <x:is>
          <x:t xml:space="preserve">BCC+</x:t>
        </x:is>
      </x:c>
      <x:c r="F181" s="16" t="inlineStr">
        <x:is>
          <x:t xml:space="preserve">Muted</x:t>
        </x:is>
      </x:c>
      <x:c r="G181" s="21" t="n">
        <x:v>19</x:v>
      </x:c>
      <x:c r="H181" s="21" t="inlineStr">
        <x:is>
          <x:t xml:space="preserve"/>
        </x:is>
      </x:c>
      <x:c r="I181" s="21" t="inlineStr">
        <x:is>
          <x:t xml:space="preserve"/>
        </x:is>
      </x:c>
      <x:c r="J181" s="21" t="inlineStr">
        <x:is>
          <x:t xml:space="preserve"/>
        </x:is>
      </x:c>
      <x:c r="K181" s="21" t="inlineStr">
        <x:is>
          <x:t xml:space="preserve"/>
        </x:is>
      </x:c>
      <x:c r="L181" s="21" t="inlineStr">
        <x:is>
          <x:t xml:space="preserve"/>
        </x:is>
      </x:c>
      <x:c r="M181" s="21" t="inlineStr">
        <x:is>
          <x:t xml:space="preserve"/>
        </x:is>
      </x:c>
      <x:c r="N181" s="21" t="inlineStr">
        <x:is>
          <x:t xml:space="preserve"/>
        </x:is>
      </x:c>
      <x:c r="O181" s="21" t="inlineStr">
        <x:is>
          <x:t xml:space="preserve"/>
        </x:is>
      </x:c>
      <x:c r="P181" s="21" t="inlineStr">
        <x:is>
          <x:t xml:space="preserve"/>
        </x:is>
      </x:c>
      <x:c r="Q181" s="21" t="inlineStr">
        <x:is>
          <x:t xml:space="preserve"/>
        </x:is>
      </x:c>
      <x:c r="R181" s="21" t="inlineStr">
        <x:is>
          <x:t xml:space="preserve"/>
        </x:is>
      </x:c>
      <x:c r="S181" s="22">
        <x:f>IF(H181="","",IFERROR(H181/G181,""))</x:f>
      </x:c>
      <x:c r="T181" s="23">
        <x:f>IF(H181="","",IFERROR((J181+K181+L181+N181)/H181,""))</x:f>
      </x:c>
      <x:c r="U181" s="22">
        <x:f>IF(COUNTA(J181:L181,N181)=0,"",IFERROR(AVERAGE(J181:L181,N181),""))</x:f>
      </x:c>
      <x:c r="V181" s="16" t="inlineStr">
        <x:is>
          <x:t xml:space="preserve"/>
        </x:is>
      </x:c>
    </x:row>
    <x:row r="182">
      <x:c r="A182" s="17" t="inlineStr">
        <x:is>
          <x:t xml:space="preserve">P015</x:t>
        </x:is>
      </x:c>
      <x:c r="B182" s="17" t="n">
        <x:v>10</x:v>
      </x:c>
      <x:c r="C182" s="17" t="inlineStr">
        <x:is>
          <x:t xml:space="preserve">V08</x:t>
        </x:is>
      </x:c>
      <x:c r="D182" s="17" t="inlineStr">
        <x:is>
          <x:t xml:space="preserve">Coding</x:t>
        </x:is>
      </x:c>
      <x:c r="E182" s="17" t="inlineStr">
        <x:is>
          <x:t xml:space="preserve">BCC</x:t>
        </x:is>
      </x:c>
      <x:c r="F182" s="17" t="inlineStr">
        <x:is>
          <x:t xml:space="preserve">Muted</x:t>
        </x:is>
      </x:c>
      <x:c r="G182" s="24" t="n">
        <x:v>24</x:v>
      </x:c>
      <x:c r="H182" s="24" t="inlineStr">
        <x:is>
          <x:t xml:space="preserve"/>
        </x:is>
      </x:c>
      <x:c r="I182" s="24" t="inlineStr">
        <x:is>
          <x:t xml:space="preserve"/>
        </x:is>
      </x:c>
      <x:c r="J182" s="24" t="inlineStr">
        <x:is>
          <x:t xml:space="preserve"/>
        </x:is>
      </x:c>
      <x:c r="K182" s="24" t="inlineStr">
        <x:is>
          <x:t xml:space="preserve"/>
        </x:is>
      </x:c>
      <x:c r="L182" s="24" t="inlineStr">
        <x:is>
          <x:t xml:space="preserve"/>
        </x:is>
      </x:c>
      <x:c r="M182" s="24" t="inlineStr">
        <x:is>
          <x:t xml:space="preserve"/>
        </x:is>
      </x:c>
      <x:c r="N182" s="24" t="inlineStr">
        <x:is>
          <x:t xml:space="preserve"/>
        </x:is>
      </x:c>
      <x:c r="O182" s="24" t="inlineStr">
        <x:is>
          <x:t xml:space="preserve"/>
        </x:is>
      </x:c>
      <x:c r="P182" s="24" t="inlineStr">
        <x:is>
          <x:t xml:space="preserve"/>
        </x:is>
      </x:c>
      <x:c r="Q182" s="24" t="inlineStr">
        <x:is>
          <x:t xml:space="preserve"/>
        </x:is>
      </x:c>
      <x:c r="R182" s="24" t="inlineStr">
        <x:is>
          <x:t xml:space="preserve"/>
        </x:is>
      </x:c>
      <x:c r="S182" s="25">
        <x:f>IF(H182="","",IFERROR(H182/G182,""))</x:f>
      </x:c>
      <x:c r="T182" s="26">
        <x:f>IF(H182="","",IFERROR((J182+K182+L182+N182)/H182,""))</x:f>
      </x:c>
      <x:c r="U182" s="25">
        <x:f>IF(COUNTA(J182:L182,N182)=0,"",IFERROR(AVERAGE(J182:L182,N182),""))</x:f>
      </x:c>
      <x:c r="V182" s="17" t="inlineStr">
        <x:is>
          <x:t xml:space="preserve"/>
        </x:is>
      </x:c>
    </x:row>
    <x:row r="183">
      <x:c r="A183" s="16" t="inlineStr">
        <x:is>
          <x:t xml:space="preserve">P015</x:t>
        </x:is>
      </x:c>
      <x:c r="B183" s="16" t="n">
        <x:v>11</x:v>
      </x:c>
      <x:c r="C183" s="16" t="inlineStr">
        <x:is>
          <x:t xml:space="preserve">V05</x:t>
        </x:is>
      </x:c>
      <x:c r="D183" s="16" t="inlineStr">
        <x:is>
          <x:t xml:space="preserve">Tutorial</x:t>
        </x:is>
      </x:c>
      <x:c r="E183" s="16" t="inlineStr">
        <x:is>
          <x:t xml:space="preserve">Full transcript</x:t>
        </x:is>
      </x:c>
      <x:c r="F183" s="16" t="inlineStr">
        <x:is>
          <x:t xml:space="preserve">Muted</x:t>
        </x:is>
      </x:c>
      <x:c r="G183" s="21" t="n">
        <x:v>20</x:v>
      </x:c>
      <x:c r="H183" s="21" t="inlineStr">
        <x:is>
          <x:t xml:space="preserve"/>
        </x:is>
      </x:c>
      <x:c r="I183" s="21" t="inlineStr">
        <x:is>
          <x:t xml:space="preserve"/>
        </x:is>
      </x:c>
      <x:c r="J183" s="21" t="inlineStr">
        <x:is>
          <x:t xml:space="preserve"/>
        </x:is>
      </x:c>
      <x:c r="K183" s="21" t="inlineStr">
        <x:is>
          <x:t xml:space="preserve"/>
        </x:is>
      </x:c>
      <x:c r="L183" s="21" t="inlineStr">
        <x:is>
          <x:t xml:space="preserve"/>
        </x:is>
      </x:c>
      <x:c r="M183" s="21" t="inlineStr">
        <x:is>
          <x:t xml:space="preserve"/>
        </x:is>
      </x:c>
      <x:c r="N183" s="21" t="inlineStr">
        <x:is>
          <x:t xml:space="preserve"/>
        </x:is>
      </x:c>
      <x:c r="O183" s="21" t="inlineStr">
        <x:is>
          <x:t xml:space="preserve"/>
        </x:is>
      </x:c>
      <x:c r="P183" s="21" t="inlineStr">
        <x:is>
          <x:t xml:space="preserve"/>
        </x:is>
      </x:c>
      <x:c r="Q183" s="21" t="inlineStr">
        <x:is>
          <x:t xml:space="preserve"/>
        </x:is>
      </x:c>
      <x:c r="R183" s="21" t="inlineStr">
        <x:is>
          <x:t xml:space="preserve"/>
        </x:is>
      </x:c>
      <x:c r="S183" s="22">
        <x:f>IF(H183="","",IFERROR(H183/G183,""))</x:f>
      </x:c>
      <x:c r="T183" s="23">
        <x:f>IF(H183="","",IFERROR((J183+K183+L183+N183)/H183,""))</x:f>
      </x:c>
      <x:c r="U183" s="22">
        <x:f>IF(COUNTA(J183:L183,N183)=0,"",IFERROR(AVERAGE(J183:L183,N183),""))</x:f>
      </x:c>
      <x:c r="V183" s="16" t="inlineStr">
        <x:is>
          <x:t xml:space="preserve"/>
        </x:is>
      </x:c>
    </x:row>
    <x:row r="184">
      <x:c r="A184" s="17" t="inlineStr">
        <x:is>
          <x:t xml:space="preserve">P015</x:t>
        </x:is>
      </x:c>
      <x:c r="B184" s="17" t="n">
        <x:v>12</x:v>
      </x:c>
      <x:c r="C184" s="17" t="inlineStr">
        <x:is>
          <x:t xml:space="preserve">V02</x:t>
        </x:is>
      </x:c>
      <x:c r="D184" s="17" t="inlineStr">
        <x:is>
          <x:t xml:space="preserve">Study</x:t>
        </x:is>
      </x:c>
      <x:c r="E184" s="17" t="inlineStr">
        <x:is>
          <x:t xml:space="preserve">BCC</x:t>
        </x:is>
      </x:c>
      <x:c r="F184" s="17" t="inlineStr">
        <x:is>
          <x:t xml:space="preserve">Muted</x:t>
        </x:is>
      </x:c>
      <x:c r="G184" s="24" t="n">
        <x:v>18</x:v>
      </x:c>
      <x:c r="H184" s="24" t="inlineStr">
        <x:is>
          <x:t xml:space="preserve"/>
        </x:is>
      </x:c>
      <x:c r="I184" s="24" t="inlineStr">
        <x:is>
          <x:t xml:space="preserve"/>
        </x:is>
      </x:c>
      <x:c r="J184" s="24" t="inlineStr">
        <x:is>
          <x:t xml:space="preserve"/>
        </x:is>
      </x:c>
      <x:c r="K184" s="24" t="inlineStr">
        <x:is>
          <x:t xml:space="preserve"/>
        </x:is>
      </x:c>
      <x:c r="L184" s="24" t="inlineStr">
        <x:is>
          <x:t xml:space="preserve"/>
        </x:is>
      </x:c>
      <x:c r="M184" s="24" t="inlineStr">
        <x:is>
          <x:t xml:space="preserve"/>
        </x:is>
      </x:c>
      <x:c r="N184" s="24" t="inlineStr">
        <x:is>
          <x:t xml:space="preserve"/>
        </x:is>
      </x:c>
      <x:c r="O184" s="24" t="inlineStr">
        <x:is>
          <x:t xml:space="preserve"/>
        </x:is>
      </x:c>
      <x:c r="P184" s="24" t="inlineStr">
        <x:is>
          <x:t xml:space="preserve"/>
        </x:is>
      </x:c>
      <x:c r="Q184" s="24" t="inlineStr">
        <x:is>
          <x:t xml:space="preserve"/>
        </x:is>
      </x:c>
      <x:c r="R184" s="24" t="inlineStr">
        <x:is>
          <x:t xml:space="preserve"/>
        </x:is>
      </x:c>
      <x:c r="S184" s="25">
        <x:f>IF(H184="","",IFERROR(H184/G184,""))</x:f>
      </x:c>
      <x:c r="T184" s="26">
        <x:f>IF(H184="","",IFERROR((J184+K184+L184+N184)/H184,""))</x:f>
      </x:c>
      <x:c r="U184" s="25">
        <x:f>IF(COUNTA(J184:L184,N184)=0,"",IFERROR(AVERAGE(J184:L184,N184),""))</x:f>
      </x:c>
      <x:c r="V184" s="17" t="inlineStr">
        <x:is>
          <x:t xml:space="preserve"/>
        </x:is>
      </x:c>
    </x:row>
    <x:row r="185">
      <x:c r="A185" s="16" t="inlineStr">
        <x:is>
          <x:t xml:space="preserve">P016</x:t>
        </x:is>
      </x:c>
      <x:c r="B185" s="16" t="n">
        <x:v>1</x:v>
      </x:c>
      <x:c r="C185" s="16" t="inlineStr">
        <x:is>
          <x:t xml:space="preserve">V04</x:t>
        </x:is>
      </x:c>
      <x:c r="D185" s="16" t="inlineStr">
        <x:is>
          <x:t xml:space="preserve">Finance</x:t>
        </x:is>
      </x:c>
      <x:c r="E185" s="16" t="inlineStr">
        <x:is>
          <x:t xml:space="preserve">Full transcript</x:t>
        </x:is>
      </x:c>
      <x:c r="F185" s="16" t="inlineStr">
        <x:is>
          <x:t xml:space="preserve">Muted</x:t>
        </x:is>
      </x:c>
      <x:c r="G185" s="21" t="n">
        <x:v>20</x:v>
      </x:c>
      <x:c r="H185" s="21" t="inlineStr">
        <x:is>
          <x:t xml:space="preserve"/>
        </x:is>
      </x:c>
      <x:c r="I185" s="21" t="inlineStr">
        <x:is>
          <x:t xml:space="preserve"/>
        </x:is>
      </x:c>
      <x:c r="J185" s="21" t="inlineStr">
        <x:is>
          <x:t xml:space="preserve"/>
        </x:is>
      </x:c>
      <x:c r="K185" s="21" t="inlineStr">
        <x:is>
          <x:t xml:space="preserve"/>
        </x:is>
      </x:c>
      <x:c r="L185" s="21" t="inlineStr">
        <x:is>
          <x:t xml:space="preserve"/>
        </x:is>
      </x:c>
      <x:c r="M185" s="21" t="inlineStr">
        <x:is>
          <x:t xml:space="preserve"/>
        </x:is>
      </x:c>
      <x:c r="N185" s="21" t="inlineStr">
        <x:is>
          <x:t xml:space="preserve"/>
        </x:is>
      </x:c>
      <x:c r="O185" s="21" t="inlineStr">
        <x:is>
          <x:t xml:space="preserve"/>
        </x:is>
      </x:c>
      <x:c r="P185" s="21" t="inlineStr">
        <x:is>
          <x:t xml:space="preserve"/>
        </x:is>
      </x:c>
      <x:c r="Q185" s="21" t="inlineStr">
        <x:is>
          <x:t xml:space="preserve"/>
        </x:is>
      </x:c>
      <x:c r="R185" s="21" t="inlineStr">
        <x:is>
          <x:t xml:space="preserve"/>
        </x:is>
      </x:c>
      <x:c r="S185" s="22">
        <x:f>IF(H185="","",IFERROR(H185/G185,""))</x:f>
      </x:c>
      <x:c r="T185" s="23">
        <x:f>IF(H185="","",IFERROR((J185+K185+L185+N185)/H185,""))</x:f>
      </x:c>
      <x:c r="U185" s="22">
        <x:f>IF(COUNTA(J185:L185,N185)=0,"",IFERROR(AVERAGE(J185:L185,N185),""))</x:f>
      </x:c>
      <x:c r="V185" s="16" t="inlineStr">
        <x:is>
          <x:t xml:space="preserve"/>
        </x:is>
      </x:c>
    </x:row>
    <x:row r="186">
      <x:c r="A186" s="17" t="inlineStr">
        <x:is>
          <x:t xml:space="preserve">P016</x:t>
        </x:is>
      </x:c>
      <x:c r="B186" s="17" t="n">
        <x:v>2</x:v>
      </x:c>
      <x:c r="C186" s="17" t="inlineStr">
        <x:is>
          <x:t xml:space="preserve">V05</x:t>
        </x:is>
      </x:c>
      <x:c r="D186" s="17" t="inlineStr">
        <x:is>
          <x:t xml:space="preserve">Tutorial</x:t>
        </x:is>
      </x:c>
      <x:c r="E186" s="17" t="inlineStr">
        <x:is>
          <x:t xml:space="preserve">Keyword highlight</x:t>
        </x:is>
      </x:c>
      <x:c r="F186" s="17" t="inlineStr">
        <x:is>
          <x:t xml:space="preserve">Muted</x:t>
        </x:is>
      </x:c>
      <x:c r="G186" s="24" t="n">
        <x:v>20</x:v>
      </x:c>
      <x:c r="H186" s="24" t="inlineStr">
        <x:is>
          <x:t xml:space="preserve"/>
        </x:is>
      </x:c>
      <x:c r="I186" s="24" t="inlineStr">
        <x:is>
          <x:t xml:space="preserve"/>
        </x:is>
      </x:c>
      <x:c r="J186" s="24" t="inlineStr">
        <x:is>
          <x:t xml:space="preserve"/>
        </x:is>
      </x:c>
      <x:c r="K186" s="24" t="inlineStr">
        <x:is>
          <x:t xml:space="preserve"/>
        </x:is>
      </x:c>
      <x:c r="L186" s="24" t="inlineStr">
        <x:is>
          <x:t xml:space="preserve"/>
        </x:is>
      </x:c>
      <x:c r="M186" s="24" t="inlineStr">
        <x:is>
          <x:t xml:space="preserve"/>
        </x:is>
      </x:c>
      <x:c r="N186" s="24" t="inlineStr">
        <x:is>
          <x:t xml:space="preserve"/>
        </x:is>
      </x:c>
      <x:c r="O186" s="24" t="inlineStr">
        <x:is>
          <x:t xml:space="preserve"/>
        </x:is>
      </x:c>
      <x:c r="P186" s="24" t="inlineStr">
        <x:is>
          <x:t xml:space="preserve"/>
        </x:is>
      </x:c>
      <x:c r="Q186" s="24" t="inlineStr">
        <x:is>
          <x:t xml:space="preserve"/>
        </x:is>
      </x:c>
      <x:c r="R186" s="24" t="inlineStr">
        <x:is>
          <x:t xml:space="preserve"/>
        </x:is>
      </x:c>
      <x:c r="S186" s="25">
        <x:f>IF(H186="","",IFERROR(H186/G186,""))</x:f>
      </x:c>
      <x:c r="T186" s="26">
        <x:f>IF(H186="","",IFERROR((J186+K186+L186+N186)/H186,""))</x:f>
      </x:c>
      <x:c r="U186" s="25">
        <x:f>IF(COUNTA(J186:L186,N186)=0,"",IFERROR(AVERAGE(J186:L186,N186),""))</x:f>
      </x:c>
      <x:c r="V186" s="17" t="inlineStr">
        <x:is>
          <x:t xml:space="preserve"/>
        </x:is>
      </x:c>
    </x:row>
    <x:row r="187">
      <x:c r="A187" s="16" t="inlineStr">
        <x:is>
          <x:t xml:space="preserve">P016</x:t>
        </x:is>
      </x:c>
      <x:c r="B187" s="16" t="n">
        <x:v>3</x:v>
      </x:c>
      <x:c r="C187" s="16" t="inlineStr">
        <x:is>
          <x:t xml:space="preserve">V02</x:t>
        </x:is>
      </x:c>
      <x:c r="D187" s="16" t="inlineStr">
        <x:is>
          <x:t xml:space="preserve">Study</x:t>
        </x:is>
      </x:c>
      <x:c r="E187" s="16" t="inlineStr">
        <x:is>
          <x:t xml:space="preserve">BCC+</x:t>
        </x:is>
      </x:c>
      <x:c r="F187" s="16" t="inlineStr">
        <x:is>
          <x:t xml:space="preserve">Muted</x:t>
        </x:is>
      </x:c>
      <x:c r="G187" s="21" t="n">
        <x:v>18</x:v>
      </x:c>
      <x:c r="H187" s="21" t="inlineStr">
        <x:is>
          <x:t xml:space="preserve"/>
        </x:is>
      </x:c>
      <x:c r="I187" s="21" t="inlineStr">
        <x:is>
          <x:t xml:space="preserve"/>
        </x:is>
      </x:c>
      <x:c r="J187" s="21" t="inlineStr">
        <x:is>
          <x:t xml:space="preserve"/>
        </x:is>
      </x:c>
      <x:c r="K187" s="21" t="inlineStr">
        <x:is>
          <x:t xml:space="preserve"/>
        </x:is>
      </x:c>
      <x:c r="L187" s="21" t="inlineStr">
        <x:is>
          <x:t xml:space="preserve"/>
        </x:is>
      </x:c>
      <x:c r="M187" s="21" t="inlineStr">
        <x:is>
          <x:t xml:space="preserve"/>
        </x:is>
      </x:c>
      <x:c r="N187" s="21" t="inlineStr">
        <x:is>
          <x:t xml:space="preserve"/>
        </x:is>
      </x:c>
      <x:c r="O187" s="21" t="inlineStr">
        <x:is>
          <x:t xml:space="preserve"/>
        </x:is>
      </x:c>
      <x:c r="P187" s="21" t="inlineStr">
        <x:is>
          <x:t xml:space="preserve"/>
        </x:is>
      </x:c>
      <x:c r="Q187" s="21" t="inlineStr">
        <x:is>
          <x:t xml:space="preserve"/>
        </x:is>
      </x:c>
      <x:c r="R187" s="21" t="inlineStr">
        <x:is>
          <x:t xml:space="preserve"/>
        </x:is>
      </x:c>
      <x:c r="S187" s="22">
        <x:f>IF(H187="","",IFERROR(H187/G187,""))</x:f>
      </x:c>
      <x:c r="T187" s="23">
        <x:f>IF(H187="","",IFERROR((J187+K187+L187+N187)/H187,""))</x:f>
      </x:c>
      <x:c r="U187" s="22">
        <x:f>IF(COUNTA(J187:L187,N187)=0,"",IFERROR(AVERAGE(J187:L187,N187),""))</x:f>
      </x:c>
      <x:c r="V187" s="16" t="inlineStr">
        <x:is>
          <x:t xml:space="preserve"/>
        </x:is>
      </x:c>
    </x:row>
    <x:row r="188">
      <x:c r="A188" s="17" t="inlineStr">
        <x:is>
          <x:t xml:space="preserve">P016</x:t>
        </x:is>
      </x:c>
      <x:c r="B188" s="17" t="n">
        <x:v>4</x:v>
      </x:c>
      <x:c r="C188" s="17" t="inlineStr">
        <x:is>
          <x:t xml:space="preserve">V08</x:t>
        </x:is>
      </x:c>
      <x:c r="D188" s="17" t="inlineStr">
        <x:is>
          <x:t xml:space="preserve">Coding</x:t>
        </x:is>
      </x:c>
      <x:c r="E188" s="17" t="inlineStr">
        <x:is>
          <x:t xml:space="preserve">BCC+</x:t>
        </x:is>
      </x:c>
      <x:c r="F188" s="17" t="inlineStr">
        <x:is>
          <x:t xml:space="preserve">Muted</x:t>
        </x:is>
      </x:c>
      <x:c r="G188" s="24" t="n">
        <x:v>24</x:v>
      </x:c>
      <x:c r="H188" s="24" t="inlineStr">
        <x:is>
          <x:t xml:space="preserve"/>
        </x:is>
      </x:c>
      <x:c r="I188" s="24" t="inlineStr">
        <x:is>
          <x:t xml:space="preserve"/>
        </x:is>
      </x:c>
      <x:c r="J188" s="24" t="inlineStr">
        <x:is>
          <x:t xml:space="preserve"/>
        </x:is>
      </x:c>
      <x:c r="K188" s="24" t="inlineStr">
        <x:is>
          <x:t xml:space="preserve"/>
        </x:is>
      </x:c>
      <x:c r="L188" s="24" t="inlineStr">
        <x:is>
          <x:t xml:space="preserve"/>
        </x:is>
      </x:c>
      <x:c r="M188" s="24" t="inlineStr">
        <x:is>
          <x:t xml:space="preserve"/>
        </x:is>
      </x:c>
      <x:c r="N188" s="24" t="inlineStr">
        <x:is>
          <x:t xml:space="preserve"/>
        </x:is>
      </x:c>
      <x:c r="O188" s="24" t="inlineStr">
        <x:is>
          <x:t xml:space="preserve"/>
        </x:is>
      </x:c>
      <x:c r="P188" s="24" t="inlineStr">
        <x:is>
          <x:t xml:space="preserve"/>
        </x:is>
      </x:c>
      <x:c r="Q188" s="24" t="inlineStr">
        <x:is>
          <x:t xml:space="preserve"/>
        </x:is>
      </x:c>
      <x:c r="R188" s="24" t="inlineStr">
        <x:is>
          <x:t xml:space="preserve"/>
        </x:is>
      </x:c>
      <x:c r="S188" s="25">
        <x:f>IF(H188="","",IFERROR(H188/G188,""))</x:f>
      </x:c>
      <x:c r="T188" s="26">
        <x:f>IF(H188="","",IFERROR((J188+K188+L188+N188)/H188,""))</x:f>
      </x:c>
      <x:c r="U188" s="25">
        <x:f>IF(COUNTA(J188:L188,N188)=0,"",IFERROR(AVERAGE(J188:L188,N188),""))</x:f>
      </x:c>
      <x:c r="V188" s="17" t="inlineStr">
        <x:is>
          <x:t xml:space="preserve"/>
        </x:is>
      </x:c>
    </x:row>
    <x:row r="189">
      <x:c r="A189" s="16" t="inlineStr">
        <x:is>
          <x:t xml:space="preserve">P016</x:t>
        </x:is>
      </x:c>
      <x:c r="B189" s="16" t="n">
        <x:v>5</x:v>
      </x:c>
      <x:c r="C189" s="16" t="inlineStr">
        <x:is>
          <x:t xml:space="preserve">V01</x:t>
        </x:is>
      </x:c>
      <x:c r="D189" s="16" t="inlineStr">
        <x:is>
          <x:t xml:space="preserve">Productivity</x:t>
        </x:is>
      </x:c>
      <x:c r="E189" s="16" t="inlineStr">
        <x:is>
          <x:t xml:space="preserve">BCC</x:t>
        </x:is>
      </x:c>
      <x:c r="F189" s="16" t="inlineStr">
        <x:is>
          <x:t xml:space="preserve">Muted</x:t>
        </x:is>
      </x:c>
      <x:c r="G189" s="21" t="n">
        <x:v>25</x:v>
      </x:c>
      <x:c r="H189" s="21" t="inlineStr">
        <x:is>
          <x:t xml:space="preserve"/>
        </x:is>
      </x:c>
      <x:c r="I189" s="21" t="inlineStr">
        <x:is>
          <x:t xml:space="preserve"/>
        </x:is>
      </x:c>
      <x:c r="J189" s="21" t="inlineStr">
        <x:is>
          <x:t xml:space="preserve"/>
        </x:is>
      </x:c>
      <x:c r="K189" s="21" t="inlineStr">
        <x:is>
          <x:t xml:space="preserve"/>
        </x:is>
      </x:c>
      <x:c r="L189" s="21" t="inlineStr">
        <x:is>
          <x:t xml:space="preserve"/>
        </x:is>
      </x:c>
      <x:c r="M189" s="21" t="inlineStr">
        <x:is>
          <x:t xml:space="preserve"/>
        </x:is>
      </x:c>
      <x:c r="N189" s="21" t="inlineStr">
        <x:is>
          <x:t xml:space="preserve"/>
        </x:is>
      </x:c>
      <x:c r="O189" s="21" t="inlineStr">
        <x:is>
          <x:t xml:space="preserve"/>
        </x:is>
      </x:c>
      <x:c r="P189" s="21" t="inlineStr">
        <x:is>
          <x:t xml:space="preserve"/>
        </x:is>
      </x:c>
      <x:c r="Q189" s="21" t="inlineStr">
        <x:is>
          <x:t xml:space="preserve"/>
        </x:is>
      </x:c>
      <x:c r="R189" s="21" t="inlineStr">
        <x:is>
          <x:t xml:space="preserve"/>
        </x:is>
      </x:c>
      <x:c r="S189" s="22">
        <x:f>IF(H189="","",IFERROR(H189/G189,""))</x:f>
      </x:c>
      <x:c r="T189" s="23">
        <x:f>IF(H189="","",IFERROR((J189+K189+L189+N189)/H189,""))</x:f>
      </x:c>
      <x:c r="U189" s="22">
        <x:f>IF(COUNTA(J189:L189,N189)=0,"",IFERROR(AVERAGE(J189:L189,N189),""))</x:f>
      </x:c>
      <x:c r="V189" s="16" t="inlineStr">
        <x:is>
          <x:t xml:space="preserve"/>
        </x:is>
      </x:c>
    </x:row>
    <x:row r="190">
      <x:c r="A190" s="17" t="inlineStr">
        <x:is>
          <x:t xml:space="preserve">P016</x:t>
        </x:is>
      </x:c>
      <x:c r="B190" s="17" t="n">
        <x:v>6</x:v>
      </x:c>
      <x:c r="C190" s="17" t="inlineStr">
        <x:is>
          <x:t xml:space="preserve">V11</x:t>
        </x:is>
      </x:c>
      <x:c r="D190" s="17" t="inlineStr">
        <x:is>
          <x:t xml:space="preserve">Creator strategy</x:t>
        </x:is>
      </x:c>
      <x:c r="E190" s="17" t="inlineStr">
        <x:is>
          <x:t xml:space="preserve">Keyword highlight</x:t>
        </x:is>
      </x:c>
      <x:c r="F190" s="17" t="inlineStr">
        <x:is>
          <x:t xml:space="preserve">Muted</x:t>
        </x:is>
      </x:c>
      <x:c r="G190" s="24" t="n">
        <x:v>17</x:v>
      </x:c>
      <x:c r="H190" s="24" t="inlineStr">
        <x:is>
          <x:t xml:space="preserve"/>
        </x:is>
      </x:c>
      <x:c r="I190" s="24" t="inlineStr">
        <x:is>
          <x:t xml:space="preserve"/>
        </x:is>
      </x:c>
      <x:c r="J190" s="24" t="inlineStr">
        <x:is>
          <x:t xml:space="preserve"/>
        </x:is>
      </x:c>
      <x:c r="K190" s="24" t="inlineStr">
        <x:is>
          <x:t xml:space="preserve"/>
        </x:is>
      </x:c>
      <x:c r="L190" s="24" t="inlineStr">
        <x:is>
          <x:t xml:space="preserve"/>
        </x:is>
      </x:c>
      <x:c r="M190" s="24" t="inlineStr">
        <x:is>
          <x:t xml:space="preserve"/>
        </x:is>
      </x:c>
      <x:c r="N190" s="24" t="inlineStr">
        <x:is>
          <x:t xml:space="preserve"/>
        </x:is>
      </x:c>
      <x:c r="O190" s="24" t="inlineStr">
        <x:is>
          <x:t xml:space="preserve"/>
        </x:is>
      </x:c>
      <x:c r="P190" s="24" t="inlineStr">
        <x:is>
          <x:t xml:space="preserve"/>
        </x:is>
      </x:c>
      <x:c r="Q190" s="24" t="inlineStr">
        <x:is>
          <x:t xml:space="preserve"/>
        </x:is>
      </x:c>
      <x:c r="R190" s="24" t="inlineStr">
        <x:is>
          <x:t xml:space="preserve"/>
        </x:is>
      </x:c>
      <x:c r="S190" s="25">
        <x:f>IF(H190="","",IFERROR(H190/G190,""))</x:f>
      </x:c>
      <x:c r="T190" s="26">
        <x:f>IF(H190="","",IFERROR((J190+K190+L190+N190)/H190,""))</x:f>
      </x:c>
      <x:c r="U190" s="25">
        <x:f>IF(COUNTA(J190:L190,N190)=0,"",IFERROR(AVERAGE(J190:L190,N190),""))</x:f>
      </x:c>
      <x:c r="V190" s="17" t="inlineStr">
        <x:is>
          <x:t xml:space="preserve"/>
        </x:is>
      </x:c>
    </x:row>
    <x:row r="191">
      <x:c r="A191" s="16" t="inlineStr">
        <x:is>
          <x:t xml:space="preserve">P016</x:t>
        </x:is>
      </x:c>
      <x:c r="B191" s="16" t="n">
        <x:v>7</x:v>
      </x:c>
      <x:c r="C191" s="16" t="inlineStr">
        <x:is>
          <x:t xml:space="preserve">V10</x:t>
        </x:is>
      </x:c>
      <x:c r="D191" s="16" t="inlineStr">
        <x:is>
          <x:t xml:space="preserve">Product demo</x:t>
        </x:is>
      </x:c>
      <x:c r="E191" s="16" t="inlineStr">
        <x:is>
          <x:t xml:space="preserve">Full transcript</x:t>
        </x:is>
      </x:c>
      <x:c r="F191" s="16" t="inlineStr">
        <x:is>
          <x:t xml:space="preserve">Muted</x:t>
        </x:is>
      </x:c>
      <x:c r="G191" s="21" t="n">
        <x:v>15</x:v>
      </x:c>
      <x:c r="H191" s="21" t="inlineStr">
        <x:is>
          <x:t xml:space="preserve"/>
        </x:is>
      </x:c>
      <x:c r="I191" s="21" t="inlineStr">
        <x:is>
          <x:t xml:space="preserve"/>
        </x:is>
      </x:c>
      <x:c r="J191" s="21" t="inlineStr">
        <x:is>
          <x:t xml:space="preserve"/>
        </x:is>
      </x:c>
      <x:c r="K191" s="21" t="inlineStr">
        <x:is>
          <x:t xml:space="preserve"/>
        </x:is>
      </x:c>
      <x:c r="L191" s="21" t="inlineStr">
        <x:is>
          <x:t xml:space="preserve"/>
        </x:is>
      </x:c>
      <x:c r="M191" s="21" t="inlineStr">
        <x:is>
          <x:t xml:space="preserve"/>
        </x:is>
      </x:c>
      <x:c r="N191" s="21" t="inlineStr">
        <x:is>
          <x:t xml:space="preserve"/>
        </x:is>
      </x:c>
      <x:c r="O191" s="21" t="inlineStr">
        <x:is>
          <x:t xml:space="preserve"/>
        </x:is>
      </x:c>
      <x:c r="P191" s="21" t="inlineStr">
        <x:is>
          <x:t xml:space="preserve"/>
        </x:is>
      </x:c>
      <x:c r="Q191" s="21" t="inlineStr">
        <x:is>
          <x:t xml:space="preserve"/>
        </x:is>
      </x:c>
      <x:c r="R191" s="21" t="inlineStr">
        <x:is>
          <x:t xml:space="preserve"/>
        </x:is>
      </x:c>
      <x:c r="S191" s="22">
        <x:f>IF(H191="","",IFERROR(H191/G191,""))</x:f>
      </x:c>
      <x:c r="T191" s="23">
        <x:f>IF(H191="","",IFERROR((J191+K191+L191+N191)/H191,""))</x:f>
      </x:c>
      <x:c r="U191" s="22">
        <x:f>IF(COUNTA(J191:L191,N191)=0,"",IFERROR(AVERAGE(J191:L191,N191),""))</x:f>
      </x:c>
      <x:c r="V191" s="16" t="inlineStr">
        <x:is>
          <x:t xml:space="preserve"/>
        </x:is>
      </x:c>
    </x:row>
    <x:row r="192">
      <x:c r="A192" s="17" t="inlineStr">
        <x:is>
          <x:t xml:space="preserve">P016</x:t>
        </x:is>
      </x:c>
      <x:c r="B192" s="17" t="n">
        <x:v>8</x:v>
      </x:c>
      <x:c r="C192" s="17" t="inlineStr">
        <x:is>
          <x:t xml:space="preserve">V03</x:t>
        </x:is>
      </x:c>
      <x:c r="D192" s="17" t="inlineStr">
        <x:is>
          <x:t xml:space="preserve">Fitness</x:t>
        </x:is>
      </x:c>
      <x:c r="E192" s="17" t="inlineStr">
        <x:is>
          <x:t xml:space="preserve">Heavy bionic</x:t>
        </x:is>
      </x:c>
      <x:c r="F192" s="17" t="inlineStr">
        <x:is>
          <x:t xml:space="preserve">Muted</x:t>
        </x:is>
      </x:c>
      <x:c r="G192" s="24" t="n">
        <x:v>18</x:v>
      </x:c>
      <x:c r="H192" s="24" t="inlineStr">
        <x:is>
          <x:t xml:space="preserve"/>
        </x:is>
      </x:c>
      <x:c r="I192" s="24" t="inlineStr">
        <x:is>
          <x:t xml:space="preserve"/>
        </x:is>
      </x:c>
      <x:c r="J192" s="24" t="inlineStr">
        <x:is>
          <x:t xml:space="preserve"/>
        </x:is>
      </x:c>
      <x:c r="K192" s="24" t="inlineStr">
        <x:is>
          <x:t xml:space="preserve"/>
        </x:is>
      </x:c>
      <x:c r="L192" s="24" t="inlineStr">
        <x:is>
          <x:t xml:space="preserve"/>
        </x:is>
      </x:c>
      <x:c r="M192" s="24" t="inlineStr">
        <x:is>
          <x:t xml:space="preserve"/>
        </x:is>
      </x:c>
      <x:c r="N192" s="24" t="inlineStr">
        <x:is>
          <x:t xml:space="preserve"/>
        </x:is>
      </x:c>
      <x:c r="O192" s="24" t="inlineStr">
        <x:is>
          <x:t xml:space="preserve"/>
        </x:is>
      </x:c>
      <x:c r="P192" s="24" t="inlineStr">
        <x:is>
          <x:t xml:space="preserve"/>
        </x:is>
      </x:c>
      <x:c r="Q192" s="24" t="inlineStr">
        <x:is>
          <x:t xml:space="preserve"/>
        </x:is>
      </x:c>
      <x:c r="R192" s="24" t="inlineStr">
        <x:is>
          <x:t xml:space="preserve"/>
        </x:is>
      </x:c>
      <x:c r="S192" s="25">
        <x:f>IF(H192="","",IFERROR(H192/G192,""))</x:f>
      </x:c>
      <x:c r="T192" s="26">
        <x:f>IF(H192="","",IFERROR((J192+K192+L192+N192)/H192,""))</x:f>
      </x:c>
      <x:c r="U192" s="25">
        <x:f>IF(COUNTA(J192:L192,N192)=0,"",IFERROR(AVERAGE(J192:L192,N192),""))</x:f>
      </x:c>
      <x:c r="V192" s="17" t="inlineStr">
        <x:is>
          <x:t xml:space="preserve"/>
        </x:is>
      </x:c>
    </x:row>
    <x:row r="193">
      <x:c r="A193" s="16" t="inlineStr">
        <x:is>
          <x:t xml:space="preserve">P016</x:t>
        </x:is>
      </x:c>
      <x:c r="B193" s="16" t="n">
        <x:v>9</x:v>
      </x:c>
      <x:c r="C193" s="16" t="inlineStr">
        <x:is>
          <x:t xml:space="preserve">V12</x:t>
        </x:is>
      </x:c>
      <x:c r="D193" s="16" t="inlineStr">
        <x:is>
          <x:t xml:space="preserve">Time management</x:t>
        </x:is>
      </x:c>
      <x:c r="E193" s="16" t="inlineStr">
        <x:is>
          <x:t xml:space="preserve">Semantic compression</x:t>
        </x:is>
      </x:c>
      <x:c r="F193" s="16" t="inlineStr">
        <x:is>
          <x:t xml:space="preserve">Muted</x:t>
        </x:is>
      </x:c>
      <x:c r="G193" s="21" t="n">
        <x:v>21</x:v>
      </x:c>
      <x:c r="H193" s="21" t="inlineStr">
        <x:is>
          <x:t xml:space="preserve"/>
        </x:is>
      </x:c>
      <x:c r="I193" s="21" t="inlineStr">
        <x:is>
          <x:t xml:space="preserve"/>
        </x:is>
      </x:c>
      <x:c r="J193" s="21" t="inlineStr">
        <x:is>
          <x:t xml:space="preserve"/>
        </x:is>
      </x:c>
      <x:c r="K193" s="21" t="inlineStr">
        <x:is>
          <x:t xml:space="preserve"/>
        </x:is>
      </x:c>
      <x:c r="L193" s="21" t="inlineStr">
        <x:is>
          <x:t xml:space="preserve"/>
        </x:is>
      </x:c>
      <x:c r="M193" s="21" t="inlineStr">
        <x:is>
          <x:t xml:space="preserve"/>
        </x:is>
      </x:c>
      <x:c r="N193" s="21" t="inlineStr">
        <x:is>
          <x:t xml:space="preserve"/>
        </x:is>
      </x:c>
      <x:c r="O193" s="21" t="inlineStr">
        <x:is>
          <x:t xml:space="preserve"/>
        </x:is>
      </x:c>
      <x:c r="P193" s="21" t="inlineStr">
        <x:is>
          <x:t xml:space="preserve"/>
        </x:is>
      </x:c>
      <x:c r="Q193" s="21" t="inlineStr">
        <x:is>
          <x:t xml:space="preserve"/>
        </x:is>
      </x:c>
      <x:c r="R193" s="21" t="inlineStr">
        <x:is>
          <x:t xml:space="preserve"/>
        </x:is>
      </x:c>
      <x:c r="S193" s="22">
        <x:f>IF(H193="","",IFERROR(H193/G193,""))</x:f>
      </x:c>
      <x:c r="T193" s="23">
        <x:f>IF(H193="","",IFERROR((J193+K193+L193+N193)/H193,""))</x:f>
      </x:c>
      <x:c r="U193" s="22">
        <x:f>IF(COUNTA(J193:L193,N193)=0,"",IFERROR(AVERAGE(J193:L193,N193),""))</x:f>
      </x:c>
      <x:c r="V193" s="16" t="inlineStr">
        <x:is>
          <x:t xml:space="preserve"/>
        </x:is>
      </x:c>
    </x:row>
    <x:row r="194">
      <x:c r="A194" s="17" t="inlineStr">
        <x:is>
          <x:t xml:space="preserve">P016</x:t>
        </x:is>
      </x:c>
      <x:c r="B194" s="17" t="n">
        <x:v>10</x:v>
      </x:c>
      <x:c r="C194" s="17" t="inlineStr">
        <x:is>
          <x:t xml:space="preserve">V09</x:t>
        </x:is>
      </x:c>
      <x:c r="D194" s="17" t="inlineStr">
        <x:is>
          <x:t xml:space="preserve">Sleep habit</x:t>
        </x:is>
      </x:c>
      <x:c r="E194" s="17" t="inlineStr">
        <x:is>
          <x:t xml:space="preserve">Heavy bionic</x:t>
        </x:is>
      </x:c>
      <x:c r="F194" s="17" t="inlineStr">
        <x:is>
          <x:t xml:space="preserve">Muted</x:t>
        </x:is>
      </x:c>
      <x:c r="G194" s="24" t="n">
        <x:v>19</x:v>
      </x:c>
      <x:c r="H194" s="24" t="inlineStr">
        <x:is>
          <x:t xml:space="preserve"/>
        </x:is>
      </x:c>
      <x:c r="I194" s="24" t="inlineStr">
        <x:is>
          <x:t xml:space="preserve"/>
        </x:is>
      </x:c>
      <x:c r="J194" s="24" t="inlineStr">
        <x:is>
          <x:t xml:space="preserve"/>
        </x:is>
      </x:c>
      <x:c r="K194" s="24" t="inlineStr">
        <x:is>
          <x:t xml:space="preserve"/>
        </x:is>
      </x:c>
      <x:c r="L194" s="24" t="inlineStr">
        <x:is>
          <x:t xml:space="preserve"/>
        </x:is>
      </x:c>
      <x:c r="M194" s="24" t="inlineStr">
        <x:is>
          <x:t xml:space="preserve"/>
        </x:is>
      </x:c>
      <x:c r="N194" s="24" t="inlineStr">
        <x:is>
          <x:t xml:space="preserve"/>
        </x:is>
      </x:c>
      <x:c r="O194" s="24" t="inlineStr">
        <x:is>
          <x:t xml:space="preserve"/>
        </x:is>
      </x:c>
      <x:c r="P194" s="24" t="inlineStr">
        <x:is>
          <x:t xml:space="preserve"/>
        </x:is>
      </x:c>
      <x:c r="Q194" s="24" t="inlineStr">
        <x:is>
          <x:t xml:space="preserve"/>
        </x:is>
      </x:c>
      <x:c r="R194" s="24" t="inlineStr">
        <x:is>
          <x:t xml:space="preserve"/>
        </x:is>
      </x:c>
      <x:c r="S194" s="25">
        <x:f>IF(H194="","",IFERROR(H194/G194,""))</x:f>
      </x:c>
      <x:c r="T194" s="26">
        <x:f>IF(H194="","",IFERROR((J194+K194+L194+N194)/H194,""))</x:f>
      </x:c>
      <x:c r="U194" s="25">
        <x:f>IF(COUNTA(J194:L194,N194)=0,"",IFERROR(AVERAGE(J194:L194,N194),""))</x:f>
      </x:c>
      <x:c r="V194" s="17" t="inlineStr">
        <x:is>
          <x:t xml:space="preserve"/>
        </x:is>
      </x:c>
    </x:row>
    <x:row r="195">
      <x:c r="A195" s="16" t="inlineStr">
        <x:is>
          <x:t xml:space="preserve">P016</x:t>
        </x:is>
      </x:c>
      <x:c r="B195" s="16" t="n">
        <x:v>11</x:v>
      </x:c>
      <x:c r="C195" s="16" t="inlineStr">
        <x:is>
          <x:t xml:space="preserve">V07</x:t>
        </x:is>
      </x:c>
      <x:c r="D195" s="16" t="inlineStr">
        <x:is>
          <x:t xml:space="preserve">Business</x:t>
        </x:is>
      </x:c>
      <x:c r="E195" s="16" t="inlineStr">
        <x:is>
          <x:t xml:space="preserve">BCC</x:t>
        </x:is>
      </x:c>
      <x:c r="F195" s="16" t="inlineStr">
        <x:is>
          <x:t xml:space="preserve">Muted</x:t>
        </x:is>
      </x:c>
      <x:c r="G195" s="21" t="n">
        <x:v>18</x:v>
      </x:c>
      <x:c r="H195" s="21" t="inlineStr">
        <x:is>
          <x:t xml:space="preserve"/>
        </x:is>
      </x:c>
      <x:c r="I195" s="21" t="inlineStr">
        <x:is>
          <x:t xml:space="preserve"/>
        </x:is>
      </x:c>
      <x:c r="J195" s="21" t="inlineStr">
        <x:is>
          <x:t xml:space="preserve"/>
        </x:is>
      </x:c>
      <x:c r="K195" s="21" t="inlineStr">
        <x:is>
          <x:t xml:space="preserve"/>
        </x:is>
      </x:c>
      <x:c r="L195" s="21" t="inlineStr">
        <x:is>
          <x:t xml:space="preserve"/>
        </x:is>
      </x:c>
      <x:c r="M195" s="21" t="inlineStr">
        <x:is>
          <x:t xml:space="preserve"/>
        </x:is>
      </x:c>
      <x:c r="N195" s="21" t="inlineStr">
        <x:is>
          <x:t xml:space="preserve"/>
        </x:is>
      </x:c>
      <x:c r="O195" s="21" t="inlineStr">
        <x:is>
          <x:t xml:space="preserve"/>
        </x:is>
      </x:c>
      <x:c r="P195" s="21" t="inlineStr">
        <x:is>
          <x:t xml:space="preserve"/>
        </x:is>
      </x:c>
      <x:c r="Q195" s="21" t="inlineStr">
        <x:is>
          <x:t xml:space="preserve"/>
        </x:is>
      </x:c>
      <x:c r="R195" s="21" t="inlineStr">
        <x:is>
          <x:t xml:space="preserve"/>
        </x:is>
      </x:c>
      <x:c r="S195" s="22">
        <x:f>IF(H195="","",IFERROR(H195/G195,""))</x:f>
      </x:c>
      <x:c r="T195" s="23">
        <x:f>IF(H195="","",IFERROR((J195+K195+L195+N195)/H195,""))</x:f>
      </x:c>
      <x:c r="U195" s="22">
        <x:f>IF(COUNTA(J195:L195,N195)=0,"",IFERROR(AVERAGE(J195:L195,N195),""))</x:f>
      </x:c>
      <x:c r="V195" s="16" t="inlineStr">
        <x:is>
          <x:t xml:space="preserve"/>
        </x:is>
      </x:c>
    </x:row>
    <x:row r="196">
      <x:c r="A196" s="17" t="inlineStr">
        <x:is>
          <x:t xml:space="preserve">P016</x:t>
        </x:is>
      </x:c>
      <x:c r="B196" s="17" t="n">
        <x:v>12</x:v>
      </x:c>
      <x:c r="C196" s="17" t="inlineStr">
        <x:is>
          <x:t xml:space="preserve">V06</x:t>
        </x:is>
      </x:c>
      <x:c r="D196" s="17" t="inlineStr">
        <x:is>
          <x:t xml:space="preserve">Overload</x:t>
        </x:is>
      </x:c>
      <x:c r="E196" s="17" t="inlineStr">
        <x:is>
          <x:t xml:space="preserve">Semantic compression</x:t>
        </x:is>
      </x:c>
      <x:c r="F196" s="17" t="inlineStr">
        <x:is>
          <x:t xml:space="preserve">Muted</x:t>
        </x:is>
      </x:c>
      <x:c r="G196" s="24" t="n">
        <x:v>16</x:v>
      </x:c>
      <x:c r="H196" s="24" t="inlineStr">
        <x:is>
          <x:t xml:space="preserve"/>
        </x:is>
      </x:c>
      <x:c r="I196" s="24" t="inlineStr">
        <x:is>
          <x:t xml:space="preserve"/>
        </x:is>
      </x:c>
      <x:c r="J196" s="24" t="inlineStr">
        <x:is>
          <x:t xml:space="preserve"/>
        </x:is>
      </x:c>
      <x:c r="K196" s="24" t="inlineStr">
        <x:is>
          <x:t xml:space="preserve"/>
        </x:is>
      </x:c>
      <x:c r="L196" s="24" t="inlineStr">
        <x:is>
          <x:t xml:space="preserve"/>
        </x:is>
      </x:c>
      <x:c r="M196" s="24" t="inlineStr">
        <x:is>
          <x:t xml:space="preserve"/>
        </x:is>
      </x:c>
      <x:c r="N196" s="24" t="inlineStr">
        <x:is>
          <x:t xml:space="preserve"/>
        </x:is>
      </x:c>
      <x:c r="O196" s="24" t="inlineStr">
        <x:is>
          <x:t xml:space="preserve"/>
        </x:is>
      </x:c>
      <x:c r="P196" s="24" t="inlineStr">
        <x:is>
          <x:t xml:space="preserve"/>
        </x:is>
      </x:c>
      <x:c r="Q196" s="24" t="inlineStr">
        <x:is>
          <x:t xml:space="preserve"/>
        </x:is>
      </x:c>
      <x:c r="R196" s="24" t="inlineStr">
        <x:is>
          <x:t xml:space="preserve"/>
        </x:is>
      </x:c>
      <x:c r="S196" s="25">
        <x:f>IF(H196="","",IFERROR(H196/G196,""))</x:f>
      </x:c>
      <x:c r="T196" s="26">
        <x:f>IF(H196="","",IFERROR((J196+K196+L196+N196)/H196,""))</x:f>
      </x:c>
      <x:c r="U196" s="25">
        <x:f>IF(COUNTA(J196:L196,N196)=0,"",IFERROR(AVERAGE(J196:L196,N196),""))</x:f>
      </x:c>
      <x:c r="V196" s="17" t="inlineStr">
        <x:is>
          <x:t xml:space="preserve"/>
        </x:is>
      </x:c>
    </x:row>
    <x:row r="197">
      <x:c r="A197" s="16" t="inlineStr">
        <x:is>
          <x:t xml:space="preserve">P017</x:t>
        </x:is>
      </x:c>
      <x:c r="B197" s="16" t="n">
        <x:v>1</x:v>
      </x:c>
      <x:c r="C197" s="16" t="inlineStr">
        <x:is>
          <x:t xml:space="preserve">V09</x:t>
        </x:is>
      </x:c>
      <x:c r="D197" s="16" t="inlineStr">
        <x:is>
          <x:t xml:space="preserve">Sleep habit</x:t>
        </x:is>
      </x:c>
      <x:c r="E197" s="16" t="inlineStr">
        <x:is>
          <x:t xml:space="preserve">Full transcript</x:t>
        </x:is>
      </x:c>
      <x:c r="F197" s="16" t="inlineStr">
        <x:is>
          <x:t xml:space="preserve">Muted</x:t>
        </x:is>
      </x:c>
      <x:c r="G197" s="21" t="n">
        <x:v>19</x:v>
      </x:c>
      <x:c r="H197" s="21" t="inlineStr">
        <x:is>
          <x:t xml:space="preserve"/>
        </x:is>
      </x:c>
      <x:c r="I197" s="21" t="inlineStr">
        <x:is>
          <x:t xml:space="preserve"/>
        </x:is>
      </x:c>
      <x:c r="J197" s="21" t="inlineStr">
        <x:is>
          <x:t xml:space="preserve"/>
        </x:is>
      </x:c>
      <x:c r="K197" s="21" t="inlineStr">
        <x:is>
          <x:t xml:space="preserve"/>
        </x:is>
      </x:c>
      <x:c r="L197" s="21" t="inlineStr">
        <x:is>
          <x:t xml:space="preserve"/>
        </x:is>
      </x:c>
      <x:c r="M197" s="21" t="inlineStr">
        <x:is>
          <x:t xml:space="preserve"/>
        </x:is>
      </x:c>
      <x:c r="N197" s="21" t="inlineStr">
        <x:is>
          <x:t xml:space="preserve"/>
        </x:is>
      </x:c>
      <x:c r="O197" s="21" t="inlineStr">
        <x:is>
          <x:t xml:space="preserve"/>
        </x:is>
      </x:c>
      <x:c r="P197" s="21" t="inlineStr">
        <x:is>
          <x:t xml:space="preserve"/>
        </x:is>
      </x:c>
      <x:c r="Q197" s="21" t="inlineStr">
        <x:is>
          <x:t xml:space="preserve"/>
        </x:is>
      </x:c>
      <x:c r="R197" s="21" t="inlineStr">
        <x:is>
          <x:t xml:space="preserve"/>
        </x:is>
      </x:c>
      <x:c r="S197" s="22">
        <x:f>IF(H197="","",IFERROR(H197/G197,""))</x:f>
      </x:c>
      <x:c r="T197" s="23">
        <x:f>IF(H197="","",IFERROR((J197+K197+L197+N197)/H197,""))</x:f>
      </x:c>
      <x:c r="U197" s="22">
        <x:f>IF(COUNTA(J197:L197,N197)=0,"",IFERROR(AVERAGE(J197:L197,N197),""))</x:f>
      </x:c>
      <x:c r="V197" s="16" t="inlineStr">
        <x:is>
          <x:t xml:space="preserve"/>
        </x:is>
      </x:c>
    </x:row>
    <x:row r="198">
      <x:c r="A198" s="17" t="inlineStr">
        <x:is>
          <x:t xml:space="preserve">P017</x:t>
        </x:is>
      </x:c>
      <x:c r="B198" s="17" t="n">
        <x:v>2</x:v>
      </x:c>
      <x:c r="C198" s="17" t="inlineStr">
        <x:is>
          <x:t xml:space="preserve">V05</x:t>
        </x:is>
      </x:c>
      <x:c r="D198" s="17" t="inlineStr">
        <x:is>
          <x:t xml:space="preserve">Tutorial</x:t>
        </x:is>
      </x:c>
      <x:c r="E198" s="17" t="inlineStr">
        <x:is>
          <x:t xml:space="preserve">Semantic compression</x:t>
        </x:is>
      </x:c>
      <x:c r="F198" s="17" t="inlineStr">
        <x:is>
          <x:t xml:space="preserve">Muted</x:t>
        </x:is>
      </x:c>
      <x:c r="G198" s="24" t="n">
        <x:v>20</x:v>
      </x:c>
      <x:c r="H198" s="24" t="inlineStr">
        <x:is>
          <x:t xml:space="preserve"/>
        </x:is>
      </x:c>
      <x:c r="I198" s="24" t="inlineStr">
        <x:is>
          <x:t xml:space="preserve"/>
        </x:is>
      </x:c>
      <x:c r="J198" s="24" t="inlineStr">
        <x:is>
          <x:t xml:space="preserve"/>
        </x:is>
      </x:c>
      <x:c r="K198" s="24" t="inlineStr">
        <x:is>
          <x:t xml:space="preserve"/>
        </x:is>
      </x:c>
      <x:c r="L198" s="24" t="inlineStr">
        <x:is>
          <x:t xml:space="preserve"/>
        </x:is>
      </x:c>
      <x:c r="M198" s="24" t="inlineStr">
        <x:is>
          <x:t xml:space="preserve"/>
        </x:is>
      </x:c>
      <x:c r="N198" s="24" t="inlineStr">
        <x:is>
          <x:t xml:space="preserve"/>
        </x:is>
      </x:c>
      <x:c r="O198" s="24" t="inlineStr">
        <x:is>
          <x:t xml:space="preserve"/>
        </x:is>
      </x:c>
      <x:c r="P198" s="24" t="inlineStr">
        <x:is>
          <x:t xml:space="preserve"/>
        </x:is>
      </x:c>
      <x:c r="Q198" s="24" t="inlineStr">
        <x:is>
          <x:t xml:space="preserve"/>
        </x:is>
      </x:c>
      <x:c r="R198" s="24" t="inlineStr">
        <x:is>
          <x:t xml:space="preserve"/>
        </x:is>
      </x:c>
      <x:c r="S198" s="25">
        <x:f>IF(H198="","",IFERROR(H198/G198,""))</x:f>
      </x:c>
      <x:c r="T198" s="26">
        <x:f>IF(H198="","",IFERROR((J198+K198+L198+N198)/H198,""))</x:f>
      </x:c>
      <x:c r="U198" s="25">
        <x:f>IF(COUNTA(J198:L198,N198)=0,"",IFERROR(AVERAGE(J198:L198,N198),""))</x:f>
      </x:c>
      <x:c r="V198" s="17" t="inlineStr">
        <x:is>
          <x:t xml:space="preserve"/>
        </x:is>
      </x:c>
    </x:row>
    <x:row r="199">
      <x:c r="A199" s="16" t="inlineStr">
        <x:is>
          <x:t xml:space="preserve">P017</x:t>
        </x:is>
      </x:c>
      <x:c r="B199" s="16" t="n">
        <x:v>3</x:v>
      </x:c>
      <x:c r="C199" s="16" t="inlineStr">
        <x:is>
          <x:t xml:space="preserve">V12</x:t>
        </x:is>
      </x:c>
      <x:c r="D199" s="16" t="inlineStr">
        <x:is>
          <x:t xml:space="preserve">Time management</x:t>
        </x:is>
      </x:c>
      <x:c r="E199" s="16" t="inlineStr">
        <x:is>
          <x:t xml:space="preserve">BCC</x:t>
        </x:is>
      </x:c>
      <x:c r="F199" s="16" t="inlineStr">
        <x:is>
          <x:t xml:space="preserve">Muted</x:t>
        </x:is>
      </x:c>
      <x:c r="G199" s="21" t="n">
        <x:v>21</x:v>
      </x:c>
      <x:c r="H199" s="21" t="inlineStr">
        <x:is>
          <x:t xml:space="preserve"/>
        </x:is>
      </x:c>
      <x:c r="I199" s="21" t="inlineStr">
        <x:is>
          <x:t xml:space="preserve"/>
        </x:is>
      </x:c>
      <x:c r="J199" s="21" t="inlineStr">
        <x:is>
          <x:t xml:space="preserve"/>
        </x:is>
      </x:c>
      <x:c r="K199" s="21" t="inlineStr">
        <x:is>
          <x:t xml:space="preserve"/>
        </x:is>
      </x:c>
      <x:c r="L199" s="21" t="inlineStr">
        <x:is>
          <x:t xml:space="preserve"/>
        </x:is>
      </x:c>
      <x:c r="M199" s="21" t="inlineStr">
        <x:is>
          <x:t xml:space="preserve"/>
        </x:is>
      </x:c>
      <x:c r="N199" s="21" t="inlineStr">
        <x:is>
          <x:t xml:space="preserve"/>
        </x:is>
      </x:c>
      <x:c r="O199" s="21" t="inlineStr">
        <x:is>
          <x:t xml:space="preserve"/>
        </x:is>
      </x:c>
      <x:c r="P199" s="21" t="inlineStr">
        <x:is>
          <x:t xml:space="preserve"/>
        </x:is>
      </x:c>
      <x:c r="Q199" s="21" t="inlineStr">
        <x:is>
          <x:t xml:space="preserve"/>
        </x:is>
      </x:c>
      <x:c r="R199" s="21" t="inlineStr">
        <x:is>
          <x:t xml:space="preserve"/>
        </x:is>
      </x:c>
      <x:c r="S199" s="22">
        <x:f>IF(H199="","",IFERROR(H199/G199,""))</x:f>
      </x:c>
      <x:c r="T199" s="23">
        <x:f>IF(H199="","",IFERROR((J199+K199+L199+N199)/H199,""))</x:f>
      </x:c>
      <x:c r="U199" s="22">
        <x:f>IF(COUNTA(J199:L199,N199)=0,"",IFERROR(AVERAGE(J199:L199,N199),""))</x:f>
      </x:c>
      <x:c r="V199" s="16" t="inlineStr">
        <x:is>
          <x:t xml:space="preserve"/>
        </x:is>
      </x:c>
    </x:row>
    <x:row r="200">
      <x:c r="A200" s="17" t="inlineStr">
        <x:is>
          <x:t xml:space="preserve">P017</x:t>
        </x:is>
      </x:c>
      <x:c r="B200" s="17" t="n">
        <x:v>4</x:v>
      </x:c>
      <x:c r="C200" s="17" t="inlineStr">
        <x:is>
          <x:t xml:space="preserve">V06</x:t>
        </x:is>
      </x:c>
      <x:c r="D200" s="17" t="inlineStr">
        <x:is>
          <x:t xml:space="preserve">Overload</x:t>
        </x:is>
      </x:c>
      <x:c r="E200" s="17" t="inlineStr">
        <x:is>
          <x:t xml:space="preserve">BCC</x:t>
        </x:is>
      </x:c>
      <x:c r="F200" s="17" t="inlineStr">
        <x:is>
          <x:t xml:space="preserve">Muted</x:t>
        </x:is>
      </x:c>
      <x:c r="G200" s="24" t="n">
        <x:v>16</x:v>
      </x:c>
      <x:c r="H200" s="24" t="inlineStr">
        <x:is>
          <x:t xml:space="preserve"/>
        </x:is>
      </x:c>
      <x:c r="I200" s="24" t="inlineStr">
        <x:is>
          <x:t xml:space="preserve"/>
        </x:is>
      </x:c>
      <x:c r="J200" s="24" t="inlineStr">
        <x:is>
          <x:t xml:space="preserve"/>
        </x:is>
      </x:c>
      <x:c r="K200" s="24" t="inlineStr">
        <x:is>
          <x:t xml:space="preserve"/>
        </x:is>
      </x:c>
      <x:c r="L200" s="24" t="inlineStr">
        <x:is>
          <x:t xml:space="preserve"/>
        </x:is>
      </x:c>
      <x:c r="M200" s="24" t="inlineStr">
        <x:is>
          <x:t xml:space="preserve"/>
        </x:is>
      </x:c>
      <x:c r="N200" s="24" t="inlineStr">
        <x:is>
          <x:t xml:space="preserve"/>
        </x:is>
      </x:c>
      <x:c r="O200" s="24" t="inlineStr">
        <x:is>
          <x:t xml:space="preserve"/>
        </x:is>
      </x:c>
      <x:c r="P200" s="24" t="inlineStr">
        <x:is>
          <x:t xml:space="preserve"/>
        </x:is>
      </x:c>
      <x:c r="Q200" s="24" t="inlineStr">
        <x:is>
          <x:t xml:space="preserve"/>
        </x:is>
      </x:c>
      <x:c r="R200" s="24" t="inlineStr">
        <x:is>
          <x:t xml:space="preserve"/>
        </x:is>
      </x:c>
      <x:c r="S200" s="25">
        <x:f>IF(H200="","",IFERROR(H200/G200,""))</x:f>
      </x:c>
      <x:c r="T200" s="26">
        <x:f>IF(H200="","",IFERROR((J200+K200+L200+N200)/H200,""))</x:f>
      </x:c>
      <x:c r="U200" s="25">
        <x:f>IF(COUNTA(J200:L200,N200)=0,"",IFERROR(AVERAGE(J200:L200,N200),""))</x:f>
      </x:c>
      <x:c r="V200" s="17" t="inlineStr">
        <x:is>
          <x:t xml:space="preserve"/>
        </x:is>
      </x:c>
    </x:row>
    <x:row r="201">
      <x:c r="A201" s="16" t="inlineStr">
        <x:is>
          <x:t xml:space="preserve">P017</x:t>
        </x:is>
      </x:c>
      <x:c r="B201" s="16" t="n">
        <x:v>5</x:v>
      </x:c>
      <x:c r="C201" s="16" t="inlineStr">
        <x:is>
          <x:t xml:space="preserve">V01</x:t>
        </x:is>
      </x:c>
      <x:c r="D201" s="16" t="inlineStr">
        <x:is>
          <x:t xml:space="preserve">Productivity</x:t>
        </x:is>
      </x:c>
      <x:c r="E201" s="16" t="inlineStr">
        <x:is>
          <x:t xml:space="preserve">BCC+</x:t>
        </x:is>
      </x:c>
      <x:c r="F201" s="16" t="inlineStr">
        <x:is>
          <x:t xml:space="preserve">Muted</x:t>
        </x:is>
      </x:c>
      <x:c r="G201" s="21" t="n">
        <x:v>25</x:v>
      </x:c>
      <x:c r="H201" s="21" t="inlineStr">
        <x:is>
          <x:t xml:space="preserve"/>
        </x:is>
      </x:c>
      <x:c r="I201" s="21" t="inlineStr">
        <x:is>
          <x:t xml:space="preserve"/>
        </x:is>
      </x:c>
      <x:c r="J201" s="21" t="inlineStr">
        <x:is>
          <x:t xml:space="preserve"/>
        </x:is>
      </x:c>
      <x:c r="K201" s="21" t="inlineStr">
        <x:is>
          <x:t xml:space="preserve"/>
        </x:is>
      </x:c>
      <x:c r="L201" s="21" t="inlineStr">
        <x:is>
          <x:t xml:space="preserve"/>
        </x:is>
      </x:c>
      <x:c r="M201" s="21" t="inlineStr">
        <x:is>
          <x:t xml:space="preserve"/>
        </x:is>
      </x:c>
      <x:c r="N201" s="21" t="inlineStr">
        <x:is>
          <x:t xml:space="preserve"/>
        </x:is>
      </x:c>
      <x:c r="O201" s="21" t="inlineStr">
        <x:is>
          <x:t xml:space="preserve"/>
        </x:is>
      </x:c>
      <x:c r="P201" s="21" t="inlineStr">
        <x:is>
          <x:t xml:space="preserve"/>
        </x:is>
      </x:c>
      <x:c r="Q201" s="21" t="inlineStr">
        <x:is>
          <x:t xml:space="preserve"/>
        </x:is>
      </x:c>
      <x:c r="R201" s="21" t="inlineStr">
        <x:is>
          <x:t xml:space="preserve"/>
        </x:is>
      </x:c>
      <x:c r="S201" s="22">
        <x:f>IF(H201="","",IFERROR(H201/G201,""))</x:f>
      </x:c>
      <x:c r="T201" s="23">
        <x:f>IF(H201="","",IFERROR((J201+K201+L201+N201)/H201,""))</x:f>
      </x:c>
      <x:c r="U201" s="22">
        <x:f>IF(COUNTA(J201:L201,N201)=0,"",IFERROR(AVERAGE(J201:L201,N201),""))</x:f>
      </x:c>
      <x:c r="V201" s="16" t="inlineStr">
        <x:is>
          <x:t xml:space="preserve"/>
        </x:is>
      </x:c>
    </x:row>
    <x:row r="202">
      <x:c r="A202" s="17" t="inlineStr">
        <x:is>
          <x:t xml:space="preserve">P017</x:t>
        </x:is>
      </x:c>
      <x:c r="B202" s="17" t="n">
        <x:v>6</x:v>
      </x:c>
      <x:c r="C202" s="17" t="inlineStr">
        <x:is>
          <x:t xml:space="preserve">V10</x:t>
        </x:is>
      </x:c>
      <x:c r="D202" s="17" t="inlineStr">
        <x:is>
          <x:t xml:space="preserve">Product demo</x:t>
        </x:is>
      </x:c>
      <x:c r="E202" s="17" t="inlineStr">
        <x:is>
          <x:t xml:space="preserve">Keyword highlight</x:t>
        </x:is>
      </x:c>
      <x:c r="F202" s="17" t="inlineStr">
        <x:is>
          <x:t xml:space="preserve">Muted</x:t>
        </x:is>
      </x:c>
      <x:c r="G202" s="24" t="n">
        <x:v>15</x:v>
      </x:c>
      <x:c r="H202" s="24" t="inlineStr">
        <x:is>
          <x:t xml:space="preserve"/>
        </x:is>
      </x:c>
      <x:c r="I202" s="24" t="inlineStr">
        <x:is>
          <x:t xml:space="preserve"/>
        </x:is>
      </x:c>
      <x:c r="J202" s="24" t="inlineStr">
        <x:is>
          <x:t xml:space="preserve"/>
        </x:is>
      </x:c>
      <x:c r="K202" s="24" t="inlineStr">
        <x:is>
          <x:t xml:space="preserve"/>
        </x:is>
      </x:c>
      <x:c r="L202" s="24" t="inlineStr">
        <x:is>
          <x:t xml:space="preserve"/>
        </x:is>
      </x:c>
      <x:c r="M202" s="24" t="inlineStr">
        <x:is>
          <x:t xml:space="preserve"/>
        </x:is>
      </x:c>
      <x:c r="N202" s="24" t="inlineStr">
        <x:is>
          <x:t xml:space="preserve"/>
        </x:is>
      </x:c>
      <x:c r="O202" s="24" t="inlineStr">
        <x:is>
          <x:t xml:space="preserve"/>
        </x:is>
      </x:c>
      <x:c r="P202" s="24" t="inlineStr">
        <x:is>
          <x:t xml:space="preserve"/>
        </x:is>
      </x:c>
      <x:c r="Q202" s="24" t="inlineStr">
        <x:is>
          <x:t xml:space="preserve"/>
        </x:is>
      </x:c>
      <x:c r="R202" s="24" t="inlineStr">
        <x:is>
          <x:t xml:space="preserve"/>
        </x:is>
      </x:c>
      <x:c r="S202" s="25">
        <x:f>IF(H202="","",IFERROR(H202/G202,""))</x:f>
      </x:c>
      <x:c r="T202" s="26">
        <x:f>IF(H202="","",IFERROR((J202+K202+L202+N202)/H202,""))</x:f>
      </x:c>
      <x:c r="U202" s="25">
        <x:f>IF(COUNTA(J202:L202,N202)=0,"",IFERROR(AVERAGE(J202:L202,N202),""))</x:f>
      </x:c>
      <x:c r="V202" s="17" t="inlineStr">
        <x:is>
          <x:t xml:space="preserve"/>
        </x:is>
      </x:c>
    </x:row>
    <x:row r="203">
      <x:c r="A203" s="16" t="inlineStr">
        <x:is>
          <x:t xml:space="preserve">P017</x:t>
        </x:is>
      </x:c>
      <x:c r="B203" s="16" t="n">
        <x:v>7</x:v>
      </x:c>
      <x:c r="C203" s="16" t="inlineStr">
        <x:is>
          <x:t xml:space="preserve">V03</x:t>
        </x:is>
      </x:c>
      <x:c r="D203" s="16" t="inlineStr">
        <x:is>
          <x:t xml:space="preserve">Fitness</x:t>
        </x:is>
      </x:c>
      <x:c r="E203" s="16" t="inlineStr">
        <x:is>
          <x:t xml:space="preserve">Full transcript</x:t>
        </x:is>
      </x:c>
      <x:c r="F203" s="16" t="inlineStr">
        <x:is>
          <x:t xml:space="preserve">Muted</x:t>
        </x:is>
      </x:c>
      <x:c r="G203" s="21" t="n">
        <x:v>18</x:v>
      </x:c>
      <x:c r="H203" s="21" t="inlineStr">
        <x:is>
          <x:t xml:space="preserve"/>
        </x:is>
      </x:c>
      <x:c r="I203" s="21" t="inlineStr">
        <x:is>
          <x:t xml:space="preserve"/>
        </x:is>
      </x:c>
      <x:c r="J203" s="21" t="inlineStr">
        <x:is>
          <x:t xml:space="preserve"/>
        </x:is>
      </x:c>
      <x:c r="K203" s="21" t="inlineStr">
        <x:is>
          <x:t xml:space="preserve"/>
        </x:is>
      </x:c>
      <x:c r="L203" s="21" t="inlineStr">
        <x:is>
          <x:t xml:space="preserve"/>
        </x:is>
      </x:c>
      <x:c r="M203" s="21" t="inlineStr">
        <x:is>
          <x:t xml:space="preserve"/>
        </x:is>
      </x:c>
      <x:c r="N203" s="21" t="inlineStr">
        <x:is>
          <x:t xml:space="preserve"/>
        </x:is>
      </x:c>
      <x:c r="O203" s="21" t="inlineStr">
        <x:is>
          <x:t xml:space="preserve"/>
        </x:is>
      </x:c>
      <x:c r="P203" s="21" t="inlineStr">
        <x:is>
          <x:t xml:space="preserve"/>
        </x:is>
      </x:c>
      <x:c r="Q203" s="21" t="inlineStr">
        <x:is>
          <x:t xml:space="preserve"/>
        </x:is>
      </x:c>
      <x:c r="R203" s="21" t="inlineStr">
        <x:is>
          <x:t xml:space="preserve"/>
        </x:is>
      </x:c>
      <x:c r="S203" s="22">
        <x:f>IF(H203="","",IFERROR(H203/G203,""))</x:f>
      </x:c>
      <x:c r="T203" s="23">
        <x:f>IF(H203="","",IFERROR((J203+K203+L203+N203)/H203,""))</x:f>
      </x:c>
      <x:c r="U203" s="22">
        <x:f>IF(COUNTA(J203:L203,N203)=0,"",IFERROR(AVERAGE(J203:L203,N203),""))</x:f>
      </x:c>
      <x:c r="V203" s="16" t="inlineStr">
        <x:is>
          <x:t xml:space="preserve"/>
        </x:is>
      </x:c>
    </x:row>
    <x:row r="204">
      <x:c r="A204" s="17" t="inlineStr">
        <x:is>
          <x:t xml:space="preserve">P017</x:t>
        </x:is>
      </x:c>
      <x:c r="B204" s="17" t="n">
        <x:v>8</x:v>
      </x:c>
      <x:c r="C204" s="17" t="inlineStr">
        <x:is>
          <x:t xml:space="preserve">V02</x:t>
        </x:is>
      </x:c>
      <x:c r="D204" s="17" t="inlineStr">
        <x:is>
          <x:t xml:space="preserve">Study</x:t>
        </x:is>
      </x:c>
      <x:c r="E204" s="17" t="inlineStr">
        <x:is>
          <x:t xml:space="preserve">Heavy bionic</x:t>
        </x:is>
      </x:c>
      <x:c r="F204" s="17" t="inlineStr">
        <x:is>
          <x:t xml:space="preserve">Muted</x:t>
        </x:is>
      </x:c>
      <x:c r="G204" s="24" t="n">
        <x:v>18</x:v>
      </x:c>
      <x:c r="H204" s="24" t="inlineStr">
        <x:is>
          <x:t xml:space="preserve"/>
        </x:is>
      </x:c>
      <x:c r="I204" s="24" t="inlineStr">
        <x:is>
          <x:t xml:space="preserve"/>
        </x:is>
      </x:c>
      <x:c r="J204" s="24" t="inlineStr">
        <x:is>
          <x:t xml:space="preserve"/>
        </x:is>
      </x:c>
      <x:c r="K204" s="24" t="inlineStr">
        <x:is>
          <x:t xml:space="preserve"/>
        </x:is>
      </x:c>
      <x:c r="L204" s="24" t="inlineStr">
        <x:is>
          <x:t xml:space="preserve"/>
        </x:is>
      </x:c>
      <x:c r="M204" s="24" t="inlineStr">
        <x:is>
          <x:t xml:space="preserve"/>
        </x:is>
      </x:c>
      <x:c r="N204" s="24" t="inlineStr">
        <x:is>
          <x:t xml:space="preserve"/>
        </x:is>
      </x:c>
      <x:c r="O204" s="24" t="inlineStr">
        <x:is>
          <x:t xml:space="preserve"/>
        </x:is>
      </x:c>
      <x:c r="P204" s="24" t="inlineStr">
        <x:is>
          <x:t xml:space="preserve"/>
        </x:is>
      </x:c>
      <x:c r="Q204" s="24" t="inlineStr">
        <x:is>
          <x:t xml:space="preserve"/>
        </x:is>
      </x:c>
      <x:c r="R204" s="24" t="inlineStr">
        <x:is>
          <x:t xml:space="preserve"/>
        </x:is>
      </x:c>
      <x:c r="S204" s="25">
        <x:f>IF(H204="","",IFERROR(H204/G204,""))</x:f>
      </x:c>
      <x:c r="T204" s="26">
        <x:f>IF(H204="","",IFERROR((J204+K204+L204+N204)/H204,""))</x:f>
      </x:c>
      <x:c r="U204" s="25">
        <x:f>IF(COUNTA(J204:L204,N204)=0,"",IFERROR(AVERAGE(J204:L204,N204),""))</x:f>
      </x:c>
      <x:c r="V204" s="17" t="inlineStr">
        <x:is>
          <x:t xml:space="preserve"/>
        </x:is>
      </x:c>
    </x:row>
    <x:row r="205">
      <x:c r="A205" s="16" t="inlineStr">
        <x:is>
          <x:t xml:space="preserve">P017</x:t>
        </x:is>
      </x:c>
      <x:c r="B205" s="16" t="n">
        <x:v>9</x:v>
      </x:c>
      <x:c r="C205" s="16" t="inlineStr">
        <x:is>
          <x:t xml:space="preserve">V04</x:t>
        </x:is>
      </x:c>
      <x:c r="D205" s="16" t="inlineStr">
        <x:is>
          <x:t xml:space="preserve">Finance</x:t>
        </x:is>
      </x:c>
      <x:c r="E205" s="16" t="inlineStr">
        <x:is>
          <x:t xml:space="preserve">Keyword highlight</x:t>
        </x:is>
      </x:c>
      <x:c r="F205" s="16" t="inlineStr">
        <x:is>
          <x:t xml:space="preserve">Muted</x:t>
        </x:is>
      </x:c>
      <x:c r="G205" s="21" t="n">
        <x:v>20</x:v>
      </x:c>
      <x:c r="H205" s="21" t="inlineStr">
        <x:is>
          <x:t xml:space="preserve"/>
        </x:is>
      </x:c>
      <x:c r="I205" s="21" t="inlineStr">
        <x:is>
          <x:t xml:space="preserve"/>
        </x:is>
      </x:c>
      <x:c r="J205" s="21" t="inlineStr">
        <x:is>
          <x:t xml:space="preserve"/>
        </x:is>
      </x:c>
      <x:c r="K205" s="21" t="inlineStr">
        <x:is>
          <x:t xml:space="preserve"/>
        </x:is>
      </x:c>
      <x:c r="L205" s="21" t="inlineStr">
        <x:is>
          <x:t xml:space="preserve"/>
        </x:is>
      </x:c>
      <x:c r="M205" s="21" t="inlineStr">
        <x:is>
          <x:t xml:space="preserve"/>
        </x:is>
      </x:c>
      <x:c r="N205" s="21" t="inlineStr">
        <x:is>
          <x:t xml:space="preserve"/>
        </x:is>
      </x:c>
      <x:c r="O205" s="21" t="inlineStr">
        <x:is>
          <x:t xml:space="preserve"/>
        </x:is>
      </x:c>
      <x:c r="P205" s="21" t="inlineStr">
        <x:is>
          <x:t xml:space="preserve"/>
        </x:is>
      </x:c>
      <x:c r="Q205" s="21" t="inlineStr">
        <x:is>
          <x:t xml:space="preserve"/>
        </x:is>
      </x:c>
      <x:c r="R205" s="21" t="inlineStr">
        <x:is>
          <x:t xml:space="preserve"/>
        </x:is>
      </x:c>
      <x:c r="S205" s="22">
        <x:f>IF(H205="","",IFERROR(H205/G205,""))</x:f>
      </x:c>
      <x:c r="T205" s="23">
        <x:f>IF(H205="","",IFERROR((J205+K205+L205+N205)/H205,""))</x:f>
      </x:c>
      <x:c r="U205" s="22">
        <x:f>IF(COUNTA(J205:L205,N205)=0,"",IFERROR(AVERAGE(J205:L205,N205),""))</x:f>
      </x:c>
      <x:c r="V205" s="16" t="inlineStr">
        <x:is>
          <x:t xml:space="preserve"/>
        </x:is>
      </x:c>
    </x:row>
    <x:row r="206">
      <x:c r="A206" s="17" t="inlineStr">
        <x:is>
          <x:t xml:space="preserve">P017</x:t>
        </x:is>
      </x:c>
      <x:c r="B206" s="17" t="n">
        <x:v>10</x:v>
      </x:c>
      <x:c r="C206" s="17" t="inlineStr">
        <x:is>
          <x:t xml:space="preserve">V07</x:t>
        </x:is>
      </x:c>
      <x:c r="D206" s="17" t="inlineStr">
        <x:is>
          <x:t xml:space="preserve">Business</x:t>
        </x:is>
      </x:c>
      <x:c r="E206" s="17" t="inlineStr">
        <x:is>
          <x:t xml:space="preserve">BCC+</x:t>
        </x:is>
      </x:c>
      <x:c r="F206" s="17" t="inlineStr">
        <x:is>
          <x:t xml:space="preserve">Muted</x:t>
        </x:is>
      </x:c>
      <x:c r="G206" s="24" t="n">
        <x:v>18</x:v>
      </x:c>
      <x:c r="H206" s="24" t="inlineStr">
        <x:is>
          <x:t xml:space="preserve"/>
        </x:is>
      </x:c>
      <x:c r="I206" s="24" t="inlineStr">
        <x:is>
          <x:t xml:space="preserve"/>
        </x:is>
      </x:c>
      <x:c r="J206" s="24" t="inlineStr">
        <x:is>
          <x:t xml:space="preserve"/>
        </x:is>
      </x:c>
      <x:c r="K206" s="24" t="inlineStr">
        <x:is>
          <x:t xml:space="preserve"/>
        </x:is>
      </x:c>
      <x:c r="L206" s="24" t="inlineStr">
        <x:is>
          <x:t xml:space="preserve"/>
        </x:is>
      </x:c>
      <x:c r="M206" s="24" t="inlineStr">
        <x:is>
          <x:t xml:space="preserve"/>
        </x:is>
      </x:c>
      <x:c r="N206" s="24" t="inlineStr">
        <x:is>
          <x:t xml:space="preserve"/>
        </x:is>
      </x:c>
      <x:c r="O206" s="24" t="inlineStr">
        <x:is>
          <x:t xml:space="preserve"/>
        </x:is>
      </x:c>
      <x:c r="P206" s="24" t="inlineStr">
        <x:is>
          <x:t xml:space="preserve"/>
        </x:is>
      </x:c>
      <x:c r="Q206" s="24" t="inlineStr">
        <x:is>
          <x:t xml:space="preserve"/>
        </x:is>
      </x:c>
      <x:c r="R206" s="24" t="inlineStr">
        <x:is>
          <x:t xml:space="preserve"/>
        </x:is>
      </x:c>
      <x:c r="S206" s="25">
        <x:f>IF(H206="","",IFERROR(H206/G206,""))</x:f>
      </x:c>
      <x:c r="T206" s="26">
        <x:f>IF(H206="","",IFERROR((J206+K206+L206+N206)/H206,""))</x:f>
      </x:c>
      <x:c r="U206" s="25">
        <x:f>IF(COUNTA(J206:L206,N206)=0,"",IFERROR(AVERAGE(J206:L206,N206),""))</x:f>
      </x:c>
      <x:c r="V206" s="17" t="inlineStr">
        <x:is>
          <x:t xml:space="preserve"/>
        </x:is>
      </x:c>
    </x:row>
    <x:row r="207">
      <x:c r="A207" s="16" t="inlineStr">
        <x:is>
          <x:t xml:space="preserve">P017</x:t>
        </x:is>
      </x:c>
      <x:c r="B207" s="16" t="n">
        <x:v>11</x:v>
      </x:c>
      <x:c r="C207" s="16" t="inlineStr">
        <x:is>
          <x:t xml:space="preserve">V11</x:t>
        </x:is>
      </x:c>
      <x:c r="D207" s="16" t="inlineStr">
        <x:is>
          <x:t xml:space="preserve">Creator strategy</x:t>
        </x:is>
      </x:c>
      <x:c r="E207" s="16" t="inlineStr">
        <x:is>
          <x:t xml:space="preserve">Semantic compression</x:t>
        </x:is>
      </x:c>
      <x:c r="F207" s="16" t="inlineStr">
        <x:is>
          <x:t xml:space="preserve">Muted</x:t>
        </x:is>
      </x:c>
      <x:c r="G207" s="21" t="n">
        <x:v>17</x:v>
      </x:c>
      <x:c r="H207" s="21" t="inlineStr">
        <x:is>
          <x:t xml:space="preserve"/>
        </x:is>
      </x:c>
      <x:c r="I207" s="21" t="inlineStr">
        <x:is>
          <x:t xml:space="preserve"/>
        </x:is>
      </x:c>
      <x:c r="J207" s="21" t="inlineStr">
        <x:is>
          <x:t xml:space="preserve"/>
        </x:is>
      </x:c>
      <x:c r="K207" s="21" t="inlineStr">
        <x:is>
          <x:t xml:space="preserve"/>
        </x:is>
      </x:c>
      <x:c r="L207" s="21" t="inlineStr">
        <x:is>
          <x:t xml:space="preserve"/>
        </x:is>
      </x:c>
      <x:c r="M207" s="21" t="inlineStr">
        <x:is>
          <x:t xml:space="preserve"/>
        </x:is>
      </x:c>
      <x:c r="N207" s="21" t="inlineStr">
        <x:is>
          <x:t xml:space="preserve"/>
        </x:is>
      </x:c>
      <x:c r="O207" s="21" t="inlineStr">
        <x:is>
          <x:t xml:space="preserve"/>
        </x:is>
      </x:c>
      <x:c r="P207" s="21" t="inlineStr">
        <x:is>
          <x:t xml:space="preserve"/>
        </x:is>
      </x:c>
      <x:c r="Q207" s="21" t="inlineStr">
        <x:is>
          <x:t xml:space="preserve"/>
        </x:is>
      </x:c>
      <x:c r="R207" s="21" t="inlineStr">
        <x:is>
          <x:t xml:space="preserve"/>
        </x:is>
      </x:c>
      <x:c r="S207" s="22">
        <x:f>IF(H207="","",IFERROR(H207/G207,""))</x:f>
      </x:c>
      <x:c r="T207" s="23">
        <x:f>IF(H207="","",IFERROR((J207+K207+L207+N207)/H207,""))</x:f>
      </x:c>
      <x:c r="U207" s="22">
        <x:f>IF(COUNTA(J207:L207,N207)=0,"",IFERROR(AVERAGE(J207:L207,N207),""))</x:f>
      </x:c>
      <x:c r="V207" s="16" t="inlineStr">
        <x:is>
          <x:t xml:space="preserve"/>
        </x:is>
      </x:c>
    </x:row>
    <x:row r="208">
      <x:c r="A208" s="17" t="inlineStr">
        <x:is>
          <x:t xml:space="preserve">P017</x:t>
        </x:is>
      </x:c>
      <x:c r="B208" s="17" t="n">
        <x:v>12</x:v>
      </x:c>
      <x:c r="C208" s="17" t="inlineStr">
        <x:is>
          <x:t xml:space="preserve">V08</x:t>
        </x:is>
      </x:c>
      <x:c r="D208" s="17" t="inlineStr">
        <x:is>
          <x:t xml:space="preserve">Coding</x:t>
        </x:is>
      </x:c>
      <x:c r="E208" s="17" t="inlineStr">
        <x:is>
          <x:t xml:space="preserve">Heavy bionic</x:t>
        </x:is>
      </x:c>
      <x:c r="F208" s="17" t="inlineStr">
        <x:is>
          <x:t xml:space="preserve">Muted</x:t>
        </x:is>
      </x:c>
      <x:c r="G208" s="24" t="n">
        <x:v>24</x:v>
      </x:c>
      <x:c r="H208" s="24" t="inlineStr">
        <x:is>
          <x:t xml:space="preserve"/>
        </x:is>
      </x:c>
      <x:c r="I208" s="24" t="inlineStr">
        <x:is>
          <x:t xml:space="preserve"/>
        </x:is>
      </x:c>
      <x:c r="J208" s="24" t="inlineStr">
        <x:is>
          <x:t xml:space="preserve"/>
        </x:is>
      </x:c>
      <x:c r="K208" s="24" t="inlineStr">
        <x:is>
          <x:t xml:space="preserve"/>
        </x:is>
      </x:c>
      <x:c r="L208" s="24" t="inlineStr">
        <x:is>
          <x:t xml:space="preserve"/>
        </x:is>
      </x:c>
      <x:c r="M208" s="24" t="inlineStr">
        <x:is>
          <x:t xml:space="preserve"/>
        </x:is>
      </x:c>
      <x:c r="N208" s="24" t="inlineStr">
        <x:is>
          <x:t xml:space="preserve"/>
        </x:is>
      </x:c>
      <x:c r="O208" s="24" t="inlineStr">
        <x:is>
          <x:t xml:space="preserve"/>
        </x:is>
      </x:c>
      <x:c r="P208" s="24" t="inlineStr">
        <x:is>
          <x:t xml:space="preserve"/>
        </x:is>
      </x:c>
      <x:c r="Q208" s="24" t="inlineStr">
        <x:is>
          <x:t xml:space="preserve"/>
        </x:is>
      </x:c>
      <x:c r="R208" s="24" t="inlineStr">
        <x:is>
          <x:t xml:space="preserve"/>
        </x:is>
      </x:c>
      <x:c r="S208" s="25">
        <x:f>IF(H208="","",IFERROR(H208/G208,""))</x:f>
      </x:c>
      <x:c r="T208" s="26">
        <x:f>IF(H208="","",IFERROR((J208+K208+L208+N208)/H208,""))</x:f>
      </x:c>
      <x:c r="U208" s="25">
        <x:f>IF(COUNTA(J208:L208,N208)=0,"",IFERROR(AVERAGE(J208:L208,N208),""))</x:f>
      </x:c>
      <x:c r="V208" s="17" t="inlineStr">
        <x:is>
          <x:t xml:space="preserve"/>
        </x:is>
      </x:c>
    </x:row>
    <x:row r="209">
      <x:c r="A209" s="16" t="inlineStr">
        <x:is>
          <x:t xml:space="preserve">P018</x:t>
        </x:is>
      </x:c>
      <x:c r="B209" s="16" t="n">
        <x:v>1</x:v>
      </x:c>
      <x:c r="C209" s="16" t="inlineStr">
        <x:is>
          <x:t xml:space="preserve">V08</x:t>
        </x:is>
      </x:c>
      <x:c r="D209" s="16" t="inlineStr">
        <x:is>
          <x:t xml:space="preserve">Coding</x:t>
        </x:is>
      </x:c>
      <x:c r="E209" s="16" t="inlineStr">
        <x:is>
          <x:t xml:space="preserve">Full transcript</x:t>
        </x:is>
      </x:c>
      <x:c r="F209" s="16" t="inlineStr">
        <x:is>
          <x:t xml:space="preserve">Muted</x:t>
        </x:is>
      </x:c>
      <x:c r="G209" s="21" t="n">
        <x:v>24</x:v>
      </x:c>
      <x:c r="H209" s="21" t="inlineStr">
        <x:is>
          <x:t xml:space="preserve"/>
        </x:is>
      </x:c>
      <x:c r="I209" s="21" t="inlineStr">
        <x:is>
          <x:t xml:space="preserve"/>
        </x:is>
      </x:c>
      <x:c r="J209" s="21" t="inlineStr">
        <x:is>
          <x:t xml:space="preserve"/>
        </x:is>
      </x:c>
      <x:c r="K209" s="21" t="inlineStr">
        <x:is>
          <x:t xml:space="preserve"/>
        </x:is>
      </x:c>
      <x:c r="L209" s="21" t="inlineStr">
        <x:is>
          <x:t xml:space="preserve"/>
        </x:is>
      </x:c>
      <x:c r="M209" s="21" t="inlineStr">
        <x:is>
          <x:t xml:space="preserve"/>
        </x:is>
      </x:c>
      <x:c r="N209" s="21" t="inlineStr">
        <x:is>
          <x:t xml:space="preserve"/>
        </x:is>
      </x:c>
      <x:c r="O209" s="21" t="inlineStr">
        <x:is>
          <x:t xml:space="preserve"/>
        </x:is>
      </x:c>
      <x:c r="P209" s="21" t="inlineStr">
        <x:is>
          <x:t xml:space="preserve"/>
        </x:is>
      </x:c>
      <x:c r="Q209" s="21" t="inlineStr">
        <x:is>
          <x:t xml:space="preserve"/>
        </x:is>
      </x:c>
      <x:c r="R209" s="21" t="inlineStr">
        <x:is>
          <x:t xml:space="preserve"/>
        </x:is>
      </x:c>
      <x:c r="S209" s="22">
        <x:f>IF(H209="","",IFERROR(H209/G209,""))</x:f>
      </x:c>
      <x:c r="T209" s="23">
        <x:f>IF(H209="","",IFERROR((J209+K209+L209+N209)/H209,""))</x:f>
      </x:c>
      <x:c r="U209" s="22">
        <x:f>IF(COUNTA(J209:L209,N209)=0,"",IFERROR(AVERAGE(J209:L209,N209),""))</x:f>
      </x:c>
      <x:c r="V209" s="16" t="inlineStr">
        <x:is>
          <x:t xml:space="preserve"/>
        </x:is>
      </x:c>
    </x:row>
    <x:row r="210">
      <x:c r="A210" s="17" t="inlineStr">
        <x:is>
          <x:t xml:space="preserve">P018</x:t>
        </x:is>
      </x:c>
      <x:c r="B210" s="17" t="n">
        <x:v>2</x:v>
      </x:c>
      <x:c r="C210" s="17" t="inlineStr">
        <x:is>
          <x:t xml:space="preserve">V01</x:t>
        </x:is>
      </x:c>
      <x:c r="D210" s="17" t="inlineStr">
        <x:is>
          <x:t xml:space="preserve">Productivity</x:t>
        </x:is>
      </x:c>
      <x:c r="E210" s="17" t="inlineStr">
        <x:is>
          <x:t xml:space="preserve">Heavy bionic</x:t>
        </x:is>
      </x:c>
      <x:c r="F210" s="17" t="inlineStr">
        <x:is>
          <x:t xml:space="preserve">Muted</x:t>
        </x:is>
      </x:c>
      <x:c r="G210" s="24" t="n">
        <x:v>25</x:v>
      </x:c>
      <x:c r="H210" s="24" t="inlineStr">
        <x:is>
          <x:t xml:space="preserve"/>
        </x:is>
      </x:c>
      <x:c r="I210" s="24" t="inlineStr">
        <x:is>
          <x:t xml:space="preserve"/>
        </x:is>
      </x:c>
      <x:c r="J210" s="24" t="inlineStr">
        <x:is>
          <x:t xml:space="preserve"/>
        </x:is>
      </x:c>
      <x:c r="K210" s="24" t="inlineStr">
        <x:is>
          <x:t xml:space="preserve"/>
        </x:is>
      </x:c>
      <x:c r="L210" s="24" t="inlineStr">
        <x:is>
          <x:t xml:space="preserve"/>
        </x:is>
      </x:c>
      <x:c r="M210" s="24" t="inlineStr">
        <x:is>
          <x:t xml:space="preserve"/>
        </x:is>
      </x:c>
      <x:c r="N210" s="24" t="inlineStr">
        <x:is>
          <x:t xml:space="preserve"/>
        </x:is>
      </x:c>
      <x:c r="O210" s="24" t="inlineStr">
        <x:is>
          <x:t xml:space="preserve"/>
        </x:is>
      </x:c>
      <x:c r="P210" s="24" t="inlineStr">
        <x:is>
          <x:t xml:space="preserve"/>
        </x:is>
      </x:c>
      <x:c r="Q210" s="24" t="inlineStr">
        <x:is>
          <x:t xml:space="preserve"/>
        </x:is>
      </x:c>
      <x:c r="R210" s="24" t="inlineStr">
        <x:is>
          <x:t xml:space="preserve"/>
        </x:is>
      </x:c>
      <x:c r="S210" s="25">
        <x:f>IF(H210="","",IFERROR(H210/G210,""))</x:f>
      </x:c>
      <x:c r="T210" s="26">
        <x:f>IF(H210="","",IFERROR((J210+K210+L210+N210)/H210,""))</x:f>
      </x:c>
      <x:c r="U210" s="25">
        <x:f>IF(COUNTA(J210:L210,N210)=0,"",IFERROR(AVERAGE(J210:L210,N210),""))</x:f>
      </x:c>
      <x:c r="V210" s="17" t="inlineStr">
        <x:is>
          <x:t xml:space="preserve"/>
        </x:is>
      </x:c>
    </x:row>
    <x:row r="211">
      <x:c r="A211" s="16" t="inlineStr">
        <x:is>
          <x:t xml:space="preserve">P018</x:t>
        </x:is>
      </x:c>
      <x:c r="B211" s="16" t="n">
        <x:v>3</x:v>
      </x:c>
      <x:c r="C211" s="16" t="inlineStr">
        <x:is>
          <x:t xml:space="preserve">V06</x:t>
        </x:is>
      </x:c>
      <x:c r="D211" s="16" t="inlineStr">
        <x:is>
          <x:t xml:space="preserve">Overload</x:t>
        </x:is>
      </x:c>
      <x:c r="E211" s="16" t="inlineStr">
        <x:is>
          <x:t xml:space="preserve">BCC+</x:t>
        </x:is>
      </x:c>
      <x:c r="F211" s="16" t="inlineStr">
        <x:is>
          <x:t xml:space="preserve">Muted</x:t>
        </x:is>
      </x:c>
      <x:c r="G211" s="21" t="n">
        <x:v>16</x:v>
      </x:c>
      <x:c r="H211" s="21" t="inlineStr">
        <x:is>
          <x:t xml:space="preserve"/>
        </x:is>
      </x:c>
      <x:c r="I211" s="21" t="inlineStr">
        <x:is>
          <x:t xml:space="preserve"/>
        </x:is>
      </x:c>
      <x:c r="J211" s="21" t="inlineStr">
        <x:is>
          <x:t xml:space="preserve"/>
        </x:is>
      </x:c>
      <x:c r="K211" s="21" t="inlineStr">
        <x:is>
          <x:t xml:space="preserve"/>
        </x:is>
      </x:c>
      <x:c r="L211" s="21" t="inlineStr">
        <x:is>
          <x:t xml:space="preserve"/>
        </x:is>
      </x:c>
      <x:c r="M211" s="21" t="inlineStr">
        <x:is>
          <x:t xml:space="preserve"/>
        </x:is>
      </x:c>
      <x:c r="N211" s="21" t="inlineStr">
        <x:is>
          <x:t xml:space="preserve"/>
        </x:is>
      </x:c>
      <x:c r="O211" s="21" t="inlineStr">
        <x:is>
          <x:t xml:space="preserve"/>
        </x:is>
      </x:c>
      <x:c r="P211" s="21" t="inlineStr">
        <x:is>
          <x:t xml:space="preserve"/>
        </x:is>
      </x:c>
      <x:c r="Q211" s="21" t="inlineStr">
        <x:is>
          <x:t xml:space="preserve"/>
        </x:is>
      </x:c>
      <x:c r="R211" s="21" t="inlineStr">
        <x:is>
          <x:t xml:space="preserve"/>
        </x:is>
      </x:c>
      <x:c r="S211" s="22">
        <x:f>IF(H211="","",IFERROR(H211/G211,""))</x:f>
      </x:c>
      <x:c r="T211" s="23">
        <x:f>IF(H211="","",IFERROR((J211+K211+L211+N211)/H211,""))</x:f>
      </x:c>
      <x:c r="U211" s="22">
        <x:f>IF(COUNTA(J211:L211,N211)=0,"",IFERROR(AVERAGE(J211:L211,N211),""))</x:f>
      </x:c>
      <x:c r="V211" s="16" t="inlineStr">
        <x:is>
          <x:t xml:space="preserve"/>
        </x:is>
      </x:c>
    </x:row>
    <x:row r="212">
      <x:c r="A212" s="17" t="inlineStr">
        <x:is>
          <x:t xml:space="preserve">P018</x:t>
        </x:is>
      </x:c>
      <x:c r="B212" s="17" t="n">
        <x:v>4</x:v>
      </x:c>
      <x:c r="C212" s="17" t="inlineStr">
        <x:is>
          <x:t xml:space="preserve">V09</x:t>
        </x:is>
      </x:c>
      <x:c r="D212" s="17" t="inlineStr">
        <x:is>
          <x:t xml:space="preserve">Sleep habit</x:t>
        </x:is>
      </x:c>
      <x:c r="E212" s="17" t="inlineStr">
        <x:is>
          <x:t xml:space="preserve">Keyword highlight</x:t>
        </x:is>
      </x:c>
      <x:c r="F212" s="17" t="inlineStr">
        <x:is>
          <x:t xml:space="preserve">Muted</x:t>
        </x:is>
      </x:c>
      <x:c r="G212" s="24" t="n">
        <x:v>19</x:v>
      </x:c>
      <x:c r="H212" s="24" t="inlineStr">
        <x:is>
          <x:t xml:space="preserve"/>
        </x:is>
      </x:c>
      <x:c r="I212" s="24" t="inlineStr">
        <x:is>
          <x:t xml:space="preserve"/>
        </x:is>
      </x:c>
      <x:c r="J212" s="24" t="inlineStr">
        <x:is>
          <x:t xml:space="preserve"/>
        </x:is>
      </x:c>
      <x:c r="K212" s="24" t="inlineStr">
        <x:is>
          <x:t xml:space="preserve"/>
        </x:is>
      </x:c>
      <x:c r="L212" s="24" t="inlineStr">
        <x:is>
          <x:t xml:space="preserve"/>
        </x:is>
      </x:c>
      <x:c r="M212" s="24" t="inlineStr">
        <x:is>
          <x:t xml:space="preserve"/>
        </x:is>
      </x:c>
      <x:c r="N212" s="24" t="inlineStr">
        <x:is>
          <x:t xml:space="preserve"/>
        </x:is>
      </x:c>
      <x:c r="O212" s="24" t="inlineStr">
        <x:is>
          <x:t xml:space="preserve"/>
        </x:is>
      </x:c>
      <x:c r="P212" s="24" t="inlineStr">
        <x:is>
          <x:t xml:space="preserve"/>
        </x:is>
      </x:c>
      <x:c r="Q212" s="24" t="inlineStr">
        <x:is>
          <x:t xml:space="preserve"/>
        </x:is>
      </x:c>
      <x:c r="R212" s="24" t="inlineStr">
        <x:is>
          <x:t xml:space="preserve"/>
        </x:is>
      </x:c>
      <x:c r="S212" s="25">
        <x:f>IF(H212="","",IFERROR(H212/G212,""))</x:f>
      </x:c>
      <x:c r="T212" s="26">
        <x:f>IF(H212="","",IFERROR((J212+K212+L212+N212)/H212,""))</x:f>
      </x:c>
      <x:c r="U212" s="25">
        <x:f>IF(COUNTA(J212:L212,N212)=0,"",IFERROR(AVERAGE(J212:L212,N212),""))</x:f>
      </x:c>
      <x:c r="V212" s="17" t="inlineStr">
        <x:is>
          <x:t xml:space="preserve"/>
        </x:is>
      </x:c>
    </x:row>
    <x:row r="213">
      <x:c r="A213" s="16" t="inlineStr">
        <x:is>
          <x:t xml:space="preserve">P018</x:t>
        </x:is>
      </x:c>
      <x:c r="B213" s="16" t="n">
        <x:v>5</x:v>
      </x:c>
      <x:c r="C213" s="16" t="inlineStr">
        <x:is>
          <x:t xml:space="preserve">V03</x:t>
        </x:is>
      </x:c>
      <x:c r="D213" s="16" t="inlineStr">
        <x:is>
          <x:t xml:space="preserve">Fitness</x:t>
        </x:is>
      </x:c>
      <x:c r="E213" s="16" t="inlineStr">
        <x:is>
          <x:t xml:space="preserve">Keyword highlight</x:t>
        </x:is>
      </x:c>
      <x:c r="F213" s="16" t="inlineStr">
        <x:is>
          <x:t xml:space="preserve">Muted</x:t>
        </x:is>
      </x:c>
      <x:c r="G213" s="21" t="n">
        <x:v>18</x:v>
      </x:c>
      <x:c r="H213" s="21" t="inlineStr">
        <x:is>
          <x:t xml:space="preserve"/>
        </x:is>
      </x:c>
      <x:c r="I213" s="21" t="inlineStr">
        <x:is>
          <x:t xml:space="preserve"/>
        </x:is>
      </x:c>
      <x:c r="J213" s="21" t="inlineStr">
        <x:is>
          <x:t xml:space="preserve"/>
        </x:is>
      </x:c>
      <x:c r="K213" s="21" t="inlineStr">
        <x:is>
          <x:t xml:space="preserve"/>
        </x:is>
      </x:c>
      <x:c r="L213" s="21" t="inlineStr">
        <x:is>
          <x:t xml:space="preserve"/>
        </x:is>
      </x:c>
      <x:c r="M213" s="21" t="inlineStr">
        <x:is>
          <x:t xml:space="preserve"/>
        </x:is>
      </x:c>
      <x:c r="N213" s="21" t="inlineStr">
        <x:is>
          <x:t xml:space="preserve"/>
        </x:is>
      </x:c>
      <x:c r="O213" s="21" t="inlineStr">
        <x:is>
          <x:t xml:space="preserve"/>
        </x:is>
      </x:c>
      <x:c r="P213" s="21" t="inlineStr">
        <x:is>
          <x:t xml:space="preserve"/>
        </x:is>
      </x:c>
      <x:c r="Q213" s="21" t="inlineStr">
        <x:is>
          <x:t xml:space="preserve"/>
        </x:is>
      </x:c>
      <x:c r="R213" s="21" t="inlineStr">
        <x:is>
          <x:t xml:space="preserve"/>
        </x:is>
      </x:c>
      <x:c r="S213" s="22">
        <x:f>IF(H213="","",IFERROR(H213/G213,""))</x:f>
      </x:c>
      <x:c r="T213" s="23">
        <x:f>IF(H213="","",IFERROR((J213+K213+L213+N213)/H213,""))</x:f>
      </x:c>
      <x:c r="U213" s="22">
        <x:f>IF(COUNTA(J213:L213,N213)=0,"",IFERROR(AVERAGE(J213:L213,N213),""))</x:f>
      </x:c>
      <x:c r="V213" s="16" t="inlineStr">
        <x:is>
          <x:t xml:space="preserve"/>
        </x:is>
      </x:c>
    </x:row>
    <x:row r="214">
      <x:c r="A214" s="17" t="inlineStr">
        <x:is>
          <x:t xml:space="preserve">P018</x:t>
        </x:is>
      </x:c>
      <x:c r="B214" s="17" t="n">
        <x:v>6</x:v>
      </x:c>
      <x:c r="C214" s="17" t="inlineStr">
        <x:is>
          <x:t xml:space="preserve">V05</x:t>
        </x:is>
      </x:c>
      <x:c r="D214" s="17" t="inlineStr">
        <x:is>
          <x:t xml:space="preserve">Tutorial</x:t>
        </x:is>
      </x:c>
      <x:c r="E214" s="17" t="inlineStr">
        <x:is>
          <x:t xml:space="preserve">BCC</x:t>
        </x:is>
      </x:c>
      <x:c r="F214" s="17" t="inlineStr">
        <x:is>
          <x:t xml:space="preserve">Muted</x:t>
        </x:is>
      </x:c>
      <x:c r="G214" s="24" t="n">
        <x:v>20</x:v>
      </x:c>
      <x:c r="H214" s="24" t="inlineStr">
        <x:is>
          <x:t xml:space="preserve"/>
        </x:is>
      </x:c>
      <x:c r="I214" s="24" t="inlineStr">
        <x:is>
          <x:t xml:space="preserve"/>
        </x:is>
      </x:c>
      <x:c r="J214" s="24" t="inlineStr">
        <x:is>
          <x:t xml:space="preserve"/>
        </x:is>
      </x:c>
      <x:c r="K214" s="24" t="inlineStr">
        <x:is>
          <x:t xml:space="preserve"/>
        </x:is>
      </x:c>
      <x:c r="L214" s="24" t="inlineStr">
        <x:is>
          <x:t xml:space="preserve"/>
        </x:is>
      </x:c>
      <x:c r="M214" s="24" t="inlineStr">
        <x:is>
          <x:t xml:space="preserve"/>
        </x:is>
      </x:c>
      <x:c r="N214" s="24" t="inlineStr">
        <x:is>
          <x:t xml:space="preserve"/>
        </x:is>
      </x:c>
      <x:c r="O214" s="24" t="inlineStr">
        <x:is>
          <x:t xml:space="preserve"/>
        </x:is>
      </x:c>
      <x:c r="P214" s="24" t="inlineStr">
        <x:is>
          <x:t xml:space="preserve"/>
        </x:is>
      </x:c>
      <x:c r="Q214" s="24" t="inlineStr">
        <x:is>
          <x:t xml:space="preserve"/>
        </x:is>
      </x:c>
      <x:c r="R214" s="24" t="inlineStr">
        <x:is>
          <x:t xml:space="preserve"/>
        </x:is>
      </x:c>
      <x:c r="S214" s="25">
        <x:f>IF(H214="","",IFERROR(H214/G214,""))</x:f>
      </x:c>
      <x:c r="T214" s="26">
        <x:f>IF(H214="","",IFERROR((J214+K214+L214+N214)/H214,""))</x:f>
      </x:c>
      <x:c r="U214" s="25">
        <x:f>IF(COUNTA(J214:L214,N214)=0,"",IFERROR(AVERAGE(J214:L214,N214),""))</x:f>
      </x:c>
      <x:c r="V214" s="17" t="inlineStr">
        <x:is>
          <x:t xml:space="preserve"/>
        </x:is>
      </x:c>
    </x:row>
    <x:row r="215">
      <x:c r="A215" s="16" t="inlineStr">
        <x:is>
          <x:t xml:space="preserve">P018</x:t>
        </x:is>
      </x:c>
      <x:c r="B215" s="16" t="n">
        <x:v>7</x:v>
      </x:c>
      <x:c r="C215" s="16" t="inlineStr">
        <x:is>
          <x:t xml:space="preserve">V10</x:t>
        </x:is>
      </x:c>
      <x:c r="D215" s="16" t="inlineStr">
        <x:is>
          <x:t xml:space="preserve">Product demo</x:t>
        </x:is>
      </x:c>
      <x:c r="E215" s="16" t="inlineStr">
        <x:is>
          <x:t xml:space="preserve">Semantic compression</x:t>
        </x:is>
      </x:c>
      <x:c r="F215" s="16" t="inlineStr">
        <x:is>
          <x:t xml:space="preserve">Muted</x:t>
        </x:is>
      </x:c>
      <x:c r="G215" s="21" t="n">
        <x:v>15</x:v>
      </x:c>
      <x:c r="H215" s="21" t="inlineStr">
        <x:is>
          <x:t xml:space="preserve"/>
        </x:is>
      </x:c>
      <x:c r="I215" s="21" t="inlineStr">
        <x:is>
          <x:t xml:space="preserve"/>
        </x:is>
      </x:c>
      <x:c r="J215" s="21" t="inlineStr">
        <x:is>
          <x:t xml:space="preserve"/>
        </x:is>
      </x:c>
      <x:c r="K215" s="21" t="inlineStr">
        <x:is>
          <x:t xml:space="preserve"/>
        </x:is>
      </x:c>
      <x:c r="L215" s="21" t="inlineStr">
        <x:is>
          <x:t xml:space="preserve"/>
        </x:is>
      </x:c>
      <x:c r="M215" s="21" t="inlineStr">
        <x:is>
          <x:t xml:space="preserve"/>
        </x:is>
      </x:c>
      <x:c r="N215" s="21" t="inlineStr">
        <x:is>
          <x:t xml:space="preserve"/>
        </x:is>
      </x:c>
      <x:c r="O215" s="21" t="inlineStr">
        <x:is>
          <x:t xml:space="preserve"/>
        </x:is>
      </x:c>
      <x:c r="P215" s="21" t="inlineStr">
        <x:is>
          <x:t xml:space="preserve"/>
        </x:is>
      </x:c>
      <x:c r="Q215" s="21" t="inlineStr">
        <x:is>
          <x:t xml:space="preserve"/>
        </x:is>
      </x:c>
      <x:c r="R215" s="21" t="inlineStr">
        <x:is>
          <x:t xml:space="preserve"/>
        </x:is>
      </x:c>
      <x:c r="S215" s="22">
        <x:f>IF(H215="","",IFERROR(H215/G215,""))</x:f>
      </x:c>
      <x:c r="T215" s="23">
        <x:f>IF(H215="","",IFERROR((J215+K215+L215+N215)/H215,""))</x:f>
      </x:c>
      <x:c r="U215" s="22">
        <x:f>IF(COUNTA(J215:L215,N215)=0,"",IFERROR(AVERAGE(J215:L215,N215),""))</x:f>
      </x:c>
      <x:c r="V215" s="16" t="inlineStr">
        <x:is>
          <x:t xml:space="preserve"/>
        </x:is>
      </x:c>
    </x:row>
    <x:row r="216">
      <x:c r="A216" s="17" t="inlineStr">
        <x:is>
          <x:t xml:space="preserve">P018</x:t>
        </x:is>
      </x:c>
      <x:c r="B216" s="17" t="n">
        <x:v>8</x:v>
      </x:c>
      <x:c r="C216" s="17" t="inlineStr">
        <x:is>
          <x:t xml:space="preserve">V04</x:t>
        </x:is>
      </x:c>
      <x:c r="D216" s="17" t="inlineStr">
        <x:is>
          <x:t xml:space="preserve">Finance</x:t>
        </x:is>
      </x:c>
      <x:c r="E216" s="17" t="inlineStr">
        <x:is>
          <x:t xml:space="preserve">Semantic compression</x:t>
        </x:is>
      </x:c>
      <x:c r="F216" s="17" t="inlineStr">
        <x:is>
          <x:t xml:space="preserve">Muted</x:t>
        </x:is>
      </x:c>
      <x:c r="G216" s="24" t="n">
        <x:v>20</x:v>
      </x:c>
      <x:c r="H216" s="24" t="inlineStr">
        <x:is>
          <x:t xml:space="preserve"/>
        </x:is>
      </x:c>
      <x:c r="I216" s="24" t="inlineStr">
        <x:is>
          <x:t xml:space="preserve"/>
        </x:is>
      </x:c>
      <x:c r="J216" s="24" t="inlineStr">
        <x:is>
          <x:t xml:space="preserve"/>
        </x:is>
      </x:c>
      <x:c r="K216" s="24" t="inlineStr">
        <x:is>
          <x:t xml:space="preserve"/>
        </x:is>
      </x:c>
      <x:c r="L216" s="24" t="inlineStr">
        <x:is>
          <x:t xml:space="preserve"/>
        </x:is>
      </x:c>
      <x:c r="M216" s="24" t="inlineStr">
        <x:is>
          <x:t xml:space="preserve"/>
        </x:is>
      </x:c>
      <x:c r="N216" s="24" t="inlineStr">
        <x:is>
          <x:t xml:space="preserve"/>
        </x:is>
      </x:c>
      <x:c r="O216" s="24" t="inlineStr">
        <x:is>
          <x:t xml:space="preserve"/>
        </x:is>
      </x:c>
      <x:c r="P216" s="24" t="inlineStr">
        <x:is>
          <x:t xml:space="preserve"/>
        </x:is>
      </x:c>
      <x:c r="Q216" s="24" t="inlineStr">
        <x:is>
          <x:t xml:space="preserve"/>
        </x:is>
      </x:c>
      <x:c r="R216" s="24" t="inlineStr">
        <x:is>
          <x:t xml:space="preserve"/>
        </x:is>
      </x:c>
      <x:c r="S216" s="25">
        <x:f>IF(H216="","",IFERROR(H216/G216,""))</x:f>
      </x:c>
      <x:c r="T216" s="26">
        <x:f>IF(H216="","",IFERROR((J216+K216+L216+N216)/H216,""))</x:f>
      </x:c>
      <x:c r="U216" s="25">
        <x:f>IF(COUNTA(J216:L216,N216)=0,"",IFERROR(AVERAGE(J216:L216,N216),""))</x:f>
      </x:c>
      <x:c r="V216" s="17" t="inlineStr">
        <x:is>
          <x:t xml:space="preserve"/>
        </x:is>
      </x:c>
    </x:row>
    <x:row r="217">
      <x:c r="A217" s="16" t="inlineStr">
        <x:is>
          <x:t xml:space="preserve">P018</x:t>
        </x:is>
      </x:c>
      <x:c r="B217" s="16" t="n">
        <x:v>9</x:v>
      </x:c>
      <x:c r="C217" s="16" t="inlineStr">
        <x:is>
          <x:t xml:space="preserve">V02</x:t>
        </x:is>
      </x:c>
      <x:c r="D217" s="16" t="inlineStr">
        <x:is>
          <x:t xml:space="preserve">Study</x:t>
        </x:is>
      </x:c>
      <x:c r="E217" s="16" t="inlineStr">
        <x:is>
          <x:t xml:space="preserve">Full transcript</x:t>
        </x:is>
      </x:c>
      <x:c r="F217" s="16" t="inlineStr">
        <x:is>
          <x:t xml:space="preserve">Muted</x:t>
        </x:is>
      </x:c>
      <x:c r="G217" s="21" t="n">
        <x:v>18</x:v>
      </x:c>
      <x:c r="H217" s="21" t="inlineStr">
        <x:is>
          <x:t xml:space="preserve"/>
        </x:is>
      </x:c>
      <x:c r="I217" s="21" t="inlineStr">
        <x:is>
          <x:t xml:space="preserve"/>
        </x:is>
      </x:c>
      <x:c r="J217" s="21" t="inlineStr">
        <x:is>
          <x:t xml:space="preserve"/>
        </x:is>
      </x:c>
      <x:c r="K217" s="21" t="inlineStr">
        <x:is>
          <x:t xml:space="preserve"/>
        </x:is>
      </x:c>
      <x:c r="L217" s="21" t="inlineStr">
        <x:is>
          <x:t xml:space="preserve"/>
        </x:is>
      </x:c>
      <x:c r="M217" s="21" t="inlineStr">
        <x:is>
          <x:t xml:space="preserve"/>
        </x:is>
      </x:c>
      <x:c r="N217" s="21" t="inlineStr">
        <x:is>
          <x:t xml:space="preserve"/>
        </x:is>
      </x:c>
      <x:c r="O217" s="21" t="inlineStr">
        <x:is>
          <x:t xml:space="preserve"/>
        </x:is>
      </x:c>
      <x:c r="P217" s="21" t="inlineStr">
        <x:is>
          <x:t xml:space="preserve"/>
        </x:is>
      </x:c>
      <x:c r="Q217" s="21" t="inlineStr">
        <x:is>
          <x:t xml:space="preserve"/>
        </x:is>
      </x:c>
      <x:c r="R217" s="21" t="inlineStr">
        <x:is>
          <x:t xml:space="preserve"/>
        </x:is>
      </x:c>
      <x:c r="S217" s="22">
        <x:f>IF(H217="","",IFERROR(H217/G217,""))</x:f>
      </x:c>
      <x:c r="T217" s="23">
        <x:f>IF(H217="","",IFERROR((J217+K217+L217+N217)/H217,""))</x:f>
      </x:c>
      <x:c r="U217" s="22">
        <x:f>IF(COUNTA(J217:L217,N217)=0,"",IFERROR(AVERAGE(J217:L217,N217),""))</x:f>
      </x:c>
      <x:c r="V217" s="16" t="inlineStr">
        <x:is>
          <x:t xml:space="preserve"/>
        </x:is>
      </x:c>
    </x:row>
    <x:row r="218">
      <x:c r="A218" s="17" t="inlineStr">
        <x:is>
          <x:t xml:space="preserve">P018</x:t>
        </x:is>
      </x:c>
      <x:c r="B218" s="17" t="n">
        <x:v>10</x:v>
      </x:c>
      <x:c r="C218" s="17" t="inlineStr">
        <x:is>
          <x:t xml:space="preserve">V12</x:t>
        </x:is>
      </x:c>
      <x:c r="D218" s="17" t="inlineStr">
        <x:is>
          <x:t xml:space="preserve">Time management</x:t>
        </x:is>
      </x:c>
      <x:c r="E218" s="17" t="inlineStr">
        <x:is>
          <x:t xml:space="preserve">BCC+</x:t>
        </x:is>
      </x:c>
      <x:c r="F218" s="17" t="inlineStr">
        <x:is>
          <x:t xml:space="preserve">Muted</x:t>
        </x:is>
      </x:c>
      <x:c r="G218" s="24" t="n">
        <x:v>21</x:v>
      </x:c>
      <x:c r="H218" s="24" t="inlineStr">
        <x:is>
          <x:t xml:space="preserve"/>
        </x:is>
      </x:c>
      <x:c r="I218" s="24" t="inlineStr">
        <x:is>
          <x:t xml:space="preserve"/>
        </x:is>
      </x:c>
      <x:c r="J218" s="24" t="inlineStr">
        <x:is>
          <x:t xml:space="preserve"/>
        </x:is>
      </x:c>
      <x:c r="K218" s="24" t="inlineStr">
        <x:is>
          <x:t xml:space="preserve"/>
        </x:is>
      </x:c>
      <x:c r="L218" s="24" t="inlineStr">
        <x:is>
          <x:t xml:space="preserve"/>
        </x:is>
      </x:c>
      <x:c r="M218" s="24" t="inlineStr">
        <x:is>
          <x:t xml:space="preserve"/>
        </x:is>
      </x:c>
      <x:c r="N218" s="24" t="inlineStr">
        <x:is>
          <x:t xml:space="preserve"/>
        </x:is>
      </x:c>
      <x:c r="O218" s="24" t="inlineStr">
        <x:is>
          <x:t xml:space="preserve"/>
        </x:is>
      </x:c>
      <x:c r="P218" s="24" t="inlineStr">
        <x:is>
          <x:t xml:space="preserve"/>
        </x:is>
      </x:c>
      <x:c r="Q218" s="24" t="inlineStr">
        <x:is>
          <x:t xml:space="preserve"/>
        </x:is>
      </x:c>
      <x:c r="R218" s="24" t="inlineStr">
        <x:is>
          <x:t xml:space="preserve"/>
        </x:is>
      </x:c>
      <x:c r="S218" s="25">
        <x:f>IF(H218="","",IFERROR(H218/G218,""))</x:f>
      </x:c>
      <x:c r="T218" s="26">
        <x:f>IF(H218="","",IFERROR((J218+K218+L218+N218)/H218,""))</x:f>
      </x:c>
      <x:c r="U218" s="25">
        <x:f>IF(COUNTA(J218:L218,N218)=0,"",IFERROR(AVERAGE(J218:L218,N218),""))</x:f>
      </x:c>
      <x:c r="V218" s="17" t="inlineStr">
        <x:is>
          <x:t xml:space="preserve"/>
        </x:is>
      </x:c>
    </x:row>
    <x:row r="219">
      <x:c r="A219" s="16" t="inlineStr">
        <x:is>
          <x:t xml:space="preserve">P018</x:t>
        </x:is>
      </x:c>
      <x:c r="B219" s="16" t="n">
        <x:v>11</x:v>
      </x:c>
      <x:c r="C219" s="16" t="inlineStr">
        <x:is>
          <x:t xml:space="preserve">V11</x:t>
        </x:is>
      </x:c>
      <x:c r="D219" s="16" t="inlineStr">
        <x:is>
          <x:t xml:space="preserve">Creator strategy</x:t>
        </x:is>
      </x:c>
      <x:c r="E219" s="16" t="inlineStr">
        <x:is>
          <x:t xml:space="preserve">BCC</x:t>
        </x:is>
      </x:c>
      <x:c r="F219" s="16" t="inlineStr">
        <x:is>
          <x:t xml:space="preserve">Muted</x:t>
        </x:is>
      </x:c>
      <x:c r="G219" s="21" t="n">
        <x:v>17</x:v>
      </x:c>
      <x:c r="H219" s="21" t="inlineStr">
        <x:is>
          <x:t xml:space="preserve"/>
        </x:is>
      </x:c>
      <x:c r="I219" s="21" t="inlineStr">
        <x:is>
          <x:t xml:space="preserve"/>
        </x:is>
      </x:c>
      <x:c r="J219" s="21" t="inlineStr">
        <x:is>
          <x:t xml:space="preserve"/>
        </x:is>
      </x:c>
      <x:c r="K219" s="21" t="inlineStr">
        <x:is>
          <x:t xml:space="preserve"/>
        </x:is>
      </x:c>
      <x:c r="L219" s="21" t="inlineStr">
        <x:is>
          <x:t xml:space="preserve"/>
        </x:is>
      </x:c>
      <x:c r="M219" s="21" t="inlineStr">
        <x:is>
          <x:t xml:space="preserve"/>
        </x:is>
      </x:c>
      <x:c r="N219" s="21" t="inlineStr">
        <x:is>
          <x:t xml:space="preserve"/>
        </x:is>
      </x:c>
      <x:c r="O219" s="21" t="inlineStr">
        <x:is>
          <x:t xml:space="preserve"/>
        </x:is>
      </x:c>
      <x:c r="P219" s="21" t="inlineStr">
        <x:is>
          <x:t xml:space="preserve"/>
        </x:is>
      </x:c>
      <x:c r="Q219" s="21" t="inlineStr">
        <x:is>
          <x:t xml:space="preserve"/>
        </x:is>
      </x:c>
      <x:c r="R219" s="21" t="inlineStr">
        <x:is>
          <x:t xml:space="preserve"/>
        </x:is>
      </x:c>
      <x:c r="S219" s="22">
        <x:f>IF(H219="","",IFERROR(H219/G219,""))</x:f>
      </x:c>
      <x:c r="T219" s="23">
        <x:f>IF(H219="","",IFERROR((J219+K219+L219+N219)/H219,""))</x:f>
      </x:c>
      <x:c r="U219" s="22">
        <x:f>IF(COUNTA(J219:L219,N219)=0,"",IFERROR(AVERAGE(J219:L219,N219),""))</x:f>
      </x:c>
      <x:c r="V219" s="16" t="inlineStr">
        <x:is>
          <x:t xml:space="preserve"/>
        </x:is>
      </x:c>
    </x:row>
    <x:row r="220">
      <x:c r="A220" s="17" t="inlineStr">
        <x:is>
          <x:t xml:space="preserve">P018</x:t>
        </x:is>
      </x:c>
      <x:c r="B220" s="17" t="n">
        <x:v>12</x:v>
      </x:c>
      <x:c r="C220" s="17" t="inlineStr">
        <x:is>
          <x:t xml:space="preserve">V07</x:t>
        </x:is>
      </x:c>
      <x:c r="D220" s="17" t="inlineStr">
        <x:is>
          <x:t xml:space="preserve">Business</x:t>
        </x:is>
      </x:c>
      <x:c r="E220" s="17" t="inlineStr">
        <x:is>
          <x:t xml:space="preserve">Heavy bionic</x:t>
        </x:is>
      </x:c>
      <x:c r="F220" s="17" t="inlineStr">
        <x:is>
          <x:t xml:space="preserve">Muted</x:t>
        </x:is>
      </x:c>
      <x:c r="G220" s="24" t="n">
        <x:v>18</x:v>
      </x:c>
      <x:c r="H220" s="24" t="inlineStr">
        <x:is>
          <x:t xml:space="preserve"/>
        </x:is>
      </x:c>
      <x:c r="I220" s="24" t="inlineStr">
        <x:is>
          <x:t xml:space="preserve"/>
        </x:is>
      </x:c>
      <x:c r="J220" s="24" t="inlineStr">
        <x:is>
          <x:t xml:space="preserve"/>
        </x:is>
      </x:c>
      <x:c r="K220" s="24" t="inlineStr">
        <x:is>
          <x:t xml:space="preserve"/>
        </x:is>
      </x:c>
      <x:c r="L220" s="24" t="inlineStr">
        <x:is>
          <x:t xml:space="preserve"/>
        </x:is>
      </x:c>
      <x:c r="M220" s="24" t="inlineStr">
        <x:is>
          <x:t xml:space="preserve"/>
        </x:is>
      </x:c>
      <x:c r="N220" s="24" t="inlineStr">
        <x:is>
          <x:t xml:space="preserve"/>
        </x:is>
      </x:c>
      <x:c r="O220" s="24" t="inlineStr">
        <x:is>
          <x:t xml:space="preserve"/>
        </x:is>
      </x:c>
      <x:c r="P220" s="24" t="inlineStr">
        <x:is>
          <x:t xml:space="preserve"/>
        </x:is>
      </x:c>
      <x:c r="Q220" s="24" t="inlineStr">
        <x:is>
          <x:t xml:space="preserve"/>
        </x:is>
      </x:c>
      <x:c r="R220" s="24" t="inlineStr">
        <x:is>
          <x:t xml:space="preserve"/>
        </x:is>
      </x:c>
      <x:c r="S220" s="25">
        <x:f>IF(H220="","",IFERROR(H220/G220,""))</x:f>
      </x:c>
      <x:c r="T220" s="26">
        <x:f>IF(H220="","",IFERROR((J220+K220+L220+N220)/H220,""))</x:f>
      </x:c>
      <x:c r="U220" s="25">
        <x:f>IF(COUNTA(J220:L220,N220)=0,"",IFERROR(AVERAGE(J220:L220,N220),""))</x:f>
      </x:c>
      <x:c r="V220" s="17" t="inlineStr">
        <x:is>
          <x:t xml:space="preserve"/>
        </x:is>
      </x:c>
    </x:row>
    <x:row r="221">
      <x:c r="A221" s="16" t="inlineStr">
        <x:is>
          <x:t xml:space="preserve">P019</x:t>
        </x:is>
      </x:c>
      <x:c r="B221" s="16" t="n">
        <x:v>1</x:v>
      </x:c>
      <x:c r="C221" s="16" t="inlineStr">
        <x:is>
          <x:t xml:space="preserve">V12</x:t>
        </x:is>
      </x:c>
      <x:c r="D221" s="16" t="inlineStr">
        <x:is>
          <x:t xml:space="preserve">Time management</x:t>
        </x:is>
      </x:c>
      <x:c r="E221" s="16" t="inlineStr">
        <x:is>
          <x:t xml:space="preserve">Heavy bionic</x:t>
        </x:is>
      </x:c>
      <x:c r="F221" s="16" t="inlineStr">
        <x:is>
          <x:t xml:space="preserve">Audio-on</x:t>
        </x:is>
      </x:c>
      <x:c r="G221" s="21" t="n">
        <x:v>21</x:v>
      </x:c>
      <x:c r="H221" s="21" t="inlineStr">
        <x:is>
          <x:t xml:space="preserve"/>
        </x:is>
      </x:c>
      <x:c r="I221" s="21" t="inlineStr">
        <x:is>
          <x:t xml:space="preserve"/>
        </x:is>
      </x:c>
      <x:c r="J221" s="21" t="inlineStr">
        <x:is>
          <x:t xml:space="preserve"/>
        </x:is>
      </x:c>
      <x:c r="K221" s="21" t="inlineStr">
        <x:is>
          <x:t xml:space="preserve"/>
        </x:is>
      </x:c>
      <x:c r="L221" s="21" t="inlineStr">
        <x:is>
          <x:t xml:space="preserve"/>
        </x:is>
      </x:c>
      <x:c r="M221" s="21" t="inlineStr">
        <x:is>
          <x:t xml:space="preserve"/>
        </x:is>
      </x:c>
      <x:c r="N221" s="21" t="inlineStr">
        <x:is>
          <x:t xml:space="preserve"/>
        </x:is>
      </x:c>
      <x:c r="O221" s="21" t="inlineStr">
        <x:is>
          <x:t xml:space="preserve"/>
        </x:is>
      </x:c>
      <x:c r="P221" s="21" t="inlineStr">
        <x:is>
          <x:t xml:space="preserve"/>
        </x:is>
      </x:c>
      <x:c r="Q221" s="21" t="inlineStr">
        <x:is>
          <x:t xml:space="preserve"/>
        </x:is>
      </x:c>
      <x:c r="R221" s="21" t="inlineStr">
        <x:is>
          <x:t xml:space="preserve"/>
        </x:is>
      </x:c>
      <x:c r="S221" s="22">
        <x:f>IF(H221="","",IFERROR(H221/G221,""))</x:f>
      </x:c>
      <x:c r="T221" s="23">
        <x:f>IF(H221="","",IFERROR((J221+K221+L221+N221)/H221,""))</x:f>
      </x:c>
      <x:c r="U221" s="22">
        <x:f>IF(COUNTA(J221:L221,N221)=0,"",IFERROR(AVERAGE(J221:L221,N221),""))</x:f>
      </x:c>
      <x:c r="V221" s="16" t="inlineStr">
        <x:is>
          <x:t xml:space="preserve"/>
        </x:is>
      </x:c>
    </x:row>
    <x:row r="222">
      <x:c r="A222" s="17" t="inlineStr">
        <x:is>
          <x:t xml:space="preserve">P019</x:t>
        </x:is>
      </x:c>
      <x:c r="B222" s="17" t="n">
        <x:v>2</x:v>
      </x:c>
      <x:c r="C222" s="17" t="inlineStr">
        <x:is>
          <x:t xml:space="preserve">V03</x:t>
        </x:is>
      </x:c>
      <x:c r="D222" s="17" t="inlineStr">
        <x:is>
          <x:t xml:space="preserve">Fitness</x:t>
        </x:is>
      </x:c>
      <x:c r="E222" s="17" t="inlineStr">
        <x:is>
          <x:t xml:space="preserve">Semantic compression</x:t>
        </x:is>
      </x:c>
      <x:c r="F222" s="17" t="inlineStr">
        <x:is>
          <x:t xml:space="preserve">Audio-on</x:t>
        </x:is>
      </x:c>
      <x:c r="G222" s="24" t="n">
        <x:v>18</x:v>
      </x:c>
      <x:c r="H222" s="24" t="inlineStr">
        <x:is>
          <x:t xml:space="preserve"/>
        </x:is>
      </x:c>
      <x:c r="I222" s="24" t="inlineStr">
        <x:is>
          <x:t xml:space="preserve"/>
        </x:is>
      </x:c>
      <x:c r="J222" s="24" t="inlineStr">
        <x:is>
          <x:t xml:space="preserve"/>
        </x:is>
      </x:c>
      <x:c r="K222" s="24" t="inlineStr">
        <x:is>
          <x:t xml:space="preserve"/>
        </x:is>
      </x:c>
      <x:c r="L222" s="24" t="inlineStr">
        <x:is>
          <x:t xml:space="preserve"/>
        </x:is>
      </x:c>
      <x:c r="M222" s="24" t="inlineStr">
        <x:is>
          <x:t xml:space="preserve"/>
        </x:is>
      </x:c>
      <x:c r="N222" s="24" t="inlineStr">
        <x:is>
          <x:t xml:space="preserve"/>
        </x:is>
      </x:c>
      <x:c r="O222" s="24" t="inlineStr">
        <x:is>
          <x:t xml:space="preserve"/>
        </x:is>
      </x:c>
      <x:c r="P222" s="24" t="inlineStr">
        <x:is>
          <x:t xml:space="preserve"/>
        </x:is>
      </x:c>
      <x:c r="Q222" s="24" t="inlineStr">
        <x:is>
          <x:t xml:space="preserve"/>
        </x:is>
      </x:c>
      <x:c r="R222" s="24" t="inlineStr">
        <x:is>
          <x:t xml:space="preserve"/>
        </x:is>
      </x:c>
      <x:c r="S222" s="25">
        <x:f>IF(H222="","",IFERROR(H222/G222,""))</x:f>
      </x:c>
      <x:c r="T222" s="26">
        <x:f>IF(H222="","",IFERROR((J222+K222+L222+N222)/H222,""))</x:f>
      </x:c>
      <x:c r="U222" s="25">
        <x:f>IF(COUNTA(J222:L222,N222)=0,"",IFERROR(AVERAGE(J222:L222,N222),""))</x:f>
      </x:c>
      <x:c r="V222" s="17" t="inlineStr">
        <x:is>
          <x:t xml:space="preserve"/>
        </x:is>
      </x:c>
    </x:row>
    <x:row r="223">
      <x:c r="A223" s="16" t="inlineStr">
        <x:is>
          <x:t xml:space="preserve">P019</x:t>
        </x:is>
      </x:c>
      <x:c r="B223" s="16" t="n">
        <x:v>3</x:v>
      </x:c>
      <x:c r="C223" s="16" t="inlineStr">
        <x:is>
          <x:t xml:space="preserve">V07</x:t>
        </x:is>
      </x:c>
      <x:c r="D223" s="16" t="inlineStr">
        <x:is>
          <x:t xml:space="preserve">Business</x:t>
        </x:is>
      </x:c>
      <x:c r="E223" s="16" t="inlineStr">
        <x:is>
          <x:t xml:space="preserve">Full transcript</x:t>
        </x:is>
      </x:c>
      <x:c r="F223" s="16" t="inlineStr">
        <x:is>
          <x:t xml:space="preserve">Audio-on</x:t>
        </x:is>
      </x:c>
      <x:c r="G223" s="21" t="n">
        <x:v>18</x:v>
      </x:c>
      <x:c r="H223" s="21" t="inlineStr">
        <x:is>
          <x:t xml:space="preserve"/>
        </x:is>
      </x:c>
      <x:c r="I223" s="21" t="inlineStr">
        <x:is>
          <x:t xml:space="preserve"/>
        </x:is>
      </x:c>
      <x:c r="J223" s="21" t="inlineStr">
        <x:is>
          <x:t xml:space="preserve"/>
        </x:is>
      </x:c>
      <x:c r="K223" s="21" t="inlineStr">
        <x:is>
          <x:t xml:space="preserve"/>
        </x:is>
      </x:c>
      <x:c r="L223" s="21" t="inlineStr">
        <x:is>
          <x:t xml:space="preserve"/>
        </x:is>
      </x:c>
      <x:c r="M223" s="21" t="inlineStr">
        <x:is>
          <x:t xml:space="preserve"/>
        </x:is>
      </x:c>
      <x:c r="N223" s="21" t="inlineStr">
        <x:is>
          <x:t xml:space="preserve"/>
        </x:is>
      </x:c>
      <x:c r="O223" s="21" t="inlineStr">
        <x:is>
          <x:t xml:space="preserve"/>
        </x:is>
      </x:c>
      <x:c r="P223" s="21" t="inlineStr">
        <x:is>
          <x:t xml:space="preserve"/>
        </x:is>
      </x:c>
      <x:c r="Q223" s="21" t="inlineStr">
        <x:is>
          <x:t xml:space="preserve"/>
        </x:is>
      </x:c>
      <x:c r="R223" s="21" t="inlineStr">
        <x:is>
          <x:t xml:space="preserve"/>
        </x:is>
      </x:c>
      <x:c r="S223" s="22">
        <x:f>IF(H223="","",IFERROR(H223/G223,""))</x:f>
      </x:c>
      <x:c r="T223" s="23">
        <x:f>IF(H223="","",IFERROR((J223+K223+L223+N223)/H223,""))</x:f>
      </x:c>
      <x:c r="U223" s="22">
        <x:f>IF(COUNTA(J223:L223,N223)=0,"",IFERROR(AVERAGE(J223:L223,N223),""))</x:f>
      </x:c>
      <x:c r="V223" s="16" t="inlineStr">
        <x:is>
          <x:t xml:space="preserve"/>
        </x:is>
      </x:c>
    </x:row>
    <x:row r="224">
      <x:c r="A224" s="17" t="inlineStr">
        <x:is>
          <x:t xml:space="preserve">P019</x:t>
        </x:is>
      </x:c>
      <x:c r="B224" s="17" t="n">
        <x:v>4</x:v>
      </x:c>
      <x:c r="C224" s="17" t="inlineStr">
        <x:is>
          <x:t xml:space="preserve">V09</x:t>
        </x:is>
      </x:c>
      <x:c r="D224" s="17" t="inlineStr">
        <x:is>
          <x:t xml:space="preserve">Sleep habit</x:t>
        </x:is>
      </x:c>
      <x:c r="E224" s="17" t="inlineStr">
        <x:is>
          <x:t xml:space="preserve">Semantic compression</x:t>
        </x:is>
      </x:c>
      <x:c r="F224" s="17" t="inlineStr">
        <x:is>
          <x:t xml:space="preserve">Audio-on</x:t>
        </x:is>
      </x:c>
      <x:c r="G224" s="24" t="n">
        <x:v>19</x:v>
      </x:c>
      <x:c r="H224" s="24" t="inlineStr">
        <x:is>
          <x:t xml:space="preserve"/>
        </x:is>
      </x:c>
      <x:c r="I224" s="24" t="inlineStr">
        <x:is>
          <x:t xml:space="preserve"/>
        </x:is>
      </x:c>
      <x:c r="J224" s="24" t="inlineStr">
        <x:is>
          <x:t xml:space="preserve"/>
        </x:is>
      </x:c>
      <x:c r="K224" s="24" t="inlineStr">
        <x:is>
          <x:t xml:space="preserve"/>
        </x:is>
      </x:c>
      <x:c r="L224" s="24" t="inlineStr">
        <x:is>
          <x:t xml:space="preserve"/>
        </x:is>
      </x:c>
      <x:c r="M224" s="24" t="inlineStr">
        <x:is>
          <x:t xml:space="preserve"/>
        </x:is>
      </x:c>
      <x:c r="N224" s="24" t="inlineStr">
        <x:is>
          <x:t xml:space="preserve"/>
        </x:is>
      </x:c>
      <x:c r="O224" s="24" t="inlineStr">
        <x:is>
          <x:t xml:space="preserve"/>
        </x:is>
      </x:c>
      <x:c r="P224" s="24" t="inlineStr">
        <x:is>
          <x:t xml:space="preserve"/>
        </x:is>
      </x:c>
      <x:c r="Q224" s="24" t="inlineStr">
        <x:is>
          <x:t xml:space="preserve"/>
        </x:is>
      </x:c>
      <x:c r="R224" s="24" t="inlineStr">
        <x:is>
          <x:t xml:space="preserve"/>
        </x:is>
      </x:c>
      <x:c r="S224" s="25">
        <x:f>IF(H224="","",IFERROR(H224/G224,""))</x:f>
      </x:c>
      <x:c r="T224" s="26">
        <x:f>IF(H224="","",IFERROR((J224+K224+L224+N224)/H224,""))</x:f>
      </x:c>
      <x:c r="U224" s="25">
        <x:f>IF(COUNTA(J224:L224,N224)=0,"",IFERROR(AVERAGE(J224:L224,N224),""))</x:f>
      </x:c>
      <x:c r="V224" s="17" t="inlineStr">
        <x:is>
          <x:t xml:space="preserve"/>
        </x:is>
      </x:c>
    </x:row>
    <x:row r="225">
      <x:c r="A225" s="16" t="inlineStr">
        <x:is>
          <x:t xml:space="preserve">P019</x:t>
        </x:is>
      </x:c>
      <x:c r="B225" s="16" t="n">
        <x:v>5</x:v>
      </x:c>
      <x:c r="C225" s="16" t="inlineStr">
        <x:is>
          <x:t xml:space="preserve">V11</x:t>
        </x:is>
      </x:c>
      <x:c r="D225" s="16" t="inlineStr">
        <x:is>
          <x:t xml:space="preserve">Creator strategy</x:t>
        </x:is>
      </x:c>
      <x:c r="E225" s="16" t="inlineStr">
        <x:is>
          <x:t xml:space="preserve">BCC+</x:t>
        </x:is>
      </x:c>
      <x:c r="F225" s="16" t="inlineStr">
        <x:is>
          <x:t xml:space="preserve">Audio-on</x:t>
        </x:is>
      </x:c>
      <x:c r="G225" s="21" t="n">
        <x:v>17</x:v>
      </x:c>
      <x:c r="H225" s="21" t="inlineStr">
        <x:is>
          <x:t xml:space="preserve"/>
        </x:is>
      </x:c>
      <x:c r="I225" s="21" t="inlineStr">
        <x:is>
          <x:t xml:space="preserve"/>
        </x:is>
      </x:c>
      <x:c r="J225" s="21" t="inlineStr">
        <x:is>
          <x:t xml:space="preserve"/>
        </x:is>
      </x:c>
      <x:c r="K225" s="21" t="inlineStr">
        <x:is>
          <x:t xml:space="preserve"/>
        </x:is>
      </x:c>
      <x:c r="L225" s="21" t="inlineStr">
        <x:is>
          <x:t xml:space="preserve"/>
        </x:is>
      </x:c>
      <x:c r="M225" s="21" t="inlineStr">
        <x:is>
          <x:t xml:space="preserve"/>
        </x:is>
      </x:c>
      <x:c r="N225" s="21" t="inlineStr">
        <x:is>
          <x:t xml:space="preserve"/>
        </x:is>
      </x:c>
      <x:c r="O225" s="21" t="inlineStr">
        <x:is>
          <x:t xml:space="preserve"/>
        </x:is>
      </x:c>
      <x:c r="P225" s="21" t="inlineStr">
        <x:is>
          <x:t xml:space="preserve"/>
        </x:is>
      </x:c>
      <x:c r="Q225" s="21" t="inlineStr">
        <x:is>
          <x:t xml:space="preserve"/>
        </x:is>
      </x:c>
      <x:c r="R225" s="21" t="inlineStr">
        <x:is>
          <x:t xml:space="preserve"/>
        </x:is>
      </x:c>
      <x:c r="S225" s="22">
        <x:f>IF(H225="","",IFERROR(H225/G225,""))</x:f>
      </x:c>
      <x:c r="T225" s="23">
        <x:f>IF(H225="","",IFERROR((J225+K225+L225+N225)/H225,""))</x:f>
      </x:c>
      <x:c r="U225" s="22">
        <x:f>IF(COUNTA(J225:L225,N225)=0,"",IFERROR(AVERAGE(J225:L225,N225),""))</x:f>
      </x:c>
      <x:c r="V225" s="16" t="inlineStr">
        <x:is>
          <x:t xml:space="preserve"/>
        </x:is>
      </x:c>
    </x:row>
    <x:row r="226">
      <x:c r="A226" s="17" t="inlineStr">
        <x:is>
          <x:t xml:space="preserve">P019</x:t>
        </x:is>
      </x:c>
      <x:c r="B226" s="17" t="n">
        <x:v>6</x:v>
      </x:c>
      <x:c r="C226" s="17" t="inlineStr">
        <x:is>
          <x:t xml:space="preserve">V05</x:t>
        </x:is>
      </x:c>
      <x:c r="D226" s="17" t="inlineStr">
        <x:is>
          <x:t xml:space="preserve">Tutorial</x:t>
        </x:is>
      </x:c>
      <x:c r="E226" s="17" t="inlineStr">
        <x:is>
          <x:t xml:space="preserve">BCC+</x:t>
        </x:is>
      </x:c>
      <x:c r="F226" s="17" t="inlineStr">
        <x:is>
          <x:t xml:space="preserve">Audio-on</x:t>
        </x:is>
      </x:c>
      <x:c r="G226" s="24" t="n">
        <x:v>20</x:v>
      </x:c>
      <x:c r="H226" s="24" t="inlineStr">
        <x:is>
          <x:t xml:space="preserve"/>
        </x:is>
      </x:c>
      <x:c r="I226" s="24" t="inlineStr">
        <x:is>
          <x:t xml:space="preserve"/>
        </x:is>
      </x:c>
      <x:c r="J226" s="24" t="inlineStr">
        <x:is>
          <x:t xml:space="preserve"/>
        </x:is>
      </x:c>
      <x:c r="K226" s="24" t="inlineStr">
        <x:is>
          <x:t xml:space="preserve"/>
        </x:is>
      </x:c>
      <x:c r="L226" s="24" t="inlineStr">
        <x:is>
          <x:t xml:space="preserve"/>
        </x:is>
      </x:c>
      <x:c r="M226" s="24" t="inlineStr">
        <x:is>
          <x:t xml:space="preserve"/>
        </x:is>
      </x:c>
      <x:c r="N226" s="24" t="inlineStr">
        <x:is>
          <x:t xml:space="preserve"/>
        </x:is>
      </x:c>
      <x:c r="O226" s="24" t="inlineStr">
        <x:is>
          <x:t xml:space="preserve"/>
        </x:is>
      </x:c>
      <x:c r="P226" s="24" t="inlineStr">
        <x:is>
          <x:t xml:space="preserve"/>
        </x:is>
      </x:c>
      <x:c r="Q226" s="24" t="inlineStr">
        <x:is>
          <x:t xml:space="preserve"/>
        </x:is>
      </x:c>
      <x:c r="R226" s="24" t="inlineStr">
        <x:is>
          <x:t xml:space="preserve"/>
        </x:is>
      </x:c>
      <x:c r="S226" s="25">
        <x:f>IF(H226="","",IFERROR(H226/G226,""))</x:f>
      </x:c>
      <x:c r="T226" s="26">
        <x:f>IF(H226="","",IFERROR((J226+K226+L226+N226)/H226,""))</x:f>
      </x:c>
      <x:c r="U226" s="25">
        <x:f>IF(COUNTA(J226:L226,N226)=0,"",IFERROR(AVERAGE(J226:L226,N226),""))</x:f>
      </x:c>
      <x:c r="V226" s="17" t="inlineStr">
        <x:is>
          <x:t xml:space="preserve"/>
        </x:is>
      </x:c>
    </x:row>
    <x:row r="227">
      <x:c r="A227" s="16" t="inlineStr">
        <x:is>
          <x:t xml:space="preserve">P019</x:t>
        </x:is>
      </x:c>
      <x:c r="B227" s="16" t="n">
        <x:v>7</x:v>
      </x:c>
      <x:c r="C227" s="16" t="inlineStr">
        <x:is>
          <x:t xml:space="preserve">V08</x:t>
        </x:is>
      </x:c>
      <x:c r="D227" s="16" t="inlineStr">
        <x:is>
          <x:t xml:space="preserve">Coding</x:t>
        </x:is>
      </x:c>
      <x:c r="E227" s="16" t="inlineStr">
        <x:is>
          <x:t xml:space="preserve">Keyword highlight</x:t>
        </x:is>
      </x:c>
      <x:c r="F227" s="16" t="inlineStr">
        <x:is>
          <x:t xml:space="preserve">Audio-on</x:t>
        </x:is>
      </x:c>
      <x:c r="G227" s="21" t="n">
        <x:v>24</x:v>
      </x:c>
      <x:c r="H227" s="21" t="inlineStr">
        <x:is>
          <x:t xml:space="preserve"/>
        </x:is>
      </x:c>
      <x:c r="I227" s="21" t="inlineStr">
        <x:is>
          <x:t xml:space="preserve"/>
        </x:is>
      </x:c>
      <x:c r="J227" s="21" t="inlineStr">
        <x:is>
          <x:t xml:space="preserve"/>
        </x:is>
      </x:c>
      <x:c r="K227" s="21" t="inlineStr">
        <x:is>
          <x:t xml:space="preserve"/>
        </x:is>
      </x:c>
      <x:c r="L227" s="21" t="inlineStr">
        <x:is>
          <x:t xml:space="preserve"/>
        </x:is>
      </x:c>
      <x:c r="M227" s="21" t="inlineStr">
        <x:is>
          <x:t xml:space="preserve"/>
        </x:is>
      </x:c>
      <x:c r="N227" s="21" t="inlineStr">
        <x:is>
          <x:t xml:space="preserve"/>
        </x:is>
      </x:c>
      <x:c r="O227" s="21" t="inlineStr">
        <x:is>
          <x:t xml:space="preserve"/>
        </x:is>
      </x:c>
      <x:c r="P227" s="21" t="inlineStr">
        <x:is>
          <x:t xml:space="preserve"/>
        </x:is>
      </x:c>
      <x:c r="Q227" s="21" t="inlineStr">
        <x:is>
          <x:t xml:space="preserve"/>
        </x:is>
      </x:c>
      <x:c r="R227" s="21" t="inlineStr">
        <x:is>
          <x:t xml:space="preserve"/>
        </x:is>
      </x:c>
      <x:c r="S227" s="22">
        <x:f>IF(H227="","",IFERROR(H227/G227,""))</x:f>
      </x:c>
      <x:c r="T227" s="23">
        <x:f>IF(H227="","",IFERROR((J227+K227+L227+N227)/H227,""))</x:f>
      </x:c>
      <x:c r="U227" s="22">
        <x:f>IF(COUNTA(J227:L227,N227)=0,"",IFERROR(AVERAGE(J227:L227,N227),""))</x:f>
      </x:c>
      <x:c r="V227" s="16" t="inlineStr">
        <x:is>
          <x:t xml:space="preserve"/>
        </x:is>
      </x:c>
    </x:row>
    <x:row r="228">
      <x:c r="A228" s="17" t="inlineStr">
        <x:is>
          <x:t xml:space="preserve">P019</x:t>
        </x:is>
      </x:c>
      <x:c r="B228" s="17" t="n">
        <x:v>8</x:v>
      </x:c>
      <x:c r="C228" s="17" t="inlineStr">
        <x:is>
          <x:t xml:space="preserve">V10</x:t>
        </x:is>
      </x:c>
      <x:c r="D228" s="17" t="inlineStr">
        <x:is>
          <x:t xml:space="preserve">Product demo</x:t>
        </x:is>
      </x:c>
      <x:c r="E228" s="17" t="inlineStr">
        <x:is>
          <x:t xml:space="preserve">BCC</x:t>
        </x:is>
      </x:c>
      <x:c r="F228" s="17" t="inlineStr">
        <x:is>
          <x:t xml:space="preserve">Audio-on</x:t>
        </x:is>
      </x:c>
      <x:c r="G228" s="24" t="n">
        <x:v>15</x:v>
      </x:c>
      <x:c r="H228" s="24" t="inlineStr">
        <x:is>
          <x:t xml:space="preserve"/>
        </x:is>
      </x:c>
      <x:c r="I228" s="24" t="inlineStr">
        <x:is>
          <x:t xml:space="preserve"/>
        </x:is>
      </x:c>
      <x:c r="J228" s="24" t="inlineStr">
        <x:is>
          <x:t xml:space="preserve"/>
        </x:is>
      </x:c>
      <x:c r="K228" s="24" t="inlineStr">
        <x:is>
          <x:t xml:space="preserve"/>
        </x:is>
      </x:c>
      <x:c r="L228" s="24" t="inlineStr">
        <x:is>
          <x:t xml:space="preserve"/>
        </x:is>
      </x:c>
      <x:c r="M228" s="24" t="inlineStr">
        <x:is>
          <x:t xml:space="preserve"/>
        </x:is>
      </x:c>
      <x:c r="N228" s="24" t="inlineStr">
        <x:is>
          <x:t xml:space="preserve"/>
        </x:is>
      </x:c>
      <x:c r="O228" s="24" t="inlineStr">
        <x:is>
          <x:t xml:space="preserve"/>
        </x:is>
      </x:c>
      <x:c r="P228" s="24" t="inlineStr">
        <x:is>
          <x:t xml:space="preserve"/>
        </x:is>
      </x:c>
      <x:c r="Q228" s="24" t="inlineStr">
        <x:is>
          <x:t xml:space="preserve"/>
        </x:is>
      </x:c>
      <x:c r="R228" s="24" t="inlineStr">
        <x:is>
          <x:t xml:space="preserve"/>
        </x:is>
      </x:c>
      <x:c r="S228" s="25">
        <x:f>IF(H228="","",IFERROR(H228/G228,""))</x:f>
      </x:c>
      <x:c r="T228" s="26">
        <x:f>IF(H228="","",IFERROR((J228+K228+L228+N228)/H228,""))</x:f>
      </x:c>
      <x:c r="U228" s="25">
        <x:f>IF(COUNTA(J228:L228,N228)=0,"",IFERROR(AVERAGE(J228:L228,N228),""))</x:f>
      </x:c>
      <x:c r="V228" s="17" t="inlineStr">
        <x:is>
          <x:t xml:space="preserve"/>
        </x:is>
      </x:c>
    </x:row>
    <x:row r="229">
      <x:c r="A229" s="16" t="inlineStr">
        <x:is>
          <x:t xml:space="preserve">P019</x:t>
        </x:is>
      </x:c>
      <x:c r="B229" s="16" t="n">
        <x:v>9</x:v>
      </x:c>
      <x:c r="C229" s="16" t="inlineStr">
        <x:is>
          <x:t xml:space="preserve">V02</x:t>
        </x:is>
      </x:c>
      <x:c r="D229" s="16" t="inlineStr">
        <x:is>
          <x:t xml:space="preserve">Study</x:t>
        </x:is>
      </x:c>
      <x:c r="E229" s="16" t="inlineStr">
        <x:is>
          <x:t xml:space="preserve">Keyword highlight</x:t>
        </x:is>
      </x:c>
      <x:c r="F229" s="16" t="inlineStr">
        <x:is>
          <x:t xml:space="preserve">Audio-on</x:t>
        </x:is>
      </x:c>
      <x:c r="G229" s="21" t="n">
        <x:v>18</x:v>
      </x:c>
      <x:c r="H229" s="21" t="inlineStr">
        <x:is>
          <x:t xml:space="preserve"/>
        </x:is>
      </x:c>
      <x:c r="I229" s="21" t="inlineStr">
        <x:is>
          <x:t xml:space="preserve"/>
        </x:is>
      </x:c>
      <x:c r="J229" s="21" t="inlineStr">
        <x:is>
          <x:t xml:space="preserve"/>
        </x:is>
      </x:c>
      <x:c r="K229" s="21" t="inlineStr">
        <x:is>
          <x:t xml:space="preserve"/>
        </x:is>
      </x:c>
      <x:c r="L229" s="21" t="inlineStr">
        <x:is>
          <x:t xml:space="preserve"/>
        </x:is>
      </x:c>
      <x:c r="M229" s="21" t="inlineStr">
        <x:is>
          <x:t xml:space="preserve"/>
        </x:is>
      </x:c>
      <x:c r="N229" s="21" t="inlineStr">
        <x:is>
          <x:t xml:space="preserve"/>
        </x:is>
      </x:c>
      <x:c r="O229" s="21" t="inlineStr">
        <x:is>
          <x:t xml:space="preserve"/>
        </x:is>
      </x:c>
      <x:c r="P229" s="21" t="inlineStr">
        <x:is>
          <x:t xml:space="preserve"/>
        </x:is>
      </x:c>
      <x:c r="Q229" s="21" t="inlineStr">
        <x:is>
          <x:t xml:space="preserve"/>
        </x:is>
      </x:c>
      <x:c r="R229" s="21" t="inlineStr">
        <x:is>
          <x:t xml:space="preserve"/>
        </x:is>
      </x:c>
      <x:c r="S229" s="22">
        <x:f>IF(H229="","",IFERROR(H229/G229,""))</x:f>
      </x:c>
      <x:c r="T229" s="23">
        <x:f>IF(H229="","",IFERROR((J229+K229+L229+N229)/H229,""))</x:f>
      </x:c>
      <x:c r="U229" s="22">
        <x:f>IF(COUNTA(J229:L229,N229)=0,"",IFERROR(AVERAGE(J229:L229,N229),""))</x:f>
      </x:c>
      <x:c r="V229" s="16" t="inlineStr">
        <x:is>
          <x:t xml:space="preserve"/>
        </x:is>
      </x:c>
    </x:row>
    <x:row r="230">
      <x:c r="A230" s="17" t="inlineStr">
        <x:is>
          <x:t xml:space="preserve">P019</x:t>
        </x:is>
      </x:c>
      <x:c r="B230" s="17" t="n">
        <x:v>10</x:v>
      </x:c>
      <x:c r="C230" s="17" t="inlineStr">
        <x:is>
          <x:t xml:space="preserve">V04</x:t>
        </x:is>
      </x:c>
      <x:c r="D230" s="17" t="inlineStr">
        <x:is>
          <x:t xml:space="preserve">Finance</x:t>
        </x:is>
      </x:c>
      <x:c r="E230" s="17" t="inlineStr">
        <x:is>
          <x:t xml:space="preserve">BCC</x:t>
        </x:is>
      </x:c>
      <x:c r="F230" s="17" t="inlineStr">
        <x:is>
          <x:t xml:space="preserve">Audio-on</x:t>
        </x:is>
      </x:c>
      <x:c r="G230" s="24" t="n">
        <x:v>20</x:v>
      </x:c>
      <x:c r="H230" s="24" t="inlineStr">
        <x:is>
          <x:t xml:space="preserve"/>
        </x:is>
      </x:c>
      <x:c r="I230" s="24" t="inlineStr">
        <x:is>
          <x:t xml:space="preserve"/>
        </x:is>
      </x:c>
      <x:c r="J230" s="24" t="inlineStr">
        <x:is>
          <x:t xml:space="preserve"/>
        </x:is>
      </x:c>
      <x:c r="K230" s="24" t="inlineStr">
        <x:is>
          <x:t xml:space="preserve"/>
        </x:is>
      </x:c>
      <x:c r="L230" s="24" t="inlineStr">
        <x:is>
          <x:t xml:space="preserve"/>
        </x:is>
      </x:c>
      <x:c r="M230" s="24" t="inlineStr">
        <x:is>
          <x:t xml:space="preserve"/>
        </x:is>
      </x:c>
      <x:c r="N230" s="24" t="inlineStr">
        <x:is>
          <x:t xml:space="preserve"/>
        </x:is>
      </x:c>
      <x:c r="O230" s="24" t="inlineStr">
        <x:is>
          <x:t xml:space="preserve"/>
        </x:is>
      </x:c>
      <x:c r="P230" s="24" t="inlineStr">
        <x:is>
          <x:t xml:space="preserve"/>
        </x:is>
      </x:c>
      <x:c r="Q230" s="24" t="inlineStr">
        <x:is>
          <x:t xml:space="preserve"/>
        </x:is>
      </x:c>
      <x:c r="R230" s="24" t="inlineStr">
        <x:is>
          <x:t xml:space="preserve"/>
        </x:is>
      </x:c>
      <x:c r="S230" s="25">
        <x:f>IF(H230="","",IFERROR(H230/G230,""))</x:f>
      </x:c>
      <x:c r="T230" s="26">
        <x:f>IF(H230="","",IFERROR((J230+K230+L230+N230)/H230,""))</x:f>
      </x:c>
      <x:c r="U230" s="25">
        <x:f>IF(COUNTA(J230:L230,N230)=0,"",IFERROR(AVERAGE(J230:L230,N230),""))</x:f>
      </x:c>
      <x:c r="V230" s="17" t="inlineStr">
        <x:is>
          <x:t xml:space="preserve"/>
        </x:is>
      </x:c>
    </x:row>
    <x:row r="231">
      <x:c r="A231" s="16" t="inlineStr">
        <x:is>
          <x:t xml:space="preserve">P019</x:t>
        </x:is>
      </x:c>
      <x:c r="B231" s="16" t="n">
        <x:v>11</x:v>
      </x:c>
      <x:c r="C231" s="16" t="inlineStr">
        <x:is>
          <x:t xml:space="preserve">V06</x:t>
        </x:is>
      </x:c>
      <x:c r="D231" s="16" t="inlineStr">
        <x:is>
          <x:t xml:space="preserve">Overload</x:t>
        </x:is>
      </x:c>
      <x:c r="E231" s="16" t="inlineStr">
        <x:is>
          <x:t xml:space="preserve">Heavy bionic</x:t>
        </x:is>
      </x:c>
      <x:c r="F231" s="16" t="inlineStr">
        <x:is>
          <x:t xml:space="preserve">Audio-on</x:t>
        </x:is>
      </x:c>
      <x:c r="G231" s="21" t="n">
        <x:v>16</x:v>
      </x:c>
      <x:c r="H231" s="21" t="inlineStr">
        <x:is>
          <x:t xml:space="preserve"/>
        </x:is>
      </x:c>
      <x:c r="I231" s="21" t="inlineStr">
        <x:is>
          <x:t xml:space="preserve"/>
        </x:is>
      </x:c>
      <x:c r="J231" s="21" t="inlineStr">
        <x:is>
          <x:t xml:space="preserve"/>
        </x:is>
      </x:c>
      <x:c r="K231" s="21" t="inlineStr">
        <x:is>
          <x:t xml:space="preserve"/>
        </x:is>
      </x:c>
      <x:c r="L231" s="21" t="inlineStr">
        <x:is>
          <x:t xml:space="preserve"/>
        </x:is>
      </x:c>
      <x:c r="M231" s="21" t="inlineStr">
        <x:is>
          <x:t xml:space="preserve"/>
        </x:is>
      </x:c>
      <x:c r="N231" s="21" t="inlineStr">
        <x:is>
          <x:t xml:space="preserve"/>
        </x:is>
      </x:c>
      <x:c r="O231" s="21" t="inlineStr">
        <x:is>
          <x:t xml:space="preserve"/>
        </x:is>
      </x:c>
      <x:c r="P231" s="21" t="inlineStr">
        <x:is>
          <x:t xml:space="preserve"/>
        </x:is>
      </x:c>
      <x:c r="Q231" s="21" t="inlineStr">
        <x:is>
          <x:t xml:space="preserve"/>
        </x:is>
      </x:c>
      <x:c r="R231" s="21" t="inlineStr">
        <x:is>
          <x:t xml:space="preserve"/>
        </x:is>
      </x:c>
      <x:c r="S231" s="22">
        <x:f>IF(H231="","",IFERROR(H231/G231,""))</x:f>
      </x:c>
      <x:c r="T231" s="23">
        <x:f>IF(H231="","",IFERROR((J231+K231+L231+N231)/H231,""))</x:f>
      </x:c>
      <x:c r="U231" s="22">
        <x:f>IF(COUNTA(J231:L231,N231)=0,"",IFERROR(AVERAGE(J231:L231,N231),""))</x:f>
      </x:c>
      <x:c r="V231" s="16" t="inlineStr">
        <x:is>
          <x:t xml:space="preserve"/>
        </x:is>
      </x:c>
    </x:row>
    <x:row r="232">
      <x:c r="A232" s="17" t="inlineStr">
        <x:is>
          <x:t xml:space="preserve">P019</x:t>
        </x:is>
      </x:c>
      <x:c r="B232" s="17" t="n">
        <x:v>12</x:v>
      </x:c>
      <x:c r="C232" s="17" t="inlineStr">
        <x:is>
          <x:t xml:space="preserve">V01</x:t>
        </x:is>
      </x:c>
      <x:c r="D232" s="17" t="inlineStr">
        <x:is>
          <x:t xml:space="preserve">Productivity</x:t>
        </x:is>
      </x:c>
      <x:c r="E232" s="17" t="inlineStr">
        <x:is>
          <x:t xml:space="preserve">Full transcript</x:t>
        </x:is>
      </x:c>
      <x:c r="F232" s="17" t="inlineStr">
        <x:is>
          <x:t xml:space="preserve">Audio-on</x:t>
        </x:is>
      </x:c>
      <x:c r="G232" s="24" t="n">
        <x:v>25</x:v>
      </x:c>
      <x:c r="H232" s="24" t="inlineStr">
        <x:is>
          <x:t xml:space="preserve"/>
        </x:is>
      </x:c>
      <x:c r="I232" s="24" t="inlineStr">
        <x:is>
          <x:t xml:space="preserve"/>
        </x:is>
      </x:c>
      <x:c r="J232" s="24" t="inlineStr">
        <x:is>
          <x:t xml:space="preserve"/>
        </x:is>
      </x:c>
      <x:c r="K232" s="24" t="inlineStr">
        <x:is>
          <x:t xml:space="preserve"/>
        </x:is>
      </x:c>
      <x:c r="L232" s="24" t="inlineStr">
        <x:is>
          <x:t xml:space="preserve"/>
        </x:is>
      </x:c>
      <x:c r="M232" s="24" t="inlineStr">
        <x:is>
          <x:t xml:space="preserve"/>
        </x:is>
      </x:c>
      <x:c r="N232" s="24" t="inlineStr">
        <x:is>
          <x:t xml:space="preserve"/>
        </x:is>
      </x:c>
      <x:c r="O232" s="24" t="inlineStr">
        <x:is>
          <x:t xml:space="preserve"/>
        </x:is>
      </x:c>
      <x:c r="P232" s="24" t="inlineStr">
        <x:is>
          <x:t xml:space="preserve"/>
        </x:is>
      </x:c>
      <x:c r="Q232" s="24" t="inlineStr">
        <x:is>
          <x:t xml:space="preserve"/>
        </x:is>
      </x:c>
      <x:c r="R232" s="24" t="inlineStr">
        <x:is>
          <x:t xml:space="preserve"/>
        </x:is>
      </x:c>
      <x:c r="S232" s="25">
        <x:f>IF(H232="","",IFERROR(H232/G232,""))</x:f>
      </x:c>
      <x:c r="T232" s="26">
        <x:f>IF(H232="","",IFERROR((J232+K232+L232+N232)/H232,""))</x:f>
      </x:c>
      <x:c r="U232" s="25">
        <x:f>IF(COUNTA(J232:L232,N232)=0,"",IFERROR(AVERAGE(J232:L232,N232),""))</x:f>
      </x:c>
      <x:c r="V232" s="17" t="inlineStr">
        <x:is>
          <x:t xml:space="preserve"/>
        </x:is>
      </x:c>
    </x:row>
    <x:row r="233">
      <x:c r="A233" s="16" t="inlineStr">
        <x:is>
          <x:t xml:space="preserve">P020</x:t>
        </x:is>
      </x:c>
      <x:c r="B233" s="16" t="n">
        <x:v>1</x:v>
      </x:c>
      <x:c r="C233" s="16" t="inlineStr">
        <x:is>
          <x:t xml:space="preserve">V11</x:t>
        </x:is>
      </x:c>
      <x:c r="D233" s="16" t="inlineStr">
        <x:is>
          <x:t xml:space="preserve">Creator strategy</x:t>
        </x:is>
      </x:c>
      <x:c r="E233" s="16" t="inlineStr">
        <x:is>
          <x:t xml:space="preserve">Heavy bionic</x:t>
        </x:is>
      </x:c>
      <x:c r="F233" s="16" t="inlineStr">
        <x:is>
          <x:t xml:space="preserve">Audio-on</x:t>
        </x:is>
      </x:c>
      <x:c r="G233" s="21" t="n">
        <x:v>17</x:v>
      </x:c>
      <x:c r="H233" s="21" t="inlineStr">
        <x:is>
          <x:t xml:space="preserve"/>
        </x:is>
      </x:c>
      <x:c r="I233" s="21" t="inlineStr">
        <x:is>
          <x:t xml:space="preserve"/>
        </x:is>
      </x:c>
      <x:c r="J233" s="21" t="inlineStr">
        <x:is>
          <x:t xml:space="preserve"/>
        </x:is>
      </x:c>
      <x:c r="K233" s="21" t="inlineStr">
        <x:is>
          <x:t xml:space="preserve"/>
        </x:is>
      </x:c>
      <x:c r="L233" s="21" t="inlineStr">
        <x:is>
          <x:t xml:space="preserve"/>
        </x:is>
      </x:c>
      <x:c r="M233" s="21" t="inlineStr">
        <x:is>
          <x:t xml:space="preserve"/>
        </x:is>
      </x:c>
      <x:c r="N233" s="21" t="inlineStr">
        <x:is>
          <x:t xml:space="preserve"/>
        </x:is>
      </x:c>
      <x:c r="O233" s="21" t="inlineStr">
        <x:is>
          <x:t xml:space="preserve"/>
        </x:is>
      </x:c>
      <x:c r="P233" s="21" t="inlineStr">
        <x:is>
          <x:t xml:space="preserve"/>
        </x:is>
      </x:c>
      <x:c r="Q233" s="21" t="inlineStr">
        <x:is>
          <x:t xml:space="preserve"/>
        </x:is>
      </x:c>
      <x:c r="R233" s="21" t="inlineStr">
        <x:is>
          <x:t xml:space="preserve"/>
        </x:is>
      </x:c>
      <x:c r="S233" s="22">
        <x:f>IF(H233="","",IFERROR(H233/G233,""))</x:f>
      </x:c>
      <x:c r="T233" s="23">
        <x:f>IF(H233="","",IFERROR((J233+K233+L233+N233)/H233,""))</x:f>
      </x:c>
      <x:c r="U233" s="22">
        <x:f>IF(COUNTA(J233:L233,N233)=0,"",IFERROR(AVERAGE(J233:L233,N233),""))</x:f>
      </x:c>
      <x:c r="V233" s="16" t="inlineStr">
        <x:is>
          <x:t xml:space="preserve"/>
        </x:is>
      </x:c>
    </x:row>
    <x:row r="234">
      <x:c r="A234" s="17" t="inlineStr">
        <x:is>
          <x:t xml:space="preserve">P020</x:t>
        </x:is>
      </x:c>
      <x:c r="B234" s="17" t="n">
        <x:v>2</x:v>
      </x:c>
      <x:c r="C234" s="17" t="inlineStr">
        <x:is>
          <x:t xml:space="preserve">V04</x:t>
        </x:is>
      </x:c>
      <x:c r="D234" s="17" t="inlineStr">
        <x:is>
          <x:t xml:space="preserve">Finance</x:t>
        </x:is>
      </x:c>
      <x:c r="E234" s="17" t="inlineStr">
        <x:is>
          <x:t xml:space="preserve">BCC+</x:t>
        </x:is>
      </x:c>
      <x:c r="F234" s="17" t="inlineStr">
        <x:is>
          <x:t xml:space="preserve">Audio-on</x:t>
        </x:is>
      </x:c>
      <x:c r="G234" s="24" t="n">
        <x:v>20</x:v>
      </x:c>
      <x:c r="H234" s="24" t="inlineStr">
        <x:is>
          <x:t xml:space="preserve"/>
        </x:is>
      </x:c>
      <x:c r="I234" s="24" t="inlineStr">
        <x:is>
          <x:t xml:space="preserve"/>
        </x:is>
      </x:c>
      <x:c r="J234" s="24" t="inlineStr">
        <x:is>
          <x:t xml:space="preserve"/>
        </x:is>
      </x:c>
      <x:c r="K234" s="24" t="inlineStr">
        <x:is>
          <x:t xml:space="preserve"/>
        </x:is>
      </x:c>
      <x:c r="L234" s="24" t="inlineStr">
        <x:is>
          <x:t xml:space="preserve"/>
        </x:is>
      </x:c>
      <x:c r="M234" s="24" t="inlineStr">
        <x:is>
          <x:t xml:space="preserve"/>
        </x:is>
      </x:c>
      <x:c r="N234" s="24" t="inlineStr">
        <x:is>
          <x:t xml:space="preserve"/>
        </x:is>
      </x:c>
      <x:c r="O234" s="24" t="inlineStr">
        <x:is>
          <x:t xml:space="preserve"/>
        </x:is>
      </x:c>
      <x:c r="P234" s="24" t="inlineStr">
        <x:is>
          <x:t xml:space="preserve"/>
        </x:is>
      </x:c>
      <x:c r="Q234" s="24" t="inlineStr">
        <x:is>
          <x:t xml:space="preserve"/>
        </x:is>
      </x:c>
      <x:c r="R234" s="24" t="inlineStr">
        <x:is>
          <x:t xml:space="preserve"/>
        </x:is>
      </x:c>
      <x:c r="S234" s="25">
        <x:f>IF(H234="","",IFERROR(H234/G234,""))</x:f>
      </x:c>
      <x:c r="T234" s="26">
        <x:f>IF(H234="","",IFERROR((J234+K234+L234+N234)/H234,""))</x:f>
      </x:c>
      <x:c r="U234" s="25">
        <x:f>IF(COUNTA(J234:L234,N234)=0,"",IFERROR(AVERAGE(J234:L234,N234),""))</x:f>
      </x:c>
      <x:c r="V234" s="17" t="inlineStr">
        <x:is>
          <x:t xml:space="preserve"/>
        </x:is>
      </x:c>
    </x:row>
    <x:row r="235">
      <x:c r="A235" s="16" t="inlineStr">
        <x:is>
          <x:t xml:space="preserve">P020</x:t>
        </x:is>
      </x:c>
      <x:c r="B235" s="16" t="n">
        <x:v>3</x:v>
      </x:c>
      <x:c r="C235" s="16" t="inlineStr">
        <x:is>
          <x:t xml:space="preserve">V06</x:t>
        </x:is>
      </x:c>
      <x:c r="D235" s="16" t="inlineStr">
        <x:is>
          <x:t xml:space="preserve">Overload</x:t>
        </x:is>
      </x:c>
      <x:c r="E235" s="16" t="inlineStr">
        <x:is>
          <x:t xml:space="preserve">Full transcript</x:t>
        </x:is>
      </x:c>
      <x:c r="F235" s="16" t="inlineStr">
        <x:is>
          <x:t xml:space="preserve">Audio-on</x:t>
        </x:is>
      </x:c>
      <x:c r="G235" s="21" t="n">
        <x:v>16</x:v>
      </x:c>
      <x:c r="H235" s="21" t="inlineStr">
        <x:is>
          <x:t xml:space="preserve"/>
        </x:is>
      </x:c>
      <x:c r="I235" s="21" t="inlineStr">
        <x:is>
          <x:t xml:space="preserve"/>
        </x:is>
      </x:c>
      <x:c r="J235" s="21" t="inlineStr">
        <x:is>
          <x:t xml:space="preserve"/>
        </x:is>
      </x:c>
      <x:c r="K235" s="21" t="inlineStr">
        <x:is>
          <x:t xml:space="preserve"/>
        </x:is>
      </x:c>
      <x:c r="L235" s="21" t="inlineStr">
        <x:is>
          <x:t xml:space="preserve"/>
        </x:is>
      </x:c>
      <x:c r="M235" s="21" t="inlineStr">
        <x:is>
          <x:t xml:space="preserve"/>
        </x:is>
      </x:c>
      <x:c r="N235" s="21" t="inlineStr">
        <x:is>
          <x:t xml:space="preserve"/>
        </x:is>
      </x:c>
      <x:c r="O235" s="21" t="inlineStr">
        <x:is>
          <x:t xml:space="preserve"/>
        </x:is>
      </x:c>
      <x:c r="P235" s="21" t="inlineStr">
        <x:is>
          <x:t xml:space="preserve"/>
        </x:is>
      </x:c>
      <x:c r="Q235" s="21" t="inlineStr">
        <x:is>
          <x:t xml:space="preserve"/>
        </x:is>
      </x:c>
      <x:c r="R235" s="21" t="inlineStr">
        <x:is>
          <x:t xml:space="preserve"/>
        </x:is>
      </x:c>
      <x:c r="S235" s="22">
        <x:f>IF(H235="","",IFERROR(H235/G235,""))</x:f>
      </x:c>
      <x:c r="T235" s="23">
        <x:f>IF(H235="","",IFERROR((J235+K235+L235+N235)/H235,""))</x:f>
      </x:c>
      <x:c r="U235" s="22">
        <x:f>IF(COUNTA(J235:L235,N235)=0,"",IFERROR(AVERAGE(J235:L235,N235),""))</x:f>
      </x:c>
      <x:c r="V235" s="16" t="inlineStr">
        <x:is>
          <x:t xml:space="preserve"/>
        </x:is>
      </x:c>
    </x:row>
    <x:row r="236">
      <x:c r="A236" s="17" t="inlineStr">
        <x:is>
          <x:t xml:space="preserve">P020</x:t>
        </x:is>
      </x:c>
      <x:c r="B236" s="17" t="n">
        <x:v>4</x:v>
      </x:c>
      <x:c r="C236" s="17" t="inlineStr">
        <x:is>
          <x:t xml:space="preserve">V09</x:t>
        </x:is>
      </x:c>
      <x:c r="D236" s="17" t="inlineStr">
        <x:is>
          <x:t xml:space="preserve">Sleep habit</x:t>
        </x:is>
      </x:c>
      <x:c r="E236" s="17" t="inlineStr">
        <x:is>
          <x:t xml:space="preserve">BCC</x:t>
        </x:is>
      </x:c>
      <x:c r="F236" s="17" t="inlineStr">
        <x:is>
          <x:t xml:space="preserve">Audio-on</x:t>
        </x:is>
      </x:c>
      <x:c r="G236" s="24" t="n">
        <x:v>19</x:v>
      </x:c>
      <x:c r="H236" s="24" t="inlineStr">
        <x:is>
          <x:t xml:space="preserve"/>
        </x:is>
      </x:c>
      <x:c r="I236" s="24" t="inlineStr">
        <x:is>
          <x:t xml:space="preserve"/>
        </x:is>
      </x:c>
      <x:c r="J236" s="24" t="inlineStr">
        <x:is>
          <x:t xml:space="preserve"/>
        </x:is>
      </x:c>
      <x:c r="K236" s="24" t="inlineStr">
        <x:is>
          <x:t xml:space="preserve"/>
        </x:is>
      </x:c>
      <x:c r="L236" s="24" t="inlineStr">
        <x:is>
          <x:t xml:space="preserve"/>
        </x:is>
      </x:c>
      <x:c r="M236" s="24" t="inlineStr">
        <x:is>
          <x:t xml:space="preserve"/>
        </x:is>
      </x:c>
      <x:c r="N236" s="24" t="inlineStr">
        <x:is>
          <x:t xml:space="preserve"/>
        </x:is>
      </x:c>
      <x:c r="O236" s="24" t="inlineStr">
        <x:is>
          <x:t xml:space="preserve"/>
        </x:is>
      </x:c>
      <x:c r="P236" s="24" t="inlineStr">
        <x:is>
          <x:t xml:space="preserve"/>
        </x:is>
      </x:c>
      <x:c r="Q236" s="24" t="inlineStr">
        <x:is>
          <x:t xml:space="preserve"/>
        </x:is>
      </x:c>
      <x:c r="R236" s="24" t="inlineStr">
        <x:is>
          <x:t xml:space="preserve"/>
        </x:is>
      </x:c>
      <x:c r="S236" s="25">
        <x:f>IF(H236="","",IFERROR(H236/G236,""))</x:f>
      </x:c>
      <x:c r="T236" s="26">
        <x:f>IF(H236="","",IFERROR((J236+K236+L236+N236)/H236,""))</x:f>
      </x:c>
      <x:c r="U236" s="25">
        <x:f>IF(COUNTA(J236:L236,N236)=0,"",IFERROR(AVERAGE(J236:L236,N236),""))</x:f>
      </x:c>
      <x:c r="V236" s="17" t="inlineStr">
        <x:is>
          <x:t xml:space="preserve"/>
        </x:is>
      </x:c>
    </x:row>
    <x:row r="237">
      <x:c r="A237" s="16" t="inlineStr">
        <x:is>
          <x:t xml:space="preserve">P020</x:t>
        </x:is>
      </x:c>
      <x:c r="B237" s="16" t="n">
        <x:v>5</x:v>
      </x:c>
      <x:c r="C237" s="16" t="inlineStr">
        <x:is>
          <x:t xml:space="preserve">V05</x:t>
        </x:is>
      </x:c>
      <x:c r="D237" s="16" t="inlineStr">
        <x:is>
          <x:t xml:space="preserve">Tutorial</x:t>
        </x:is>
      </x:c>
      <x:c r="E237" s="16" t="inlineStr">
        <x:is>
          <x:t xml:space="preserve">Heavy bionic</x:t>
        </x:is>
      </x:c>
      <x:c r="F237" s="16" t="inlineStr">
        <x:is>
          <x:t xml:space="preserve">Audio-on</x:t>
        </x:is>
      </x:c>
      <x:c r="G237" s="21" t="n">
        <x:v>20</x:v>
      </x:c>
      <x:c r="H237" s="21" t="inlineStr">
        <x:is>
          <x:t xml:space="preserve"/>
        </x:is>
      </x:c>
      <x:c r="I237" s="21" t="inlineStr">
        <x:is>
          <x:t xml:space="preserve"/>
        </x:is>
      </x:c>
      <x:c r="J237" s="21" t="inlineStr">
        <x:is>
          <x:t xml:space="preserve"/>
        </x:is>
      </x:c>
      <x:c r="K237" s="21" t="inlineStr">
        <x:is>
          <x:t xml:space="preserve"/>
        </x:is>
      </x:c>
      <x:c r="L237" s="21" t="inlineStr">
        <x:is>
          <x:t xml:space="preserve"/>
        </x:is>
      </x:c>
      <x:c r="M237" s="21" t="inlineStr">
        <x:is>
          <x:t xml:space="preserve"/>
        </x:is>
      </x:c>
      <x:c r="N237" s="21" t="inlineStr">
        <x:is>
          <x:t xml:space="preserve"/>
        </x:is>
      </x:c>
      <x:c r="O237" s="21" t="inlineStr">
        <x:is>
          <x:t xml:space="preserve"/>
        </x:is>
      </x:c>
      <x:c r="P237" s="21" t="inlineStr">
        <x:is>
          <x:t xml:space="preserve"/>
        </x:is>
      </x:c>
      <x:c r="Q237" s="21" t="inlineStr">
        <x:is>
          <x:t xml:space="preserve"/>
        </x:is>
      </x:c>
      <x:c r="R237" s="21" t="inlineStr">
        <x:is>
          <x:t xml:space="preserve"/>
        </x:is>
      </x:c>
      <x:c r="S237" s="22">
        <x:f>IF(H237="","",IFERROR(H237/G237,""))</x:f>
      </x:c>
      <x:c r="T237" s="23">
        <x:f>IF(H237="","",IFERROR((J237+K237+L237+N237)/H237,""))</x:f>
      </x:c>
      <x:c r="U237" s="22">
        <x:f>IF(COUNTA(J237:L237,N237)=0,"",IFERROR(AVERAGE(J237:L237,N237),""))</x:f>
      </x:c>
      <x:c r="V237" s="16" t="inlineStr">
        <x:is>
          <x:t xml:space="preserve"/>
        </x:is>
      </x:c>
    </x:row>
    <x:row r="238">
      <x:c r="A238" s="17" t="inlineStr">
        <x:is>
          <x:t xml:space="preserve">P020</x:t>
        </x:is>
      </x:c>
      <x:c r="B238" s="17" t="n">
        <x:v>6</x:v>
      </x:c>
      <x:c r="C238" s="17" t="inlineStr">
        <x:is>
          <x:t xml:space="preserve">V12</x:t>
        </x:is>
      </x:c>
      <x:c r="D238" s="17" t="inlineStr">
        <x:is>
          <x:t xml:space="preserve">Time management</x:t>
        </x:is>
      </x:c>
      <x:c r="E238" s="17" t="inlineStr">
        <x:is>
          <x:t xml:space="preserve">Full transcript</x:t>
        </x:is>
      </x:c>
      <x:c r="F238" s="17" t="inlineStr">
        <x:is>
          <x:t xml:space="preserve">Audio-on</x:t>
        </x:is>
      </x:c>
      <x:c r="G238" s="24" t="n">
        <x:v>21</x:v>
      </x:c>
      <x:c r="H238" s="24" t="inlineStr">
        <x:is>
          <x:t xml:space="preserve"/>
        </x:is>
      </x:c>
      <x:c r="I238" s="24" t="inlineStr">
        <x:is>
          <x:t xml:space="preserve"/>
        </x:is>
      </x:c>
      <x:c r="J238" s="24" t="inlineStr">
        <x:is>
          <x:t xml:space="preserve"/>
        </x:is>
      </x:c>
      <x:c r="K238" s="24" t="inlineStr">
        <x:is>
          <x:t xml:space="preserve"/>
        </x:is>
      </x:c>
      <x:c r="L238" s="24" t="inlineStr">
        <x:is>
          <x:t xml:space="preserve"/>
        </x:is>
      </x:c>
      <x:c r="M238" s="24" t="inlineStr">
        <x:is>
          <x:t xml:space="preserve"/>
        </x:is>
      </x:c>
      <x:c r="N238" s="24" t="inlineStr">
        <x:is>
          <x:t xml:space="preserve"/>
        </x:is>
      </x:c>
      <x:c r="O238" s="24" t="inlineStr">
        <x:is>
          <x:t xml:space="preserve"/>
        </x:is>
      </x:c>
      <x:c r="P238" s="24" t="inlineStr">
        <x:is>
          <x:t xml:space="preserve"/>
        </x:is>
      </x:c>
      <x:c r="Q238" s="24" t="inlineStr">
        <x:is>
          <x:t xml:space="preserve"/>
        </x:is>
      </x:c>
      <x:c r="R238" s="24" t="inlineStr">
        <x:is>
          <x:t xml:space="preserve"/>
        </x:is>
      </x:c>
      <x:c r="S238" s="25">
        <x:f>IF(H238="","",IFERROR(H238/G238,""))</x:f>
      </x:c>
      <x:c r="T238" s="26">
        <x:f>IF(H238="","",IFERROR((J238+K238+L238+N238)/H238,""))</x:f>
      </x:c>
      <x:c r="U238" s="25">
        <x:f>IF(COUNTA(J238:L238,N238)=0,"",IFERROR(AVERAGE(J238:L238,N238),""))</x:f>
      </x:c>
      <x:c r="V238" s="17" t="inlineStr">
        <x:is>
          <x:t xml:space="preserve"/>
        </x:is>
      </x:c>
    </x:row>
    <x:row r="239">
      <x:c r="A239" s="16" t="inlineStr">
        <x:is>
          <x:t xml:space="preserve">P020</x:t>
        </x:is>
      </x:c>
      <x:c r="B239" s="16" t="n">
        <x:v>7</x:v>
      </x:c>
      <x:c r="C239" s="16" t="inlineStr">
        <x:is>
          <x:t xml:space="preserve">V10</x:t>
        </x:is>
      </x:c>
      <x:c r="D239" s="16" t="inlineStr">
        <x:is>
          <x:t xml:space="preserve">Product demo</x:t>
        </x:is>
      </x:c>
      <x:c r="E239" s="16" t="inlineStr">
        <x:is>
          <x:t xml:space="preserve">BCC+</x:t>
        </x:is>
      </x:c>
      <x:c r="F239" s="16" t="inlineStr">
        <x:is>
          <x:t xml:space="preserve">Audio-on</x:t>
        </x:is>
      </x:c>
      <x:c r="G239" s="21" t="n">
        <x:v>15</x:v>
      </x:c>
      <x:c r="H239" s="21" t="inlineStr">
        <x:is>
          <x:t xml:space="preserve"/>
        </x:is>
      </x:c>
      <x:c r="I239" s="21" t="inlineStr">
        <x:is>
          <x:t xml:space="preserve"/>
        </x:is>
      </x:c>
      <x:c r="J239" s="21" t="inlineStr">
        <x:is>
          <x:t xml:space="preserve"/>
        </x:is>
      </x:c>
      <x:c r="K239" s="21" t="inlineStr">
        <x:is>
          <x:t xml:space="preserve"/>
        </x:is>
      </x:c>
      <x:c r="L239" s="21" t="inlineStr">
        <x:is>
          <x:t xml:space="preserve"/>
        </x:is>
      </x:c>
      <x:c r="M239" s="21" t="inlineStr">
        <x:is>
          <x:t xml:space="preserve"/>
        </x:is>
      </x:c>
      <x:c r="N239" s="21" t="inlineStr">
        <x:is>
          <x:t xml:space="preserve"/>
        </x:is>
      </x:c>
      <x:c r="O239" s="21" t="inlineStr">
        <x:is>
          <x:t xml:space="preserve"/>
        </x:is>
      </x:c>
      <x:c r="P239" s="21" t="inlineStr">
        <x:is>
          <x:t xml:space="preserve"/>
        </x:is>
      </x:c>
      <x:c r="Q239" s="21" t="inlineStr">
        <x:is>
          <x:t xml:space="preserve"/>
        </x:is>
      </x:c>
      <x:c r="R239" s="21" t="inlineStr">
        <x:is>
          <x:t xml:space="preserve"/>
        </x:is>
      </x:c>
      <x:c r="S239" s="22">
        <x:f>IF(H239="","",IFERROR(H239/G239,""))</x:f>
      </x:c>
      <x:c r="T239" s="23">
        <x:f>IF(H239="","",IFERROR((J239+K239+L239+N239)/H239,""))</x:f>
      </x:c>
      <x:c r="U239" s="22">
        <x:f>IF(COUNTA(J239:L239,N239)=0,"",IFERROR(AVERAGE(J239:L239,N239),""))</x:f>
      </x:c>
      <x:c r="V239" s="16" t="inlineStr">
        <x:is>
          <x:t xml:space="preserve"/>
        </x:is>
      </x:c>
    </x:row>
    <x:row r="240">
      <x:c r="A240" s="17" t="inlineStr">
        <x:is>
          <x:t xml:space="preserve">P020</x:t>
        </x:is>
      </x:c>
      <x:c r="B240" s="17" t="n">
        <x:v>8</x:v>
      </x:c>
      <x:c r="C240" s="17" t="inlineStr">
        <x:is>
          <x:t xml:space="preserve">V03</x:t>
        </x:is>
      </x:c>
      <x:c r="D240" s="17" t="inlineStr">
        <x:is>
          <x:t xml:space="preserve">Fitness</x:t>
        </x:is>
      </x:c>
      <x:c r="E240" s="17" t="inlineStr">
        <x:is>
          <x:t xml:space="preserve">BCC</x:t>
        </x:is>
      </x:c>
      <x:c r="F240" s="17" t="inlineStr">
        <x:is>
          <x:t xml:space="preserve">Audio-on</x:t>
        </x:is>
      </x:c>
      <x:c r="G240" s="24" t="n">
        <x:v>18</x:v>
      </x:c>
      <x:c r="H240" s="24" t="inlineStr">
        <x:is>
          <x:t xml:space="preserve"/>
        </x:is>
      </x:c>
      <x:c r="I240" s="24" t="inlineStr">
        <x:is>
          <x:t xml:space="preserve"/>
        </x:is>
      </x:c>
      <x:c r="J240" s="24" t="inlineStr">
        <x:is>
          <x:t xml:space="preserve"/>
        </x:is>
      </x:c>
      <x:c r="K240" s="24" t="inlineStr">
        <x:is>
          <x:t xml:space="preserve"/>
        </x:is>
      </x:c>
      <x:c r="L240" s="24" t="inlineStr">
        <x:is>
          <x:t xml:space="preserve"/>
        </x:is>
      </x:c>
      <x:c r="M240" s="24" t="inlineStr">
        <x:is>
          <x:t xml:space="preserve"/>
        </x:is>
      </x:c>
      <x:c r="N240" s="24" t="inlineStr">
        <x:is>
          <x:t xml:space="preserve"/>
        </x:is>
      </x:c>
      <x:c r="O240" s="24" t="inlineStr">
        <x:is>
          <x:t xml:space="preserve"/>
        </x:is>
      </x:c>
      <x:c r="P240" s="24" t="inlineStr">
        <x:is>
          <x:t xml:space="preserve"/>
        </x:is>
      </x:c>
      <x:c r="Q240" s="24" t="inlineStr">
        <x:is>
          <x:t xml:space="preserve"/>
        </x:is>
      </x:c>
      <x:c r="R240" s="24" t="inlineStr">
        <x:is>
          <x:t xml:space="preserve"/>
        </x:is>
      </x:c>
      <x:c r="S240" s="25">
        <x:f>IF(H240="","",IFERROR(H240/G240,""))</x:f>
      </x:c>
      <x:c r="T240" s="26">
        <x:f>IF(H240="","",IFERROR((J240+K240+L240+N240)/H240,""))</x:f>
      </x:c>
      <x:c r="U240" s="25">
        <x:f>IF(COUNTA(J240:L240,N240)=0,"",IFERROR(AVERAGE(J240:L240,N240),""))</x:f>
      </x:c>
      <x:c r="V240" s="17" t="inlineStr">
        <x:is>
          <x:t xml:space="preserve"/>
        </x:is>
      </x:c>
    </x:row>
    <x:row r="241">
      <x:c r="A241" s="16" t="inlineStr">
        <x:is>
          <x:t xml:space="preserve">P020</x:t>
        </x:is>
      </x:c>
      <x:c r="B241" s="16" t="n">
        <x:v>9</x:v>
      </x:c>
      <x:c r="C241" s="16" t="inlineStr">
        <x:is>
          <x:t xml:space="preserve">V07</x:t>
        </x:is>
      </x:c>
      <x:c r="D241" s="16" t="inlineStr">
        <x:is>
          <x:t xml:space="preserve">Business</x:t>
        </x:is>
      </x:c>
      <x:c r="E241" s="16" t="inlineStr">
        <x:is>
          <x:t xml:space="preserve">Keyword highlight</x:t>
        </x:is>
      </x:c>
      <x:c r="F241" s="16" t="inlineStr">
        <x:is>
          <x:t xml:space="preserve">Audio-on</x:t>
        </x:is>
      </x:c>
      <x:c r="G241" s="21" t="n">
        <x:v>18</x:v>
      </x:c>
      <x:c r="H241" s="21" t="inlineStr">
        <x:is>
          <x:t xml:space="preserve"/>
        </x:is>
      </x:c>
      <x:c r="I241" s="21" t="inlineStr">
        <x:is>
          <x:t xml:space="preserve"/>
        </x:is>
      </x:c>
      <x:c r="J241" s="21" t="inlineStr">
        <x:is>
          <x:t xml:space="preserve"/>
        </x:is>
      </x:c>
      <x:c r="K241" s="21" t="inlineStr">
        <x:is>
          <x:t xml:space="preserve"/>
        </x:is>
      </x:c>
      <x:c r="L241" s="21" t="inlineStr">
        <x:is>
          <x:t xml:space="preserve"/>
        </x:is>
      </x:c>
      <x:c r="M241" s="21" t="inlineStr">
        <x:is>
          <x:t xml:space="preserve"/>
        </x:is>
      </x:c>
      <x:c r="N241" s="21" t="inlineStr">
        <x:is>
          <x:t xml:space="preserve"/>
        </x:is>
      </x:c>
      <x:c r="O241" s="21" t="inlineStr">
        <x:is>
          <x:t xml:space="preserve"/>
        </x:is>
      </x:c>
      <x:c r="P241" s="21" t="inlineStr">
        <x:is>
          <x:t xml:space="preserve"/>
        </x:is>
      </x:c>
      <x:c r="Q241" s="21" t="inlineStr">
        <x:is>
          <x:t xml:space="preserve"/>
        </x:is>
      </x:c>
      <x:c r="R241" s="21" t="inlineStr">
        <x:is>
          <x:t xml:space="preserve"/>
        </x:is>
      </x:c>
      <x:c r="S241" s="22">
        <x:f>IF(H241="","",IFERROR(H241/G241,""))</x:f>
      </x:c>
      <x:c r="T241" s="23">
        <x:f>IF(H241="","",IFERROR((J241+K241+L241+N241)/H241,""))</x:f>
      </x:c>
      <x:c r="U241" s="22">
        <x:f>IF(COUNTA(J241:L241,N241)=0,"",IFERROR(AVERAGE(J241:L241,N241),""))</x:f>
      </x:c>
      <x:c r="V241" s="16" t="inlineStr">
        <x:is>
          <x:t xml:space="preserve"/>
        </x:is>
      </x:c>
    </x:row>
    <x:row r="242">
      <x:c r="A242" s="17" t="inlineStr">
        <x:is>
          <x:t xml:space="preserve">P020</x:t>
        </x:is>
      </x:c>
      <x:c r="B242" s="17" t="n">
        <x:v>10</x:v>
      </x:c>
      <x:c r="C242" s="17" t="inlineStr">
        <x:is>
          <x:t xml:space="preserve">V08</x:t>
        </x:is>
      </x:c>
      <x:c r="D242" s="17" t="inlineStr">
        <x:is>
          <x:t xml:space="preserve">Coding</x:t>
        </x:is>
      </x:c>
      <x:c r="E242" s="17" t="inlineStr">
        <x:is>
          <x:t xml:space="preserve">Semantic compression</x:t>
        </x:is>
      </x:c>
      <x:c r="F242" s="17" t="inlineStr">
        <x:is>
          <x:t xml:space="preserve">Audio-on</x:t>
        </x:is>
      </x:c>
      <x:c r="G242" s="24" t="n">
        <x:v>24</x:v>
      </x:c>
      <x:c r="H242" s="24" t="inlineStr">
        <x:is>
          <x:t xml:space="preserve"/>
        </x:is>
      </x:c>
      <x:c r="I242" s="24" t="inlineStr">
        <x:is>
          <x:t xml:space="preserve"/>
        </x:is>
      </x:c>
      <x:c r="J242" s="24" t="inlineStr">
        <x:is>
          <x:t xml:space="preserve"/>
        </x:is>
      </x:c>
      <x:c r="K242" s="24" t="inlineStr">
        <x:is>
          <x:t xml:space="preserve"/>
        </x:is>
      </x:c>
      <x:c r="L242" s="24" t="inlineStr">
        <x:is>
          <x:t xml:space="preserve"/>
        </x:is>
      </x:c>
      <x:c r="M242" s="24" t="inlineStr">
        <x:is>
          <x:t xml:space="preserve"/>
        </x:is>
      </x:c>
      <x:c r="N242" s="24" t="inlineStr">
        <x:is>
          <x:t xml:space="preserve"/>
        </x:is>
      </x:c>
      <x:c r="O242" s="24" t="inlineStr">
        <x:is>
          <x:t xml:space="preserve"/>
        </x:is>
      </x:c>
      <x:c r="P242" s="24" t="inlineStr">
        <x:is>
          <x:t xml:space="preserve"/>
        </x:is>
      </x:c>
      <x:c r="Q242" s="24" t="inlineStr">
        <x:is>
          <x:t xml:space="preserve"/>
        </x:is>
      </x:c>
      <x:c r="R242" s="24" t="inlineStr">
        <x:is>
          <x:t xml:space="preserve"/>
        </x:is>
      </x:c>
      <x:c r="S242" s="25">
        <x:f>IF(H242="","",IFERROR(H242/G242,""))</x:f>
      </x:c>
      <x:c r="T242" s="26">
        <x:f>IF(H242="","",IFERROR((J242+K242+L242+N242)/H242,""))</x:f>
      </x:c>
      <x:c r="U242" s="25">
        <x:f>IF(COUNTA(J242:L242,N242)=0,"",IFERROR(AVERAGE(J242:L242,N242),""))</x:f>
      </x:c>
      <x:c r="V242" s="17" t="inlineStr">
        <x:is>
          <x:t xml:space="preserve"/>
        </x:is>
      </x:c>
    </x:row>
    <x:row r="243">
      <x:c r="A243" s="16" t="inlineStr">
        <x:is>
          <x:t xml:space="preserve">P020</x:t>
        </x:is>
      </x:c>
      <x:c r="B243" s="16" t="n">
        <x:v>11</x:v>
      </x:c>
      <x:c r="C243" s="16" t="inlineStr">
        <x:is>
          <x:t xml:space="preserve">V01</x:t>
        </x:is>
      </x:c>
      <x:c r="D243" s="16" t="inlineStr">
        <x:is>
          <x:t xml:space="preserve">Productivity</x:t>
        </x:is>
      </x:c>
      <x:c r="E243" s="16" t="inlineStr">
        <x:is>
          <x:t xml:space="preserve">Keyword highlight</x:t>
        </x:is>
      </x:c>
      <x:c r="F243" s="16" t="inlineStr">
        <x:is>
          <x:t xml:space="preserve">Audio-on</x:t>
        </x:is>
      </x:c>
      <x:c r="G243" s="21" t="n">
        <x:v>25</x:v>
      </x:c>
      <x:c r="H243" s="21" t="inlineStr">
        <x:is>
          <x:t xml:space="preserve"/>
        </x:is>
      </x:c>
      <x:c r="I243" s="21" t="inlineStr">
        <x:is>
          <x:t xml:space="preserve"/>
        </x:is>
      </x:c>
      <x:c r="J243" s="21" t="inlineStr">
        <x:is>
          <x:t xml:space="preserve"/>
        </x:is>
      </x:c>
      <x:c r="K243" s="21" t="inlineStr">
        <x:is>
          <x:t xml:space="preserve"/>
        </x:is>
      </x:c>
      <x:c r="L243" s="21" t="inlineStr">
        <x:is>
          <x:t xml:space="preserve"/>
        </x:is>
      </x:c>
      <x:c r="M243" s="21" t="inlineStr">
        <x:is>
          <x:t xml:space="preserve"/>
        </x:is>
      </x:c>
      <x:c r="N243" s="21" t="inlineStr">
        <x:is>
          <x:t xml:space="preserve"/>
        </x:is>
      </x:c>
      <x:c r="O243" s="21" t="inlineStr">
        <x:is>
          <x:t xml:space="preserve"/>
        </x:is>
      </x:c>
      <x:c r="P243" s="21" t="inlineStr">
        <x:is>
          <x:t xml:space="preserve"/>
        </x:is>
      </x:c>
      <x:c r="Q243" s="21" t="inlineStr">
        <x:is>
          <x:t xml:space="preserve"/>
        </x:is>
      </x:c>
      <x:c r="R243" s="21" t="inlineStr">
        <x:is>
          <x:t xml:space="preserve"/>
        </x:is>
      </x:c>
      <x:c r="S243" s="22">
        <x:f>IF(H243="","",IFERROR(H243/G243,""))</x:f>
      </x:c>
      <x:c r="T243" s="23">
        <x:f>IF(H243="","",IFERROR((J243+K243+L243+N243)/H243,""))</x:f>
      </x:c>
      <x:c r="U243" s="22">
        <x:f>IF(COUNTA(J243:L243,N243)=0,"",IFERROR(AVERAGE(J243:L243,N243),""))</x:f>
      </x:c>
      <x:c r="V243" s="16" t="inlineStr">
        <x:is>
          <x:t xml:space="preserve"/>
        </x:is>
      </x:c>
    </x:row>
    <x:row r="244">
      <x:c r="A244" s="17" t="inlineStr">
        <x:is>
          <x:t xml:space="preserve">P020</x:t>
        </x:is>
      </x:c>
      <x:c r="B244" s="17" t="n">
        <x:v>12</x:v>
      </x:c>
      <x:c r="C244" s="17" t="inlineStr">
        <x:is>
          <x:t xml:space="preserve">V02</x:t>
        </x:is>
      </x:c>
      <x:c r="D244" s="17" t="inlineStr">
        <x:is>
          <x:t xml:space="preserve">Study</x:t>
        </x:is>
      </x:c>
      <x:c r="E244" s="17" t="inlineStr">
        <x:is>
          <x:t xml:space="preserve">Semantic compression</x:t>
        </x:is>
      </x:c>
      <x:c r="F244" s="17" t="inlineStr">
        <x:is>
          <x:t xml:space="preserve">Audio-on</x:t>
        </x:is>
      </x:c>
      <x:c r="G244" s="24" t="n">
        <x:v>18</x:v>
      </x:c>
      <x:c r="H244" s="24" t="inlineStr">
        <x:is>
          <x:t xml:space="preserve"/>
        </x:is>
      </x:c>
      <x:c r="I244" s="24" t="inlineStr">
        <x:is>
          <x:t xml:space="preserve"/>
        </x:is>
      </x:c>
      <x:c r="J244" s="24" t="inlineStr">
        <x:is>
          <x:t xml:space="preserve"/>
        </x:is>
      </x:c>
      <x:c r="K244" s="24" t="inlineStr">
        <x:is>
          <x:t xml:space="preserve"/>
        </x:is>
      </x:c>
      <x:c r="L244" s="24" t="inlineStr">
        <x:is>
          <x:t xml:space="preserve"/>
        </x:is>
      </x:c>
      <x:c r="M244" s="24" t="inlineStr">
        <x:is>
          <x:t xml:space="preserve"/>
        </x:is>
      </x:c>
      <x:c r="N244" s="24" t="inlineStr">
        <x:is>
          <x:t xml:space="preserve"/>
        </x:is>
      </x:c>
      <x:c r="O244" s="24" t="inlineStr">
        <x:is>
          <x:t xml:space="preserve"/>
        </x:is>
      </x:c>
      <x:c r="P244" s="24" t="inlineStr">
        <x:is>
          <x:t xml:space="preserve"/>
        </x:is>
      </x:c>
      <x:c r="Q244" s="24" t="inlineStr">
        <x:is>
          <x:t xml:space="preserve"/>
        </x:is>
      </x:c>
      <x:c r="R244" s="24" t="inlineStr">
        <x:is>
          <x:t xml:space="preserve"/>
        </x:is>
      </x:c>
      <x:c r="S244" s="25">
        <x:f>IF(H244="","",IFERROR(H244/G244,""))</x:f>
      </x:c>
      <x:c r="T244" s="26">
        <x:f>IF(H244="","",IFERROR((J244+K244+L244+N244)/H244,""))</x:f>
      </x:c>
      <x:c r="U244" s="25">
        <x:f>IF(COUNTA(J244:L244,N244)=0,"",IFERROR(AVERAGE(J244:L244,N244),""))</x:f>
      </x:c>
      <x:c r="V244" s="17" t="inlineStr">
        <x:is>
          <x:t xml:space="preserve"/>
        </x:is>
      </x:c>
    </x:row>
    <x:row r="245">
      <x:c r="A245" s="16" t="inlineStr">
        <x:is>
          <x:t xml:space="preserve">P021</x:t>
        </x:is>
      </x:c>
      <x:c r="B245" s="16" t="n">
        <x:v>1</x:v>
      </x:c>
      <x:c r="C245" s="16" t="inlineStr">
        <x:is>
          <x:t xml:space="preserve">V01</x:t>
        </x:is>
      </x:c>
      <x:c r="D245" s="16" t="inlineStr">
        <x:is>
          <x:t xml:space="preserve">Productivity</x:t>
        </x:is>
      </x:c>
      <x:c r="E245" s="16" t="inlineStr">
        <x:is>
          <x:t xml:space="preserve">Semantic compression</x:t>
        </x:is>
      </x:c>
      <x:c r="F245" s="16" t="inlineStr">
        <x:is>
          <x:t xml:space="preserve">Audio-on</x:t>
        </x:is>
      </x:c>
      <x:c r="G245" s="21" t="n">
        <x:v>25</x:v>
      </x:c>
      <x:c r="H245" s="21" t="inlineStr">
        <x:is>
          <x:t xml:space="preserve"/>
        </x:is>
      </x:c>
      <x:c r="I245" s="21" t="inlineStr">
        <x:is>
          <x:t xml:space="preserve"/>
        </x:is>
      </x:c>
      <x:c r="J245" s="21" t="inlineStr">
        <x:is>
          <x:t xml:space="preserve"/>
        </x:is>
      </x:c>
      <x:c r="K245" s="21" t="inlineStr">
        <x:is>
          <x:t xml:space="preserve"/>
        </x:is>
      </x:c>
      <x:c r="L245" s="21" t="inlineStr">
        <x:is>
          <x:t xml:space="preserve"/>
        </x:is>
      </x:c>
      <x:c r="M245" s="21" t="inlineStr">
        <x:is>
          <x:t xml:space="preserve"/>
        </x:is>
      </x:c>
      <x:c r="N245" s="21" t="inlineStr">
        <x:is>
          <x:t xml:space="preserve"/>
        </x:is>
      </x:c>
      <x:c r="O245" s="21" t="inlineStr">
        <x:is>
          <x:t xml:space="preserve"/>
        </x:is>
      </x:c>
      <x:c r="P245" s="21" t="inlineStr">
        <x:is>
          <x:t xml:space="preserve"/>
        </x:is>
      </x:c>
      <x:c r="Q245" s="21" t="inlineStr">
        <x:is>
          <x:t xml:space="preserve"/>
        </x:is>
      </x:c>
      <x:c r="R245" s="21" t="inlineStr">
        <x:is>
          <x:t xml:space="preserve"/>
        </x:is>
      </x:c>
      <x:c r="S245" s="22">
        <x:f>IF(H245="","",IFERROR(H245/G245,""))</x:f>
      </x:c>
      <x:c r="T245" s="23">
        <x:f>IF(H245="","",IFERROR((J245+K245+L245+N245)/H245,""))</x:f>
      </x:c>
      <x:c r="U245" s="22">
        <x:f>IF(COUNTA(J245:L245,N245)=0,"",IFERROR(AVERAGE(J245:L245,N245),""))</x:f>
      </x:c>
      <x:c r="V245" s="16" t="inlineStr">
        <x:is>
          <x:t xml:space="preserve"/>
        </x:is>
      </x:c>
    </x:row>
    <x:row r="246">
      <x:c r="A246" s="17" t="inlineStr">
        <x:is>
          <x:t xml:space="preserve">P021</x:t>
        </x:is>
      </x:c>
      <x:c r="B246" s="17" t="n">
        <x:v>2</x:v>
      </x:c>
      <x:c r="C246" s="17" t="inlineStr">
        <x:is>
          <x:t xml:space="preserve">V02</x:t>
        </x:is>
      </x:c>
      <x:c r="D246" s="17" t="inlineStr">
        <x:is>
          <x:t xml:space="preserve">Study</x:t>
        </x:is>
      </x:c>
      <x:c r="E246" s="17" t="inlineStr">
        <x:is>
          <x:t xml:space="preserve">BCC</x:t>
        </x:is>
      </x:c>
      <x:c r="F246" s="17" t="inlineStr">
        <x:is>
          <x:t xml:space="preserve">Audio-on</x:t>
        </x:is>
      </x:c>
      <x:c r="G246" s="24" t="n">
        <x:v>18</x:v>
      </x:c>
      <x:c r="H246" s="24" t="inlineStr">
        <x:is>
          <x:t xml:space="preserve"/>
        </x:is>
      </x:c>
      <x:c r="I246" s="24" t="inlineStr">
        <x:is>
          <x:t xml:space="preserve"/>
        </x:is>
      </x:c>
      <x:c r="J246" s="24" t="inlineStr">
        <x:is>
          <x:t xml:space="preserve"/>
        </x:is>
      </x:c>
      <x:c r="K246" s="24" t="inlineStr">
        <x:is>
          <x:t xml:space="preserve"/>
        </x:is>
      </x:c>
      <x:c r="L246" s="24" t="inlineStr">
        <x:is>
          <x:t xml:space="preserve"/>
        </x:is>
      </x:c>
      <x:c r="M246" s="24" t="inlineStr">
        <x:is>
          <x:t xml:space="preserve"/>
        </x:is>
      </x:c>
      <x:c r="N246" s="24" t="inlineStr">
        <x:is>
          <x:t xml:space="preserve"/>
        </x:is>
      </x:c>
      <x:c r="O246" s="24" t="inlineStr">
        <x:is>
          <x:t xml:space="preserve"/>
        </x:is>
      </x:c>
      <x:c r="P246" s="24" t="inlineStr">
        <x:is>
          <x:t xml:space="preserve"/>
        </x:is>
      </x:c>
      <x:c r="Q246" s="24" t="inlineStr">
        <x:is>
          <x:t xml:space="preserve"/>
        </x:is>
      </x:c>
      <x:c r="R246" s="24" t="inlineStr">
        <x:is>
          <x:t xml:space="preserve"/>
        </x:is>
      </x:c>
      <x:c r="S246" s="25">
        <x:f>IF(H246="","",IFERROR(H246/G246,""))</x:f>
      </x:c>
      <x:c r="T246" s="26">
        <x:f>IF(H246="","",IFERROR((J246+K246+L246+N246)/H246,""))</x:f>
      </x:c>
      <x:c r="U246" s="25">
        <x:f>IF(COUNTA(J246:L246,N246)=0,"",IFERROR(AVERAGE(J246:L246,N246),""))</x:f>
      </x:c>
      <x:c r="V246" s="17" t="inlineStr">
        <x:is>
          <x:t xml:space="preserve"/>
        </x:is>
      </x:c>
    </x:row>
    <x:row r="247">
      <x:c r="A247" s="16" t="inlineStr">
        <x:is>
          <x:t xml:space="preserve">P021</x:t>
        </x:is>
      </x:c>
      <x:c r="B247" s="16" t="n">
        <x:v>3</x:v>
      </x:c>
      <x:c r="C247" s="16" t="inlineStr">
        <x:is>
          <x:t xml:space="preserve">V10</x:t>
        </x:is>
      </x:c>
      <x:c r="D247" s="16" t="inlineStr">
        <x:is>
          <x:t xml:space="preserve">Product demo</x:t>
        </x:is>
      </x:c>
      <x:c r="E247" s="16" t="inlineStr">
        <x:is>
          <x:t xml:space="preserve">Heavy bionic</x:t>
        </x:is>
      </x:c>
      <x:c r="F247" s="16" t="inlineStr">
        <x:is>
          <x:t xml:space="preserve">Audio-on</x:t>
        </x:is>
      </x:c>
      <x:c r="G247" s="21" t="n">
        <x:v>15</x:v>
      </x:c>
      <x:c r="H247" s="21" t="inlineStr">
        <x:is>
          <x:t xml:space="preserve"/>
        </x:is>
      </x:c>
      <x:c r="I247" s="21" t="inlineStr">
        <x:is>
          <x:t xml:space="preserve"/>
        </x:is>
      </x:c>
      <x:c r="J247" s="21" t="inlineStr">
        <x:is>
          <x:t xml:space="preserve"/>
        </x:is>
      </x:c>
      <x:c r="K247" s="21" t="inlineStr">
        <x:is>
          <x:t xml:space="preserve"/>
        </x:is>
      </x:c>
      <x:c r="L247" s="21" t="inlineStr">
        <x:is>
          <x:t xml:space="preserve"/>
        </x:is>
      </x:c>
      <x:c r="M247" s="21" t="inlineStr">
        <x:is>
          <x:t xml:space="preserve"/>
        </x:is>
      </x:c>
      <x:c r="N247" s="21" t="inlineStr">
        <x:is>
          <x:t xml:space="preserve"/>
        </x:is>
      </x:c>
      <x:c r="O247" s="21" t="inlineStr">
        <x:is>
          <x:t xml:space="preserve"/>
        </x:is>
      </x:c>
      <x:c r="P247" s="21" t="inlineStr">
        <x:is>
          <x:t xml:space="preserve"/>
        </x:is>
      </x:c>
      <x:c r="Q247" s="21" t="inlineStr">
        <x:is>
          <x:t xml:space="preserve"/>
        </x:is>
      </x:c>
      <x:c r="R247" s="21" t="inlineStr">
        <x:is>
          <x:t xml:space="preserve"/>
        </x:is>
      </x:c>
      <x:c r="S247" s="22">
        <x:f>IF(H247="","",IFERROR(H247/G247,""))</x:f>
      </x:c>
      <x:c r="T247" s="23">
        <x:f>IF(H247="","",IFERROR((J247+K247+L247+N247)/H247,""))</x:f>
      </x:c>
      <x:c r="U247" s="22">
        <x:f>IF(COUNTA(J247:L247,N247)=0,"",IFERROR(AVERAGE(J247:L247,N247),""))</x:f>
      </x:c>
      <x:c r="V247" s="16" t="inlineStr">
        <x:is>
          <x:t xml:space="preserve"/>
        </x:is>
      </x:c>
    </x:row>
    <x:row r="248">
      <x:c r="A248" s="17" t="inlineStr">
        <x:is>
          <x:t xml:space="preserve">P021</x:t>
        </x:is>
      </x:c>
      <x:c r="B248" s="17" t="n">
        <x:v>4</x:v>
      </x:c>
      <x:c r="C248" s="17" t="inlineStr">
        <x:is>
          <x:t xml:space="preserve">V06</x:t>
        </x:is>
      </x:c>
      <x:c r="D248" s="17" t="inlineStr">
        <x:is>
          <x:t xml:space="preserve">Overload</x:t>
        </x:is>
      </x:c>
      <x:c r="E248" s="17" t="inlineStr">
        <x:is>
          <x:t xml:space="preserve">Keyword highlight</x:t>
        </x:is>
      </x:c>
      <x:c r="F248" s="17" t="inlineStr">
        <x:is>
          <x:t xml:space="preserve">Audio-on</x:t>
        </x:is>
      </x:c>
      <x:c r="G248" s="24" t="n">
        <x:v>16</x:v>
      </x:c>
      <x:c r="H248" s="24" t="inlineStr">
        <x:is>
          <x:t xml:space="preserve"/>
        </x:is>
      </x:c>
      <x:c r="I248" s="24" t="inlineStr">
        <x:is>
          <x:t xml:space="preserve"/>
        </x:is>
      </x:c>
      <x:c r="J248" s="24" t="inlineStr">
        <x:is>
          <x:t xml:space="preserve"/>
        </x:is>
      </x:c>
      <x:c r="K248" s="24" t="inlineStr">
        <x:is>
          <x:t xml:space="preserve"/>
        </x:is>
      </x:c>
      <x:c r="L248" s="24" t="inlineStr">
        <x:is>
          <x:t xml:space="preserve"/>
        </x:is>
      </x:c>
      <x:c r="M248" s="24" t="inlineStr">
        <x:is>
          <x:t xml:space="preserve"/>
        </x:is>
      </x:c>
      <x:c r="N248" s="24" t="inlineStr">
        <x:is>
          <x:t xml:space="preserve"/>
        </x:is>
      </x:c>
      <x:c r="O248" s="24" t="inlineStr">
        <x:is>
          <x:t xml:space="preserve"/>
        </x:is>
      </x:c>
      <x:c r="P248" s="24" t="inlineStr">
        <x:is>
          <x:t xml:space="preserve"/>
        </x:is>
      </x:c>
      <x:c r="Q248" s="24" t="inlineStr">
        <x:is>
          <x:t xml:space="preserve"/>
        </x:is>
      </x:c>
      <x:c r="R248" s="24" t="inlineStr">
        <x:is>
          <x:t xml:space="preserve"/>
        </x:is>
      </x:c>
      <x:c r="S248" s="25">
        <x:f>IF(H248="","",IFERROR(H248/G248,""))</x:f>
      </x:c>
      <x:c r="T248" s="26">
        <x:f>IF(H248="","",IFERROR((J248+K248+L248+N248)/H248,""))</x:f>
      </x:c>
      <x:c r="U248" s="25">
        <x:f>IF(COUNTA(J248:L248,N248)=0,"",IFERROR(AVERAGE(J248:L248,N248),""))</x:f>
      </x:c>
      <x:c r="V248" s="17" t="inlineStr">
        <x:is>
          <x:t xml:space="preserve"/>
        </x:is>
      </x:c>
    </x:row>
    <x:row r="249">
      <x:c r="A249" s="16" t="inlineStr">
        <x:is>
          <x:t xml:space="preserve">P021</x:t>
        </x:is>
      </x:c>
      <x:c r="B249" s="16" t="n">
        <x:v>5</x:v>
      </x:c>
      <x:c r="C249" s="16" t="inlineStr">
        <x:is>
          <x:t xml:space="preserve">V07</x:t>
        </x:is>
      </x:c>
      <x:c r="D249" s="16" t="inlineStr">
        <x:is>
          <x:t xml:space="preserve">Business</x:t>
        </x:is>
      </x:c>
      <x:c r="E249" s="16" t="inlineStr">
        <x:is>
          <x:t xml:space="preserve">Semantic compression</x:t>
        </x:is>
      </x:c>
      <x:c r="F249" s="16" t="inlineStr">
        <x:is>
          <x:t xml:space="preserve">Audio-on</x:t>
        </x:is>
      </x:c>
      <x:c r="G249" s="21" t="n">
        <x:v>18</x:v>
      </x:c>
      <x:c r="H249" s="21" t="inlineStr">
        <x:is>
          <x:t xml:space="preserve"/>
        </x:is>
      </x:c>
      <x:c r="I249" s="21" t="inlineStr">
        <x:is>
          <x:t xml:space="preserve"/>
        </x:is>
      </x:c>
      <x:c r="J249" s="21" t="inlineStr">
        <x:is>
          <x:t xml:space="preserve"/>
        </x:is>
      </x:c>
      <x:c r="K249" s="21" t="inlineStr">
        <x:is>
          <x:t xml:space="preserve"/>
        </x:is>
      </x:c>
      <x:c r="L249" s="21" t="inlineStr">
        <x:is>
          <x:t xml:space="preserve"/>
        </x:is>
      </x:c>
      <x:c r="M249" s="21" t="inlineStr">
        <x:is>
          <x:t xml:space="preserve"/>
        </x:is>
      </x:c>
      <x:c r="N249" s="21" t="inlineStr">
        <x:is>
          <x:t xml:space="preserve"/>
        </x:is>
      </x:c>
      <x:c r="O249" s="21" t="inlineStr">
        <x:is>
          <x:t xml:space="preserve"/>
        </x:is>
      </x:c>
      <x:c r="P249" s="21" t="inlineStr">
        <x:is>
          <x:t xml:space="preserve"/>
        </x:is>
      </x:c>
      <x:c r="Q249" s="21" t="inlineStr">
        <x:is>
          <x:t xml:space="preserve"/>
        </x:is>
      </x:c>
      <x:c r="R249" s="21" t="inlineStr">
        <x:is>
          <x:t xml:space="preserve"/>
        </x:is>
      </x:c>
      <x:c r="S249" s="22">
        <x:f>IF(H249="","",IFERROR(H249/G249,""))</x:f>
      </x:c>
      <x:c r="T249" s="23">
        <x:f>IF(H249="","",IFERROR((J249+K249+L249+N249)/H249,""))</x:f>
      </x:c>
      <x:c r="U249" s="22">
        <x:f>IF(COUNTA(J249:L249,N249)=0,"",IFERROR(AVERAGE(J249:L249,N249),""))</x:f>
      </x:c>
      <x:c r="V249" s="16" t="inlineStr">
        <x:is>
          <x:t xml:space="preserve"/>
        </x:is>
      </x:c>
    </x:row>
    <x:row r="250">
      <x:c r="A250" s="17" t="inlineStr">
        <x:is>
          <x:t xml:space="preserve">P021</x:t>
        </x:is>
      </x:c>
      <x:c r="B250" s="17" t="n">
        <x:v>6</x:v>
      </x:c>
      <x:c r="C250" s="17" t="inlineStr">
        <x:is>
          <x:t xml:space="preserve">V11</x:t>
        </x:is>
      </x:c>
      <x:c r="D250" s="17" t="inlineStr">
        <x:is>
          <x:t xml:space="preserve">Creator strategy</x:t>
        </x:is>
      </x:c>
      <x:c r="E250" s="17" t="inlineStr">
        <x:is>
          <x:t xml:space="preserve">Full transcript</x:t>
        </x:is>
      </x:c>
      <x:c r="F250" s="17" t="inlineStr">
        <x:is>
          <x:t xml:space="preserve">Audio-on</x:t>
        </x:is>
      </x:c>
      <x:c r="G250" s="24" t="n">
        <x:v>17</x:v>
      </x:c>
      <x:c r="H250" s="24" t="inlineStr">
        <x:is>
          <x:t xml:space="preserve"/>
        </x:is>
      </x:c>
      <x:c r="I250" s="24" t="inlineStr">
        <x:is>
          <x:t xml:space="preserve"/>
        </x:is>
      </x:c>
      <x:c r="J250" s="24" t="inlineStr">
        <x:is>
          <x:t xml:space="preserve"/>
        </x:is>
      </x:c>
      <x:c r="K250" s="24" t="inlineStr">
        <x:is>
          <x:t xml:space="preserve"/>
        </x:is>
      </x:c>
      <x:c r="L250" s="24" t="inlineStr">
        <x:is>
          <x:t xml:space="preserve"/>
        </x:is>
      </x:c>
      <x:c r="M250" s="24" t="inlineStr">
        <x:is>
          <x:t xml:space="preserve"/>
        </x:is>
      </x:c>
      <x:c r="N250" s="24" t="inlineStr">
        <x:is>
          <x:t xml:space="preserve"/>
        </x:is>
      </x:c>
      <x:c r="O250" s="24" t="inlineStr">
        <x:is>
          <x:t xml:space="preserve"/>
        </x:is>
      </x:c>
      <x:c r="P250" s="24" t="inlineStr">
        <x:is>
          <x:t xml:space="preserve"/>
        </x:is>
      </x:c>
      <x:c r="Q250" s="24" t="inlineStr">
        <x:is>
          <x:t xml:space="preserve"/>
        </x:is>
      </x:c>
      <x:c r="R250" s="24" t="inlineStr">
        <x:is>
          <x:t xml:space="preserve"/>
        </x:is>
      </x:c>
      <x:c r="S250" s="25">
        <x:f>IF(H250="","",IFERROR(H250/G250,""))</x:f>
      </x:c>
      <x:c r="T250" s="26">
        <x:f>IF(H250="","",IFERROR((J250+K250+L250+N250)/H250,""))</x:f>
      </x:c>
      <x:c r="U250" s="25">
        <x:f>IF(COUNTA(J250:L250,N250)=0,"",IFERROR(AVERAGE(J250:L250,N250),""))</x:f>
      </x:c>
      <x:c r="V250" s="17" t="inlineStr">
        <x:is>
          <x:t xml:space="preserve"/>
        </x:is>
      </x:c>
    </x:row>
    <x:row r="251">
      <x:c r="A251" s="16" t="inlineStr">
        <x:is>
          <x:t xml:space="preserve">P021</x:t>
        </x:is>
      </x:c>
      <x:c r="B251" s="16" t="n">
        <x:v>7</x:v>
      </x:c>
      <x:c r="C251" s="16" t="inlineStr">
        <x:is>
          <x:t xml:space="preserve">V08</x:t>
        </x:is>
      </x:c>
      <x:c r="D251" s="16" t="inlineStr">
        <x:is>
          <x:t xml:space="preserve">Coding</x:t>
        </x:is>
      </x:c>
      <x:c r="E251" s="16" t="inlineStr">
        <x:is>
          <x:t xml:space="preserve">BCC</x:t>
        </x:is>
      </x:c>
      <x:c r="F251" s="16" t="inlineStr">
        <x:is>
          <x:t xml:space="preserve">Audio-on</x:t>
        </x:is>
      </x:c>
      <x:c r="G251" s="21" t="n">
        <x:v>24</x:v>
      </x:c>
      <x:c r="H251" s="21" t="inlineStr">
        <x:is>
          <x:t xml:space="preserve"/>
        </x:is>
      </x:c>
      <x:c r="I251" s="21" t="inlineStr">
        <x:is>
          <x:t xml:space="preserve"/>
        </x:is>
      </x:c>
      <x:c r="J251" s="21" t="inlineStr">
        <x:is>
          <x:t xml:space="preserve"/>
        </x:is>
      </x:c>
      <x:c r="K251" s="21" t="inlineStr">
        <x:is>
          <x:t xml:space="preserve"/>
        </x:is>
      </x:c>
      <x:c r="L251" s="21" t="inlineStr">
        <x:is>
          <x:t xml:space="preserve"/>
        </x:is>
      </x:c>
      <x:c r="M251" s="21" t="inlineStr">
        <x:is>
          <x:t xml:space="preserve"/>
        </x:is>
      </x:c>
      <x:c r="N251" s="21" t="inlineStr">
        <x:is>
          <x:t xml:space="preserve"/>
        </x:is>
      </x:c>
      <x:c r="O251" s="21" t="inlineStr">
        <x:is>
          <x:t xml:space="preserve"/>
        </x:is>
      </x:c>
      <x:c r="P251" s="21" t="inlineStr">
        <x:is>
          <x:t xml:space="preserve"/>
        </x:is>
      </x:c>
      <x:c r="Q251" s="21" t="inlineStr">
        <x:is>
          <x:t xml:space="preserve"/>
        </x:is>
      </x:c>
      <x:c r="R251" s="21" t="inlineStr">
        <x:is>
          <x:t xml:space="preserve"/>
        </x:is>
      </x:c>
      <x:c r="S251" s="22">
        <x:f>IF(H251="","",IFERROR(H251/G251,""))</x:f>
      </x:c>
      <x:c r="T251" s="23">
        <x:f>IF(H251="","",IFERROR((J251+K251+L251+N251)/H251,""))</x:f>
      </x:c>
      <x:c r="U251" s="22">
        <x:f>IF(COUNTA(J251:L251,N251)=0,"",IFERROR(AVERAGE(J251:L251,N251),""))</x:f>
      </x:c>
      <x:c r="V251" s="16" t="inlineStr">
        <x:is>
          <x:t xml:space="preserve"/>
        </x:is>
      </x:c>
    </x:row>
    <x:row r="252">
      <x:c r="A252" s="17" t="inlineStr">
        <x:is>
          <x:t xml:space="preserve">P021</x:t>
        </x:is>
      </x:c>
      <x:c r="B252" s="17" t="n">
        <x:v>8</x:v>
      </x:c>
      <x:c r="C252" s="17" t="inlineStr">
        <x:is>
          <x:t xml:space="preserve">V05</x:t>
        </x:is>
      </x:c>
      <x:c r="D252" s="17" t="inlineStr">
        <x:is>
          <x:t xml:space="preserve">Tutorial</x:t>
        </x:is>
      </x:c>
      <x:c r="E252" s="17" t="inlineStr">
        <x:is>
          <x:t xml:space="preserve">Full transcript</x:t>
        </x:is>
      </x:c>
      <x:c r="F252" s="17" t="inlineStr">
        <x:is>
          <x:t xml:space="preserve">Audio-on</x:t>
        </x:is>
      </x:c>
      <x:c r="G252" s="24" t="n">
        <x:v>20</x:v>
      </x:c>
      <x:c r="H252" s="24" t="inlineStr">
        <x:is>
          <x:t xml:space="preserve"/>
        </x:is>
      </x:c>
      <x:c r="I252" s="24" t="inlineStr">
        <x:is>
          <x:t xml:space="preserve"/>
        </x:is>
      </x:c>
      <x:c r="J252" s="24" t="inlineStr">
        <x:is>
          <x:t xml:space="preserve"/>
        </x:is>
      </x:c>
      <x:c r="K252" s="24" t="inlineStr">
        <x:is>
          <x:t xml:space="preserve"/>
        </x:is>
      </x:c>
      <x:c r="L252" s="24" t="inlineStr">
        <x:is>
          <x:t xml:space="preserve"/>
        </x:is>
      </x:c>
      <x:c r="M252" s="24" t="inlineStr">
        <x:is>
          <x:t xml:space="preserve"/>
        </x:is>
      </x:c>
      <x:c r="N252" s="24" t="inlineStr">
        <x:is>
          <x:t xml:space="preserve"/>
        </x:is>
      </x:c>
      <x:c r="O252" s="24" t="inlineStr">
        <x:is>
          <x:t xml:space="preserve"/>
        </x:is>
      </x:c>
      <x:c r="P252" s="24" t="inlineStr">
        <x:is>
          <x:t xml:space="preserve"/>
        </x:is>
      </x:c>
      <x:c r="Q252" s="24" t="inlineStr">
        <x:is>
          <x:t xml:space="preserve"/>
        </x:is>
      </x:c>
      <x:c r="R252" s="24" t="inlineStr">
        <x:is>
          <x:t xml:space="preserve"/>
        </x:is>
      </x:c>
      <x:c r="S252" s="25">
        <x:f>IF(H252="","",IFERROR(H252/G252,""))</x:f>
      </x:c>
      <x:c r="T252" s="26">
        <x:f>IF(H252="","",IFERROR((J252+K252+L252+N252)/H252,""))</x:f>
      </x:c>
      <x:c r="U252" s="25">
        <x:f>IF(COUNTA(J252:L252,N252)=0,"",IFERROR(AVERAGE(J252:L252,N252),""))</x:f>
      </x:c>
      <x:c r="V252" s="17" t="inlineStr">
        <x:is>
          <x:t xml:space="preserve"/>
        </x:is>
      </x:c>
    </x:row>
    <x:row r="253">
      <x:c r="A253" s="16" t="inlineStr">
        <x:is>
          <x:t xml:space="preserve">P021</x:t>
        </x:is>
      </x:c>
      <x:c r="B253" s="16" t="n">
        <x:v>9</x:v>
      </x:c>
      <x:c r="C253" s="16" t="inlineStr">
        <x:is>
          <x:t xml:space="preserve">V04</x:t>
        </x:is>
      </x:c>
      <x:c r="D253" s="16" t="inlineStr">
        <x:is>
          <x:t xml:space="preserve">Finance</x:t>
        </x:is>
      </x:c>
      <x:c r="E253" s="16" t="inlineStr">
        <x:is>
          <x:t xml:space="preserve">Heavy bionic</x:t>
        </x:is>
      </x:c>
      <x:c r="F253" s="16" t="inlineStr">
        <x:is>
          <x:t xml:space="preserve">Audio-on</x:t>
        </x:is>
      </x:c>
      <x:c r="G253" s="21" t="n">
        <x:v>20</x:v>
      </x:c>
      <x:c r="H253" s="21" t="inlineStr">
        <x:is>
          <x:t xml:space="preserve"/>
        </x:is>
      </x:c>
      <x:c r="I253" s="21" t="inlineStr">
        <x:is>
          <x:t xml:space="preserve"/>
        </x:is>
      </x:c>
      <x:c r="J253" s="21" t="inlineStr">
        <x:is>
          <x:t xml:space="preserve"/>
        </x:is>
      </x:c>
      <x:c r="K253" s="21" t="inlineStr">
        <x:is>
          <x:t xml:space="preserve"/>
        </x:is>
      </x:c>
      <x:c r="L253" s="21" t="inlineStr">
        <x:is>
          <x:t xml:space="preserve"/>
        </x:is>
      </x:c>
      <x:c r="M253" s="21" t="inlineStr">
        <x:is>
          <x:t xml:space="preserve"/>
        </x:is>
      </x:c>
      <x:c r="N253" s="21" t="inlineStr">
        <x:is>
          <x:t xml:space="preserve"/>
        </x:is>
      </x:c>
      <x:c r="O253" s="21" t="inlineStr">
        <x:is>
          <x:t xml:space="preserve"/>
        </x:is>
      </x:c>
      <x:c r="P253" s="21" t="inlineStr">
        <x:is>
          <x:t xml:space="preserve"/>
        </x:is>
      </x:c>
      <x:c r="Q253" s="21" t="inlineStr">
        <x:is>
          <x:t xml:space="preserve"/>
        </x:is>
      </x:c>
      <x:c r="R253" s="21" t="inlineStr">
        <x:is>
          <x:t xml:space="preserve"/>
        </x:is>
      </x:c>
      <x:c r="S253" s="22">
        <x:f>IF(H253="","",IFERROR(H253/G253,""))</x:f>
      </x:c>
      <x:c r="T253" s="23">
        <x:f>IF(H253="","",IFERROR((J253+K253+L253+N253)/H253,""))</x:f>
      </x:c>
      <x:c r="U253" s="22">
        <x:f>IF(COUNTA(J253:L253,N253)=0,"",IFERROR(AVERAGE(J253:L253,N253),""))</x:f>
      </x:c>
      <x:c r="V253" s="16" t="inlineStr">
        <x:is>
          <x:t xml:space="preserve"/>
        </x:is>
      </x:c>
    </x:row>
    <x:row r="254">
      <x:c r="A254" s="17" t="inlineStr">
        <x:is>
          <x:t xml:space="preserve">P021</x:t>
        </x:is>
      </x:c>
      <x:c r="B254" s="17" t="n">
        <x:v>10</x:v>
      </x:c>
      <x:c r="C254" s="17" t="inlineStr">
        <x:is>
          <x:t xml:space="preserve">V03</x:t>
        </x:is>
      </x:c>
      <x:c r="D254" s="17" t="inlineStr">
        <x:is>
          <x:t xml:space="preserve">Fitness</x:t>
        </x:is>
      </x:c>
      <x:c r="E254" s="17" t="inlineStr">
        <x:is>
          <x:t xml:space="preserve">BCC+</x:t>
        </x:is>
      </x:c>
      <x:c r="F254" s="17" t="inlineStr">
        <x:is>
          <x:t xml:space="preserve">Audio-on</x:t>
        </x:is>
      </x:c>
      <x:c r="G254" s="24" t="n">
        <x:v>18</x:v>
      </x:c>
      <x:c r="H254" s="24" t="inlineStr">
        <x:is>
          <x:t xml:space="preserve"/>
        </x:is>
      </x:c>
      <x:c r="I254" s="24" t="inlineStr">
        <x:is>
          <x:t xml:space="preserve"/>
        </x:is>
      </x:c>
      <x:c r="J254" s="24" t="inlineStr">
        <x:is>
          <x:t xml:space="preserve"/>
        </x:is>
      </x:c>
      <x:c r="K254" s="24" t="inlineStr">
        <x:is>
          <x:t xml:space="preserve"/>
        </x:is>
      </x:c>
      <x:c r="L254" s="24" t="inlineStr">
        <x:is>
          <x:t xml:space="preserve"/>
        </x:is>
      </x:c>
      <x:c r="M254" s="24" t="inlineStr">
        <x:is>
          <x:t xml:space="preserve"/>
        </x:is>
      </x:c>
      <x:c r="N254" s="24" t="inlineStr">
        <x:is>
          <x:t xml:space="preserve"/>
        </x:is>
      </x:c>
      <x:c r="O254" s="24" t="inlineStr">
        <x:is>
          <x:t xml:space="preserve"/>
        </x:is>
      </x:c>
      <x:c r="P254" s="24" t="inlineStr">
        <x:is>
          <x:t xml:space="preserve"/>
        </x:is>
      </x:c>
      <x:c r="Q254" s="24" t="inlineStr">
        <x:is>
          <x:t xml:space="preserve"/>
        </x:is>
      </x:c>
      <x:c r="R254" s="24" t="inlineStr">
        <x:is>
          <x:t xml:space="preserve"/>
        </x:is>
      </x:c>
      <x:c r="S254" s="25">
        <x:f>IF(H254="","",IFERROR(H254/G254,""))</x:f>
      </x:c>
      <x:c r="T254" s="26">
        <x:f>IF(H254="","",IFERROR((J254+K254+L254+N254)/H254,""))</x:f>
      </x:c>
      <x:c r="U254" s="25">
        <x:f>IF(COUNTA(J254:L254,N254)=0,"",IFERROR(AVERAGE(J254:L254,N254),""))</x:f>
      </x:c>
      <x:c r="V254" s="17" t="inlineStr">
        <x:is>
          <x:t xml:space="preserve"/>
        </x:is>
      </x:c>
    </x:row>
    <x:row r="255">
      <x:c r="A255" s="16" t="inlineStr">
        <x:is>
          <x:t xml:space="preserve">P021</x:t>
        </x:is>
      </x:c>
      <x:c r="B255" s="16" t="n">
        <x:v>11</x:v>
      </x:c>
      <x:c r="C255" s="16" t="inlineStr">
        <x:is>
          <x:t xml:space="preserve">V12</x:t>
        </x:is>
      </x:c>
      <x:c r="D255" s="16" t="inlineStr">
        <x:is>
          <x:t xml:space="preserve">Time management</x:t>
        </x:is>
      </x:c>
      <x:c r="E255" s="16" t="inlineStr">
        <x:is>
          <x:t xml:space="preserve">Keyword highlight</x:t>
        </x:is>
      </x:c>
      <x:c r="F255" s="16" t="inlineStr">
        <x:is>
          <x:t xml:space="preserve">Audio-on</x:t>
        </x:is>
      </x:c>
      <x:c r="G255" s="21" t="n">
        <x:v>21</x:v>
      </x:c>
      <x:c r="H255" s="21" t="inlineStr">
        <x:is>
          <x:t xml:space="preserve"/>
        </x:is>
      </x:c>
      <x:c r="I255" s="21" t="inlineStr">
        <x:is>
          <x:t xml:space="preserve"/>
        </x:is>
      </x:c>
      <x:c r="J255" s="21" t="inlineStr">
        <x:is>
          <x:t xml:space="preserve"/>
        </x:is>
      </x:c>
      <x:c r="K255" s="21" t="inlineStr">
        <x:is>
          <x:t xml:space="preserve"/>
        </x:is>
      </x:c>
      <x:c r="L255" s="21" t="inlineStr">
        <x:is>
          <x:t xml:space="preserve"/>
        </x:is>
      </x:c>
      <x:c r="M255" s="21" t="inlineStr">
        <x:is>
          <x:t xml:space="preserve"/>
        </x:is>
      </x:c>
      <x:c r="N255" s="21" t="inlineStr">
        <x:is>
          <x:t xml:space="preserve"/>
        </x:is>
      </x:c>
      <x:c r="O255" s="21" t="inlineStr">
        <x:is>
          <x:t xml:space="preserve"/>
        </x:is>
      </x:c>
      <x:c r="P255" s="21" t="inlineStr">
        <x:is>
          <x:t xml:space="preserve"/>
        </x:is>
      </x:c>
      <x:c r="Q255" s="21" t="inlineStr">
        <x:is>
          <x:t xml:space="preserve"/>
        </x:is>
      </x:c>
      <x:c r="R255" s="21" t="inlineStr">
        <x:is>
          <x:t xml:space="preserve"/>
        </x:is>
      </x:c>
      <x:c r="S255" s="22">
        <x:f>IF(H255="","",IFERROR(H255/G255,""))</x:f>
      </x:c>
      <x:c r="T255" s="23">
        <x:f>IF(H255="","",IFERROR((J255+K255+L255+N255)/H255,""))</x:f>
      </x:c>
      <x:c r="U255" s="22">
        <x:f>IF(COUNTA(J255:L255,N255)=0,"",IFERROR(AVERAGE(J255:L255,N255),""))</x:f>
      </x:c>
      <x:c r="V255" s="16" t="inlineStr">
        <x:is>
          <x:t xml:space="preserve"/>
        </x:is>
      </x:c>
    </x:row>
    <x:row r="256">
      <x:c r="A256" s="17" t="inlineStr">
        <x:is>
          <x:t xml:space="preserve">P021</x:t>
        </x:is>
      </x:c>
      <x:c r="B256" s="17" t="n">
        <x:v>12</x:v>
      </x:c>
      <x:c r="C256" s="17" t="inlineStr">
        <x:is>
          <x:t xml:space="preserve">V09</x:t>
        </x:is>
      </x:c>
      <x:c r="D256" s="17" t="inlineStr">
        <x:is>
          <x:t xml:space="preserve">Sleep habit</x:t>
        </x:is>
      </x:c>
      <x:c r="E256" s="17" t="inlineStr">
        <x:is>
          <x:t xml:space="preserve">BCC+</x:t>
        </x:is>
      </x:c>
      <x:c r="F256" s="17" t="inlineStr">
        <x:is>
          <x:t xml:space="preserve">Audio-on</x:t>
        </x:is>
      </x:c>
      <x:c r="G256" s="24" t="n">
        <x:v>19</x:v>
      </x:c>
      <x:c r="H256" s="24" t="inlineStr">
        <x:is>
          <x:t xml:space="preserve"/>
        </x:is>
      </x:c>
      <x:c r="I256" s="24" t="inlineStr">
        <x:is>
          <x:t xml:space="preserve"/>
        </x:is>
      </x:c>
      <x:c r="J256" s="24" t="inlineStr">
        <x:is>
          <x:t xml:space="preserve"/>
        </x:is>
      </x:c>
      <x:c r="K256" s="24" t="inlineStr">
        <x:is>
          <x:t xml:space="preserve"/>
        </x:is>
      </x:c>
      <x:c r="L256" s="24" t="inlineStr">
        <x:is>
          <x:t xml:space="preserve"/>
        </x:is>
      </x:c>
      <x:c r="M256" s="24" t="inlineStr">
        <x:is>
          <x:t xml:space="preserve"/>
        </x:is>
      </x:c>
      <x:c r="N256" s="24" t="inlineStr">
        <x:is>
          <x:t xml:space="preserve"/>
        </x:is>
      </x:c>
      <x:c r="O256" s="24" t="inlineStr">
        <x:is>
          <x:t xml:space="preserve"/>
        </x:is>
      </x:c>
      <x:c r="P256" s="24" t="inlineStr">
        <x:is>
          <x:t xml:space="preserve"/>
        </x:is>
      </x:c>
      <x:c r="Q256" s="24" t="inlineStr">
        <x:is>
          <x:t xml:space="preserve"/>
        </x:is>
      </x:c>
      <x:c r="R256" s="24" t="inlineStr">
        <x:is>
          <x:t xml:space="preserve"/>
        </x:is>
      </x:c>
      <x:c r="S256" s="25">
        <x:f>IF(H256="","",IFERROR(H256/G256,""))</x:f>
      </x:c>
      <x:c r="T256" s="26">
        <x:f>IF(H256="","",IFERROR((J256+K256+L256+N256)/H256,""))</x:f>
      </x:c>
      <x:c r="U256" s="25">
        <x:f>IF(COUNTA(J256:L256,N256)=0,"",IFERROR(AVERAGE(J256:L256,N256),""))</x:f>
      </x:c>
      <x:c r="V256" s="17" t="inlineStr">
        <x:is>
          <x:t xml:space="preserve"/>
        </x:is>
      </x:c>
    </x:row>
    <x:row r="257">
      <x:c r="A257" s="16" t="inlineStr">
        <x:is>
          <x:t xml:space="preserve">P022</x:t>
        </x:is>
      </x:c>
      <x:c r="B257" s="16" t="n">
        <x:v>1</x:v>
      </x:c>
      <x:c r="C257" s="16" t="inlineStr">
        <x:is>
          <x:t xml:space="preserve">V09</x:t>
        </x:is>
      </x:c>
      <x:c r="D257" s="16" t="inlineStr">
        <x:is>
          <x:t xml:space="preserve">Sleep habit</x:t>
        </x:is>
      </x:c>
      <x:c r="E257" s="16" t="inlineStr">
        <x:is>
          <x:t xml:space="preserve">Heavy bionic</x:t>
        </x:is>
      </x:c>
      <x:c r="F257" s="16" t="inlineStr">
        <x:is>
          <x:t xml:space="preserve">Audio-on</x:t>
        </x:is>
      </x:c>
      <x:c r="G257" s="21" t="n">
        <x:v>19</x:v>
      </x:c>
      <x:c r="H257" s="21" t="inlineStr">
        <x:is>
          <x:t xml:space="preserve"/>
        </x:is>
      </x:c>
      <x:c r="I257" s="21" t="inlineStr">
        <x:is>
          <x:t xml:space="preserve"/>
        </x:is>
      </x:c>
      <x:c r="J257" s="21" t="inlineStr">
        <x:is>
          <x:t xml:space="preserve"/>
        </x:is>
      </x:c>
      <x:c r="K257" s="21" t="inlineStr">
        <x:is>
          <x:t xml:space="preserve"/>
        </x:is>
      </x:c>
      <x:c r="L257" s="21" t="inlineStr">
        <x:is>
          <x:t xml:space="preserve"/>
        </x:is>
      </x:c>
      <x:c r="M257" s="21" t="inlineStr">
        <x:is>
          <x:t xml:space="preserve"/>
        </x:is>
      </x:c>
      <x:c r="N257" s="21" t="inlineStr">
        <x:is>
          <x:t xml:space="preserve"/>
        </x:is>
      </x:c>
      <x:c r="O257" s="21" t="inlineStr">
        <x:is>
          <x:t xml:space="preserve"/>
        </x:is>
      </x:c>
      <x:c r="P257" s="21" t="inlineStr">
        <x:is>
          <x:t xml:space="preserve"/>
        </x:is>
      </x:c>
      <x:c r="Q257" s="21" t="inlineStr">
        <x:is>
          <x:t xml:space="preserve"/>
        </x:is>
      </x:c>
      <x:c r="R257" s="21" t="inlineStr">
        <x:is>
          <x:t xml:space="preserve"/>
        </x:is>
      </x:c>
      <x:c r="S257" s="22">
        <x:f>IF(H257="","",IFERROR(H257/G257,""))</x:f>
      </x:c>
      <x:c r="T257" s="23">
        <x:f>IF(H257="","",IFERROR((J257+K257+L257+N257)/H257,""))</x:f>
      </x:c>
      <x:c r="U257" s="22">
        <x:f>IF(COUNTA(J257:L257,N257)=0,"",IFERROR(AVERAGE(J257:L257,N257),""))</x:f>
      </x:c>
      <x:c r="V257" s="16" t="inlineStr">
        <x:is>
          <x:t xml:space="preserve"/>
        </x:is>
      </x:c>
    </x:row>
    <x:row r="258">
      <x:c r="A258" s="17" t="inlineStr">
        <x:is>
          <x:t xml:space="preserve">P022</x:t>
        </x:is>
      </x:c>
      <x:c r="B258" s="17" t="n">
        <x:v>2</x:v>
      </x:c>
      <x:c r="C258" s="17" t="inlineStr">
        <x:is>
          <x:t xml:space="preserve">V08</x:t>
        </x:is>
      </x:c>
      <x:c r="D258" s="17" t="inlineStr">
        <x:is>
          <x:t xml:space="preserve">Coding</x:t>
        </x:is>
      </x:c>
      <x:c r="E258" s="17" t="inlineStr">
        <x:is>
          <x:t xml:space="preserve">BCC+</x:t>
        </x:is>
      </x:c>
      <x:c r="F258" s="17" t="inlineStr">
        <x:is>
          <x:t xml:space="preserve">Audio-on</x:t>
        </x:is>
      </x:c>
      <x:c r="G258" s="24" t="n">
        <x:v>24</x:v>
      </x:c>
      <x:c r="H258" s="24" t="inlineStr">
        <x:is>
          <x:t xml:space="preserve"/>
        </x:is>
      </x:c>
      <x:c r="I258" s="24" t="inlineStr">
        <x:is>
          <x:t xml:space="preserve"/>
        </x:is>
      </x:c>
      <x:c r="J258" s="24" t="inlineStr">
        <x:is>
          <x:t xml:space="preserve"/>
        </x:is>
      </x:c>
      <x:c r="K258" s="24" t="inlineStr">
        <x:is>
          <x:t xml:space="preserve"/>
        </x:is>
      </x:c>
      <x:c r="L258" s="24" t="inlineStr">
        <x:is>
          <x:t xml:space="preserve"/>
        </x:is>
      </x:c>
      <x:c r="M258" s="24" t="inlineStr">
        <x:is>
          <x:t xml:space="preserve"/>
        </x:is>
      </x:c>
      <x:c r="N258" s="24" t="inlineStr">
        <x:is>
          <x:t xml:space="preserve"/>
        </x:is>
      </x:c>
      <x:c r="O258" s="24" t="inlineStr">
        <x:is>
          <x:t xml:space="preserve"/>
        </x:is>
      </x:c>
      <x:c r="P258" s="24" t="inlineStr">
        <x:is>
          <x:t xml:space="preserve"/>
        </x:is>
      </x:c>
      <x:c r="Q258" s="24" t="inlineStr">
        <x:is>
          <x:t xml:space="preserve"/>
        </x:is>
      </x:c>
      <x:c r="R258" s="24" t="inlineStr">
        <x:is>
          <x:t xml:space="preserve"/>
        </x:is>
      </x:c>
      <x:c r="S258" s="25">
        <x:f>IF(H258="","",IFERROR(H258/G258,""))</x:f>
      </x:c>
      <x:c r="T258" s="26">
        <x:f>IF(H258="","",IFERROR((J258+K258+L258+N258)/H258,""))</x:f>
      </x:c>
      <x:c r="U258" s="25">
        <x:f>IF(COUNTA(J258:L258,N258)=0,"",IFERROR(AVERAGE(J258:L258,N258),""))</x:f>
      </x:c>
      <x:c r="V258" s="17" t="inlineStr">
        <x:is>
          <x:t xml:space="preserve"/>
        </x:is>
      </x:c>
    </x:row>
    <x:row r="259">
      <x:c r="A259" s="16" t="inlineStr">
        <x:is>
          <x:t xml:space="preserve">P022</x:t>
        </x:is>
      </x:c>
      <x:c r="B259" s="16" t="n">
        <x:v>3</x:v>
      </x:c>
      <x:c r="C259" s="16" t="inlineStr">
        <x:is>
          <x:t xml:space="preserve">V12</x:t>
        </x:is>
      </x:c>
      <x:c r="D259" s="16" t="inlineStr">
        <x:is>
          <x:t xml:space="preserve">Time management</x:t>
        </x:is>
      </x:c>
      <x:c r="E259" s="16" t="inlineStr">
        <x:is>
          <x:t xml:space="preserve">Semantic compression</x:t>
        </x:is>
      </x:c>
      <x:c r="F259" s="16" t="inlineStr">
        <x:is>
          <x:t xml:space="preserve">Audio-on</x:t>
        </x:is>
      </x:c>
      <x:c r="G259" s="21" t="n">
        <x:v>21</x:v>
      </x:c>
      <x:c r="H259" s="21" t="inlineStr">
        <x:is>
          <x:t xml:space="preserve"/>
        </x:is>
      </x:c>
      <x:c r="I259" s="21" t="inlineStr">
        <x:is>
          <x:t xml:space="preserve"/>
        </x:is>
      </x:c>
      <x:c r="J259" s="21" t="inlineStr">
        <x:is>
          <x:t xml:space="preserve"/>
        </x:is>
      </x:c>
      <x:c r="K259" s="21" t="inlineStr">
        <x:is>
          <x:t xml:space="preserve"/>
        </x:is>
      </x:c>
      <x:c r="L259" s="21" t="inlineStr">
        <x:is>
          <x:t xml:space="preserve"/>
        </x:is>
      </x:c>
      <x:c r="M259" s="21" t="inlineStr">
        <x:is>
          <x:t xml:space="preserve"/>
        </x:is>
      </x:c>
      <x:c r="N259" s="21" t="inlineStr">
        <x:is>
          <x:t xml:space="preserve"/>
        </x:is>
      </x:c>
      <x:c r="O259" s="21" t="inlineStr">
        <x:is>
          <x:t xml:space="preserve"/>
        </x:is>
      </x:c>
      <x:c r="P259" s="21" t="inlineStr">
        <x:is>
          <x:t xml:space="preserve"/>
        </x:is>
      </x:c>
      <x:c r="Q259" s="21" t="inlineStr">
        <x:is>
          <x:t xml:space="preserve"/>
        </x:is>
      </x:c>
      <x:c r="R259" s="21" t="inlineStr">
        <x:is>
          <x:t xml:space="preserve"/>
        </x:is>
      </x:c>
      <x:c r="S259" s="22">
        <x:f>IF(H259="","",IFERROR(H259/G259,""))</x:f>
      </x:c>
      <x:c r="T259" s="23">
        <x:f>IF(H259="","",IFERROR((J259+K259+L259+N259)/H259,""))</x:f>
      </x:c>
      <x:c r="U259" s="22">
        <x:f>IF(COUNTA(J259:L259,N259)=0,"",IFERROR(AVERAGE(J259:L259,N259),""))</x:f>
      </x:c>
      <x:c r="V259" s="16" t="inlineStr">
        <x:is>
          <x:t xml:space="preserve"/>
        </x:is>
      </x:c>
    </x:row>
    <x:row r="260">
      <x:c r="A260" s="17" t="inlineStr">
        <x:is>
          <x:t xml:space="preserve">P022</x:t>
        </x:is>
      </x:c>
      <x:c r="B260" s="17" t="n">
        <x:v>4</x:v>
      </x:c>
      <x:c r="C260" s="17" t="inlineStr">
        <x:is>
          <x:t xml:space="preserve">V01</x:t>
        </x:is>
      </x:c>
      <x:c r="D260" s="17" t="inlineStr">
        <x:is>
          <x:t xml:space="preserve">Productivity</x:t>
        </x:is>
      </x:c>
      <x:c r="E260" s="17" t="inlineStr">
        <x:is>
          <x:t xml:space="preserve">BCC</x:t>
        </x:is>
      </x:c>
      <x:c r="F260" s="17" t="inlineStr">
        <x:is>
          <x:t xml:space="preserve">Audio-on</x:t>
        </x:is>
      </x:c>
      <x:c r="G260" s="24" t="n">
        <x:v>25</x:v>
      </x:c>
      <x:c r="H260" s="24" t="inlineStr">
        <x:is>
          <x:t xml:space="preserve"/>
        </x:is>
      </x:c>
      <x:c r="I260" s="24" t="inlineStr">
        <x:is>
          <x:t xml:space="preserve"/>
        </x:is>
      </x:c>
      <x:c r="J260" s="24" t="inlineStr">
        <x:is>
          <x:t xml:space="preserve"/>
        </x:is>
      </x:c>
      <x:c r="K260" s="24" t="inlineStr">
        <x:is>
          <x:t xml:space="preserve"/>
        </x:is>
      </x:c>
      <x:c r="L260" s="24" t="inlineStr">
        <x:is>
          <x:t xml:space="preserve"/>
        </x:is>
      </x:c>
      <x:c r="M260" s="24" t="inlineStr">
        <x:is>
          <x:t xml:space="preserve"/>
        </x:is>
      </x:c>
      <x:c r="N260" s="24" t="inlineStr">
        <x:is>
          <x:t xml:space="preserve"/>
        </x:is>
      </x:c>
      <x:c r="O260" s="24" t="inlineStr">
        <x:is>
          <x:t xml:space="preserve"/>
        </x:is>
      </x:c>
      <x:c r="P260" s="24" t="inlineStr">
        <x:is>
          <x:t xml:space="preserve"/>
        </x:is>
      </x:c>
      <x:c r="Q260" s="24" t="inlineStr">
        <x:is>
          <x:t xml:space="preserve"/>
        </x:is>
      </x:c>
      <x:c r="R260" s="24" t="inlineStr">
        <x:is>
          <x:t xml:space="preserve"/>
        </x:is>
      </x:c>
      <x:c r="S260" s="25">
        <x:f>IF(H260="","",IFERROR(H260/G260,""))</x:f>
      </x:c>
      <x:c r="T260" s="26">
        <x:f>IF(H260="","",IFERROR((J260+K260+L260+N260)/H260,""))</x:f>
      </x:c>
      <x:c r="U260" s="25">
        <x:f>IF(COUNTA(J260:L260,N260)=0,"",IFERROR(AVERAGE(J260:L260,N260),""))</x:f>
      </x:c>
      <x:c r="V260" s="17" t="inlineStr">
        <x:is>
          <x:t xml:space="preserve"/>
        </x:is>
      </x:c>
    </x:row>
    <x:row r="261">
      <x:c r="A261" s="16" t="inlineStr">
        <x:is>
          <x:t xml:space="preserve">P022</x:t>
        </x:is>
      </x:c>
      <x:c r="B261" s="16" t="n">
        <x:v>5</x:v>
      </x:c>
      <x:c r="C261" s="16" t="inlineStr">
        <x:is>
          <x:t xml:space="preserve">V05</x:t>
        </x:is>
      </x:c>
      <x:c r="D261" s="16" t="inlineStr">
        <x:is>
          <x:t xml:space="preserve">Tutorial</x:t>
        </x:is>
      </x:c>
      <x:c r="E261" s="16" t="inlineStr">
        <x:is>
          <x:t xml:space="preserve">Keyword highlight</x:t>
        </x:is>
      </x:c>
      <x:c r="F261" s="16" t="inlineStr">
        <x:is>
          <x:t xml:space="preserve">Audio-on</x:t>
        </x:is>
      </x:c>
      <x:c r="G261" s="21" t="n">
        <x:v>20</x:v>
      </x:c>
      <x:c r="H261" s="21" t="inlineStr">
        <x:is>
          <x:t xml:space="preserve"/>
        </x:is>
      </x:c>
      <x:c r="I261" s="21" t="inlineStr">
        <x:is>
          <x:t xml:space="preserve"/>
        </x:is>
      </x:c>
      <x:c r="J261" s="21" t="inlineStr">
        <x:is>
          <x:t xml:space="preserve"/>
        </x:is>
      </x:c>
      <x:c r="K261" s="21" t="inlineStr">
        <x:is>
          <x:t xml:space="preserve"/>
        </x:is>
      </x:c>
      <x:c r="L261" s="21" t="inlineStr">
        <x:is>
          <x:t xml:space="preserve"/>
        </x:is>
      </x:c>
      <x:c r="M261" s="21" t="inlineStr">
        <x:is>
          <x:t xml:space="preserve"/>
        </x:is>
      </x:c>
      <x:c r="N261" s="21" t="inlineStr">
        <x:is>
          <x:t xml:space="preserve"/>
        </x:is>
      </x:c>
      <x:c r="O261" s="21" t="inlineStr">
        <x:is>
          <x:t xml:space="preserve"/>
        </x:is>
      </x:c>
      <x:c r="P261" s="21" t="inlineStr">
        <x:is>
          <x:t xml:space="preserve"/>
        </x:is>
      </x:c>
      <x:c r="Q261" s="21" t="inlineStr">
        <x:is>
          <x:t xml:space="preserve"/>
        </x:is>
      </x:c>
      <x:c r="R261" s="21" t="inlineStr">
        <x:is>
          <x:t xml:space="preserve"/>
        </x:is>
      </x:c>
      <x:c r="S261" s="22">
        <x:f>IF(H261="","",IFERROR(H261/G261,""))</x:f>
      </x:c>
      <x:c r="T261" s="23">
        <x:f>IF(H261="","",IFERROR((J261+K261+L261+N261)/H261,""))</x:f>
      </x:c>
      <x:c r="U261" s="22">
        <x:f>IF(COUNTA(J261:L261,N261)=0,"",IFERROR(AVERAGE(J261:L261,N261),""))</x:f>
      </x:c>
      <x:c r="V261" s="16" t="inlineStr">
        <x:is>
          <x:t xml:space="preserve"/>
        </x:is>
      </x:c>
    </x:row>
    <x:row r="262">
      <x:c r="A262" s="17" t="inlineStr">
        <x:is>
          <x:t xml:space="preserve">P022</x:t>
        </x:is>
      </x:c>
      <x:c r="B262" s="17" t="n">
        <x:v>6</x:v>
      </x:c>
      <x:c r="C262" s="17" t="inlineStr">
        <x:is>
          <x:t xml:space="preserve">V04</x:t>
        </x:is>
      </x:c>
      <x:c r="D262" s="17" t="inlineStr">
        <x:is>
          <x:t xml:space="preserve">Finance</x:t>
        </x:is>
      </x:c>
      <x:c r="E262" s="17" t="inlineStr">
        <x:is>
          <x:t xml:space="preserve">Full transcript</x:t>
        </x:is>
      </x:c>
      <x:c r="F262" s="17" t="inlineStr">
        <x:is>
          <x:t xml:space="preserve">Audio-on</x:t>
        </x:is>
      </x:c>
      <x:c r="G262" s="24" t="n">
        <x:v>20</x:v>
      </x:c>
      <x:c r="H262" s="24" t="inlineStr">
        <x:is>
          <x:t xml:space="preserve"/>
        </x:is>
      </x:c>
      <x:c r="I262" s="24" t="inlineStr">
        <x:is>
          <x:t xml:space="preserve"/>
        </x:is>
      </x:c>
      <x:c r="J262" s="24" t="inlineStr">
        <x:is>
          <x:t xml:space="preserve"/>
        </x:is>
      </x:c>
      <x:c r="K262" s="24" t="inlineStr">
        <x:is>
          <x:t xml:space="preserve"/>
        </x:is>
      </x:c>
      <x:c r="L262" s="24" t="inlineStr">
        <x:is>
          <x:t xml:space="preserve"/>
        </x:is>
      </x:c>
      <x:c r="M262" s="24" t="inlineStr">
        <x:is>
          <x:t xml:space="preserve"/>
        </x:is>
      </x:c>
      <x:c r="N262" s="24" t="inlineStr">
        <x:is>
          <x:t xml:space="preserve"/>
        </x:is>
      </x:c>
      <x:c r="O262" s="24" t="inlineStr">
        <x:is>
          <x:t xml:space="preserve"/>
        </x:is>
      </x:c>
      <x:c r="P262" s="24" t="inlineStr">
        <x:is>
          <x:t xml:space="preserve"/>
        </x:is>
      </x:c>
      <x:c r="Q262" s="24" t="inlineStr">
        <x:is>
          <x:t xml:space="preserve"/>
        </x:is>
      </x:c>
      <x:c r="R262" s="24" t="inlineStr">
        <x:is>
          <x:t xml:space="preserve"/>
        </x:is>
      </x:c>
      <x:c r="S262" s="25">
        <x:f>IF(H262="","",IFERROR(H262/G262,""))</x:f>
      </x:c>
      <x:c r="T262" s="26">
        <x:f>IF(H262="","",IFERROR((J262+K262+L262+N262)/H262,""))</x:f>
      </x:c>
      <x:c r="U262" s="25">
        <x:f>IF(COUNTA(J262:L262,N262)=0,"",IFERROR(AVERAGE(J262:L262,N262),""))</x:f>
      </x:c>
      <x:c r="V262" s="17" t="inlineStr">
        <x:is>
          <x:t xml:space="preserve"/>
        </x:is>
      </x:c>
    </x:row>
    <x:row r="263">
      <x:c r="A263" s="16" t="inlineStr">
        <x:is>
          <x:t xml:space="preserve">P022</x:t>
        </x:is>
      </x:c>
      <x:c r="B263" s="16" t="n">
        <x:v>7</x:v>
      </x:c>
      <x:c r="C263" s="16" t="inlineStr">
        <x:is>
          <x:t xml:space="preserve">V11</x:t>
        </x:is>
      </x:c>
      <x:c r="D263" s="16" t="inlineStr">
        <x:is>
          <x:t xml:space="preserve">Creator strategy</x:t>
        </x:is>
      </x:c>
      <x:c r="E263" s="16" t="inlineStr">
        <x:is>
          <x:t xml:space="preserve">Keyword highlight</x:t>
        </x:is>
      </x:c>
      <x:c r="F263" s="16" t="inlineStr">
        <x:is>
          <x:t xml:space="preserve">Audio-on</x:t>
        </x:is>
      </x:c>
      <x:c r="G263" s="21" t="n">
        <x:v>17</x:v>
      </x:c>
      <x:c r="H263" s="21" t="inlineStr">
        <x:is>
          <x:t xml:space="preserve"/>
        </x:is>
      </x:c>
      <x:c r="I263" s="21" t="inlineStr">
        <x:is>
          <x:t xml:space="preserve"/>
        </x:is>
      </x:c>
      <x:c r="J263" s="21" t="inlineStr">
        <x:is>
          <x:t xml:space="preserve"/>
        </x:is>
      </x:c>
      <x:c r="K263" s="21" t="inlineStr">
        <x:is>
          <x:t xml:space="preserve"/>
        </x:is>
      </x:c>
      <x:c r="L263" s="21" t="inlineStr">
        <x:is>
          <x:t xml:space="preserve"/>
        </x:is>
      </x:c>
      <x:c r="M263" s="21" t="inlineStr">
        <x:is>
          <x:t xml:space="preserve"/>
        </x:is>
      </x:c>
      <x:c r="N263" s="21" t="inlineStr">
        <x:is>
          <x:t xml:space="preserve"/>
        </x:is>
      </x:c>
      <x:c r="O263" s="21" t="inlineStr">
        <x:is>
          <x:t xml:space="preserve"/>
        </x:is>
      </x:c>
      <x:c r="P263" s="21" t="inlineStr">
        <x:is>
          <x:t xml:space="preserve"/>
        </x:is>
      </x:c>
      <x:c r="Q263" s="21" t="inlineStr">
        <x:is>
          <x:t xml:space="preserve"/>
        </x:is>
      </x:c>
      <x:c r="R263" s="21" t="inlineStr">
        <x:is>
          <x:t xml:space="preserve"/>
        </x:is>
      </x:c>
      <x:c r="S263" s="22">
        <x:f>IF(H263="","",IFERROR(H263/G263,""))</x:f>
      </x:c>
      <x:c r="T263" s="23">
        <x:f>IF(H263="","",IFERROR((J263+K263+L263+N263)/H263,""))</x:f>
      </x:c>
      <x:c r="U263" s="22">
        <x:f>IF(COUNTA(J263:L263,N263)=0,"",IFERROR(AVERAGE(J263:L263,N263),""))</x:f>
      </x:c>
      <x:c r="V263" s="16" t="inlineStr">
        <x:is>
          <x:t xml:space="preserve"/>
        </x:is>
      </x:c>
    </x:row>
    <x:row r="264">
      <x:c r="A264" s="17" t="inlineStr">
        <x:is>
          <x:t xml:space="preserve">P022</x:t>
        </x:is>
      </x:c>
      <x:c r="B264" s="17" t="n">
        <x:v>8</x:v>
      </x:c>
      <x:c r="C264" s="17" t="inlineStr">
        <x:is>
          <x:t xml:space="preserve">V02</x:t>
        </x:is>
      </x:c>
      <x:c r="D264" s="17" t="inlineStr">
        <x:is>
          <x:t xml:space="preserve">Study</x:t>
        </x:is>
      </x:c>
      <x:c r="E264" s="17" t="inlineStr">
        <x:is>
          <x:t xml:space="preserve">BCC+</x:t>
        </x:is>
      </x:c>
      <x:c r="F264" s="17" t="inlineStr">
        <x:is>
          <x:t xml:space="preserve">Audio-on</x:t>
        </x:is>
      </x:c>
      <x:c r="G264" s="24" t="n">
        <x:v>18</x:v>
      </x:c>
      <x:c r="H264" s="24" t="inlineStr">
        <x:is>
          <x:t xml:space="preserve"/>
        </x:is>
      </x:c>
      <x:c r="I264" s="24" t="inlineStr">
        <x:is>
          <x:t xml:space="preserve"/>
        </x:is>
      </x:c>
      <x:c r="J264" s="24" t="inlineStr">
        <x:is>
          <x:t xml:space="preserve"/>
        </x:is>
      </x:c>
      <x:c r="K264" s="24" t="inlineStr">
        <x:is>
          <x:t xml:space="preserve"/>
        </x:is>
      </x:c>
      <x:c r="L264" s="24" t="inlineStr">
        <x:is>
          <x:t xml:space="preserve"/>
        </x:is>
      </x:c>
      <x:c r="M264" s="24" t="inlineStr">
        <x:is>
          <x:t xml:space="preserve"/>
        </x:is>
      </x:c>
      <x:c r="N264" s="24" t="inlineStr">
        <x:is>
          <x:t xml:space="preserve"/>
        </x:is>
      </x:c>
      <x:c r="O264" s="24" t="inlineStr">
        <x:is>
          <x:t xml:space="preserve"/>
        </x:is>
      </x:c>
      <x:c r="P264" s="24" t="inlineStr">
        <x:is>
          <x:t xml:space="preserve"/>
        </x:is>
      </x:c>
      <x:c r="Q264" s="24" t="inlineStr">
        <x:is>
          <x:t xml:space="preserve"/>
        </x:is>
      </x:c>
      <x:c r="R264" s="24" t="inlineStr">
        <x:is>
          <x:t xml:space="preserve"/>
        </x:is>
      </x:c>
      <x:c r="S264" s="25">
        <x:f>IF(H264="","",IFERROR(H264/G264,""))</x:f>
      </x:c>
      <x:c r="T264" s="26">
        <x:f>IF(H264="","",IFERROR((J264+K264+L264+N264)/H264,""))</x:f>
      </x:c>
      <x:c r="U264" s="25">
        <x:f>IF(COUNTA(J264:L264,N264)=0,"",IFERROR(AVERAGE(J264:L264,N264),""))</x:f>
      </x:c>
      <x:c r="V264" s="17" t="inlineStr">
        <x:is>
          <x:t xml:space="preserve"/>
        </x:is>
      </x:c>
    </x:row>
    <x:row r="265">
      <x:c r="A265" s="16" t="inlineStr">
        <x:is>
          <x:t xml:space="preserve">P022</x:t>
        </x:is>
      </x:c>
      <x:c r="B265" s="16" t="n">
        <x:v>9</x:v>
      </x:c>
      <x:c r="C265" s="16" t="inlineStr">
        <x:is>
          <x:t xml:space="preserve">V06</x:t>
        </x:is>
      </x:c>
      <x:c r="D265" s="16" t="inlineStr">
        <x:is>
          <x:t xml:space="preserve">Overload</x:t>
        </x:is>
      </x:c>
      <x:c r="E265" s="16" t="inlineStr">
        <x:is>
          <x:t xml:space="preserve">Semantic compression</x:t>
        </x:is>
      </x:c>
      <x:c r="F265" s="16" t="inlineStr">
        <x:is>
          <x:t xml:space="preserve">Audio-on</x:t>
        </x:is>
      </x:c>
      <x:c r="G265" s="21" t="n">
        <x:v>16</x:v>
      </x:c>
      <x:c r="H265" s="21" t="inlineStr">
        <x:is>
          <x:t xml:space="preserve"/>
        </x:is>
      </x:c>
      <x:c r="I265" s="21" t="inlineStr">
        <x:is>
          <x:t xml:space="preserve"/>
        </x:is>
      </x:c>
      <x:c r="J265" s="21" t="inlineStr">
        <x:is>
          <x:t xml:space="preserve"/>
        </x:is>
      </x:c>
      <x:c r="K265" s="21" t="inlineStr">
        <x:is>
          <x:t xml:space="preserve"/>
        </x:is>
      </x:c>
      <x:c r="L265" s="21" t="inlineStr">
        <x:is>
          <x:t xml:space="preserve"/>
        </x:is>
      </x:c>
      <x:c r="M265" s="21" t="inlineStr">
        <x:is>
          <x:t xml:space="preserve"/>
        </x:is>
      </x:c>
      <x:c r="N265" s="21" t="inlineStr">
        <x:is>
          <x:t xml:space="preserve"/>
        </x:is>
      </x:c>
      <x:c r="O265" s="21" t="inlineStr">
        <x:is>
          <x:t xml:space="preserve"/>
        </x:is>
      </x:c>
      <x:c r="P265" s="21" t="inlineStr">
        <x:is>
          <x:t xml:space="preserve"/>
        </x:is>
      </x:c>
      <x:c r="Q265" s="21" t="inlineStr">
        <x:is>
          <x:t xml:space="preserve"/>
        </x:is>
      </x:c>
      <x:c r="R265" s="21" t="inlineStr">
        <x:is>
          <x:t xml:space="preserve"/>
        </x:is>
      </x:c>
      <x:c r="S265" s="22">
        <x:f>IF(H265="","",IFERROR(H265/G265,""))</x:f>
      </x:c>
      <x:c r="T265" s="23">
        <x:f>IF(H265="","",IFERROR((J265+K265+L265+N265)/H265,""))</x:f>
      </x:c>
      <x:c r="U265" s="22">
        <x:f>IF(COUNTA(J265:L265,N265)=0,"",IFERROR(AVERAGE(J265:L265,N265),""))</x:f>
      </x:c>
      <x:c r="V265" s="16" t="inlineStr">
        <x:is>
          <x:t xml:space="preserve"/>
        </x:is>
      </x:c>
    </x:row>
    <x:row r="266">
      <x:c r="A266" s="17" t="inlineStr">
        <x:is>
          <x:t xml:space="preserve">P022</x:t>
        </x:is>
      </x:c>
      <x:c r="B266" s="17" t="n">
        <x:v>10</x:v>
      </x:c>
      <x:c r="C266" s="17" t="inlineStr">
        <x:is>
          <x:t xml:space="preserve">V10</x:t>
        </x:is>
      </x:c>
      <x:c r="D266" s="17" t="inlineStr">
        <x:is>
          <x:t xml:space="preserve">Product demo</x:t>
        </x:is>
      </x:c>
      <x:c r="E266" s="17" t="inlineStr">
        <x:is>
          <x:t xml:space="preserve">Full transcript</x:t>
        </x:is>
      </x:c>
      <x:c r="F266" s="17" t="inlineStr">
        <x:is>
          <x:t xml:space="preserve">Audio-on</x:t>
        </x:is>
      </x:c>
      <x:c r="G266" s="24" t="n">
        <x:v>15</x:v>
      </x:c>
      <x:c r="H266" s="24" t="inlineStr">
        <x:is>
          <x:t xml:space="preserve"/>
        </x:is>
      </x:c>
      <x:c r="I266" s="24" t="inlineStr">
        <x:is>
          <x:t xml:space="preserve"/>
        </x:is>
      </x:c>
      <x:c r="J266" s="24" t="inlineStr">
        <x:is>
          <x:t xml:space="preserve"/>
        </x:is>
      </x:c>
      <x:c r="K266" s="24" t="inlineStr">
        <x:is>
          <x:t xml:space="preserve"/>
        </x:is>
      </x:c>
      <x:c r="L266" s="24" t="inlineStr">
        <x:is>
          <x:t xml:space="preserve"/>
        </x:is>
      </x:c>
      <x:c r="M266" s="24" t="inlineStr">
        <x:is>
          <x:t xml:space="preserve"/>
        </x:is>
      </x:c>
      <x:c r="N266" s="24" t="inlineStr">
        <x:is>
          <x:t xml:space="preserve"/>
        </x:is>
      </x:c>
      <x:c r="O266" s="24" t="inlineStr">
        <x:is>
          <x:t xml:space="preserve"/>
        </x:is>
      </x:c>
      <x:c r="P266" s="24" t="inlineStr">
        <x:is>
          <x:t xml:space="preserve"/>
        </x:is>
      </x:c>
      <x:c r="Q266" s="24" t="inlineStr">
        <x:is>
          <x:t xml:space="preserve"/>
        </x:is>
      </x:c>
      <x:c r="R266" s="24" t="inlineStr">
        <x:is>
          <x:t xml:space="preserve"/>
        </x:is>
      </x:c>
      <x:c r="S266" s="25">
        <x:f>IF(H266="","",IFERROR(H266/G266,""))</x:f>
      </x:c>
      <x:c r="T266" s="26">
        <x:f>IF(H266="","",IFERROR((J266+K266+L266+N266)/H266,""))</x:f>
      </x:c>
      <x:c r="U266" s="25">
        <x:f>IF(COUNTA(J266:L266,N266)=0,"",IFERROR(AVERAGE(J266:L266,N266),""))</x:f>
      </x:c>
      <x:c r="V266" s="17" t="inlineStr">
        <x:is>
          <x:t xml:space="preserve"/>
        </x:is>
      </x:c>
    </x:row>
    <x:row r="267">
      <x:c r="A267" s="16" t="inlineStr">
        <x:is>
          <x:t xml:space="preserve">P022</x:t>
        </x:is>
      </x:c>
      <x:c r="B267" s="16" t="n">
        <x:v>11</x:v>
      </x:c>
      <x:c r="C267" s="16" t="inlineStr">
        <x:is>
          <x:t xml:space="preserve">V07</x:t>
        </x:is>
      </x:c>
      <x:c r="D267" s="16" t="inlineStr">
        <x:is>
          <x:t xml:space="preserve">Business</x:t>
        </x:is>
      </x:c>
      <x:c r="E267" s="16" t="inlineStr">
        <x:is>
          <x:t xml:space="preserve">BCC</x:t>
        </x:is>
      </x:c>
      <x:c r="F267" s="16" t="inlineStr">
        <x:is>
          <x:t xml:space="preserve">Audio-on</x:t>
        </x:is>
      </x:c>
      <x:c r="G267" s="21" t="n">
        <x:v>18</x:v>
      </x:c>
      <x:c r="H267" s="21" t="inlineStr">
        <x:is>
          <x:t xml:space="preserve"/>
        </x:is>
      </x:c>
      <x:c r="I267" s="21" t="inlineStr">
        <x:is>
          <x:t xml:space="preserve"/>
        </x:is>
      </x:c>
      <x:c r="J267" s="21" t="inlineStr">
        <x:is>
          <x:t xml:space="preserve"/>
        </x:is>
      </x:c>
      <x:c r="K267" s="21" t="inlineStr">
        <x:is>
          <x:t xml:space="preserve"/>
        </x:is>
      </x:c>
      <x:c r="L267" s="21" t="inlineStr">
        <x:is>
          <x:t xml:space="preserve"/>
        </x:is>
      </x:c>
      <x:c r="M267" s="21" t="inlineStr">
        <x:is>
          <x:t xml:space="preserve"/>
        </x:is>
      </x:c>
      <x:c r="N267" s="21" t="inlineStr">
        <x:is>
          <x:t xml:space="preserve"/>
        </x:is>
      </x:c>
      <x:c r="O267" s="21" t="inlineStr">
        <x:is>
          <x:t xml:space="preserve"/>
        </x:is>
      </x:c>
      <x:c r="P267" s="21" t="inlineStr">
        <x:is>
          <x:t xml:space="preserve"/>
        </x:is>
      </x:c>
      <x:c r="Q267" s="21" t="inlineStr">
        <x:is>
          <x:t xml:space="preserve"/>
        </x:is>
      </x:c>
      <x:c r="R267" s="21" t="inlineStr">
        <x:is>
          <x:t xml:space="preserve"/>
        </x:is>
      </x:c>
      <x:c r="S267" s="22">
        <x:f>IF(H267="","",IFERROR(H267/G267,""))</x:f>
      </x:c>
      <x:c r="T267" s="23">
        <x:f>IF(H267="","",IFERROR((J267+K267+L267+N267)/H267,""))</x:f>
      </x:c>
      <x:c r="U267" s="22">
        <x:f>IF(COUNTA(J267:L267,N267)=0,"",IFERROR(AVERAGE(J267:L267,N267),""))</x:f>
      </x:c>
      <x:c r="V267" s="16" t="inlineStr">
        <x:is>
          <x:t xml:space="preserve"/>
        </x:is>
      </x:c>
    </x:row>
    <x:row r="268">
      <x:c r="A268" s="17" t="inlineStr">
        <x:is>
          <x:t xml:space="preserve">P022</x:t>
        </x:is>
      </x:c>
      <x:c r="B268" s="17" t="n">
        <x:v>12</x:v>
      </x:c>
      <x:c r="C268" s="17" t="inlineStr">
        <x:is>
          <x:t xml:space="preserve">V03</x:t>
        </x:is>
      </x:c>
      <x:c r="D268" s="17" t="inlineStr">
        <x:is>
          <x:t xml:space="preserve">Fitness</x:t>
        </x:is>
      </x:c>
      <x:c r="E268" s="17" t="inlineStr">
        <x:is>
          <x:t xml:space="preserve">Heavy bionic</x:t>
        </x:is>
      </x:c>
      <x:c r="F268" s="17" t="inlineStr">
        <x:is>
          <x:t xml:space="preserve">Audio-on</x:t>
        </x:is>
      </x:c>
      <x:c r="G268" s="24" t="n">
        <x:v>18</x:v>
      </x:c>
      <x:c r="H268" s="24" t="inlineStr">
        <x:is>
          <x:t xml:space="preserve"/>
        </x:is>
      </x:c>
      <x:c r="I268" s="24" t="inlineStr">
        <x:is>
          <x:t xml:space="preserve"/>
        </x:is>
      </x:c>
      <x:c r="J268" s="24" t="inlineStr">
        <x:is>
          <x:t xml:space="preserve"/>
        </x:is>
      </x:c>
      <x:c r="K268" s="24" t="inlineStr">
        <x:is>
          <x:t xml:space="preserve"/>
        </x:is>
      </x:c>
      <x:c r="L268" s="24" t="inlineStr">
        <x:is>
          <x:t xml:space="preserve"/>
        </x:is>
      </x:c>
      <x:c r="M268" s="24" t="inlineStr">
        <x:is>
          <x:t xml:space="preserve"/>
        </x:is>
      </x:c>
      <x:c r="N268" s="24" t="inlineStr">
        <x:is>
          <x:t xml:space="preserve"/>
        </x:is>
      </x:c>
      <x:c r="O268" s="24" t="inlineStr">
        <x:is>
          <x:t xml:space="preserve"/>
        </x:is>
      </x:c>
      <x:c r="P268" s="24" t="inlineStr">
        <x:is>
          <x:t xml:space="preserve"/>
        </x:is>
      </x:c>
      <x:c r="Q268" s="24" t="inlineStr">
        <x:is>
          <x:t xml:space="preserve"/>
        </x:is>
      </x:c>
      <x:c r="R268" s="24" t="inlineStr">
        <x:is>
          <x:t xml:space="preserve"/>
        </x:is>
      </x:c>
      <x:c r="S268" s="25">
        <x:f>IF(H268="","",IFERROR(H268/G268,""))</x:f>
      </x:c>
      <x:c r="T268" s="26">
        <x:f>IF(H268="","",IFERROR((J268+K268+L268+N268)/H268,""))</x:f>
      </x:c>
      <x:c r="U268" s="25">
        <x:f>IF(COUNTA(J268:L268,N268)=0,"",IFERROR(AVERAGE(J268:L268,N268),""))</x:f>
      </x:c>
      <x:c r="V268" s="17" t="inlineStr">
        <x:is>
          <x:t xml:space="preserve"/>
        </x:is>
      </x:c>
    </x:row>
    <x:row r="269">
      <x:c r="A269" s="16" t="inlineStr">
        <x:is>
          <x:t xml:space="preserve">P023</x:t>
        </x:is>
      </x:c>
      <x:c r="B269" s="16" t="n">
        <x:v>1</x:v>
      </x:c>
      <x:c r="C269" s="16" t="inlineStr">
        <x:is>
          <x:t xml:space="preserve">V06</x:t>
        </x:is>
      </x:c>
      <x:c r="D269" s="16" t="inlineStr">
        <x:is>
          <x:t xml:space="preserve">Overload</x:t>
        </x:is>
      </x:c>
      <x:c r="E269" s="16" t="inlineStr">
        <x:is>
          <x:t xml:space="preserve">BCC</x:t>
        </x:is>
      </x:c>
      <x:c r="F269" s="16" t="inlineStr">
        <x:is>
          <x:t xml:space="preserve">Audio-on</x:t>
        </x:is>
      </x:c>
      <x:c r="G269" s="21" t="n">
        <x:v>16</x:v>
      </x:c>
      <x:c r="H269" s="21" t="inlineStr">
        <x:is>
          <x:t xml:space="preserve"/>
        </x:is>
      </x:c>
      <x:c r="I269" s="21" t="inlineStr">
        <x:is>
          <x:t xml:space="preserve"/>
        </x:is>
      </x:c>
      <x:c r="J269" s="21" t="inlineStr">
        <x:is>
          <x:t xml:space="preserve"/>
        </x:is>
      </x:c>
      <x:c r="K269" s="21" t="inlineStr">
        <x:is>
          <x:t xml:space="preserve"/>
        </x:is>
      </x:c>
      <x:c r="L269" s="21" t="inlineStr">
        <x:is>
          <x:t xml:space="preserve"/>
        </x:is>
      </x:c>
      <x:c r="M269" s="21" t="inlineStr">
        <x:is>
          <x:t xml:space="preserve"/>
        </x:is>
      </x:c>
      <x:c r="N269" s="21" t="inlineStr">
        <x:is>
          <x:t xml:space="preserve"/>
        </x:is>
      </x:c>
      <x:c r="O269" s="21" t="inlineStr">
        <x:is>
          <x:t xml:space="preserve"/>
        </x:is>
      </x:c>
      <x:c r="P269" s="21" t="inlineStr">
        <x:is>
          <x:t xml:space="preserve"/>
        </x:is>
      </x:c>
      <x:c r="Q269" s="21" t="inlineStr">
        <x:is>
          <x:t xml:space="preserve"/>
        </x:is>
      </x:c>
      <x:c r="R269" s="21" t="inlineStr">
        <x:is>
          <x:t xml:space="preserve"/>
        </x:is>
      </x:c>
      <x:c r="S269" s="22">
        <x:f>IF(H269="","",IFERROR(H269/G269,""))</x:f>
      </x:c>
      <x:c r="T269" s="23">
        <x:f>IF(H269="","",IFERROR((J269+K269+L269+N269)/H269,""))</x:f>
      </x:c>
      <x:c r="U269" s="22">
        <x:f>IF(COUNTA(J269:L269,N269)=0,"",IFERROR(AVERAGE(J269:L269,N269),""))</x:f>
      </x:c>
      <x:c r="V269" s="16" t="inlineStr">
        <x:is>
          <x:t xml:space="preserve"/>
        </x:is>
      </x:c>
    </x:row>
    <x:row r="270">
      <x:c r="A270" s="17" t="inlineStr">
        <x:is>
          <x:t xml:space="preserve">P023</x:t>
        </x:is>
      </x:c>
      <x:c r="B270" s="17" t="n">
        <x:v>2</x:v>
      </x:c>
      <x:c r="C270" s="17" t="inlineStr">
        <x:is>
          <x:t xml:space="preserve">V05</x:t>
        </x:is>
      </x:c>
      <x:c r="D270" s="17" t="inlineStr">
        <x:is>
          <x:t xml:space="preserve">Tutorial</x:t>
        </x:is>
      </x:c>
      <x:c r="E270" s="17" t="inlineStr">
        <x:is>
          <x:t xml:space="preserve">Semantic compression</x:t>
        </x:is>
      </x:c>
      <x:c r="F270" s="17" t="inlineStr">
        <x:is>
          <x:t xml:space="preserve">Audio-on</x:t>
        </x:is>
      </x:c>
      <x:c r="G270" s="24" t="n">
        <x:v>20</x:v>
      </x:c>
      <x:c r="H270" s="24" t="inlineStr">
        <x:is>
          <x:t xml:space="preserve"/>
        </x:is>
      </x:c>
      <x:c r="I270" s="24" t="inlineStr">
        <x:is>
          <x:t xml:space="preserve"/>
        </x:is>
      </x:c>
      <x:c r="J270" s="24" t="inlineStr">
        <x:is>
          <x:t xml:space="preserve"/>
        </x:is>
      </x:c>
      <x:c r="K270" s="24" t="inlineStr">
        <x:is>
          <x:t xml:space="preserve"/>
        </x:is>
      </x:c>
      <x:c r="L270" s="24" t="inlineStr">
        <x:is>
          <x:t xml:space="preserve"/>
        </x:is>
      </x:c>
      <x:c r="M270" s="24" t="inlineStr">
        <x:is>
          <x:t xml:space="preserve"/>
        </x:is>
      </x:c>
      <x:c r="N270" s="24" t="inlineStr">
        <x:is>
          <x:t xml:space="preserve"/>
        </x:is>
      </x:c>
      <x:c r="O270" s="24" t="inlineStr">
        <x:is>
          <x:t xml:space="preserve"/>
        </x:is>
      </x:c>
      <x:c r="P270" s="24" t="inlineStr">
        <x:is>
          <x:t xml:space="preserve"/>
        </x:is>
      </x:c>
      <x:c r="Q270" s="24" t="inlineStr">
        <x:is>
          <x:t xml:space="preserve"/>
        </x:is>
      </x:c>
      <x:c r="R270" s="24" t="inlineStr">
        <x:is>
          <x:t xml:space="preserve"/>
        </x:is>
      </x:c>
      <x:c r="S270" s="25">
        <x:f>IF(H270="","",IFERROR(H270/G270,""))</x:f>
      </x:c>
      <x:c r="T270" s="26">
        <x:f>IF(H270="","",IFERROR((J270+K270+L270+N270)/H270,""))</x:f>
      </x:c>
      <x:c r="U270" s="25">
        <x:f>IF(COUNTA(J270:L270,N270)=0,"",IFERROR(AVERAGE(J270:L270,N270),""))</x:f>
      </x:c>
      <x:c r="V270" s="17" t="inlineStr">
        <x:is>
          <x:t xml:space="preserve"/>
        </x:is>
      </x:c>
    </x:row>
    <x:row r="271">
      <x:c r="A271" s="16" t="inlineStr">
        <x:is>
          <x:t xml:space="preserve">P023</x:t>
        </x:is>
      </x:c>
      <x:c r="B271" s="16" t="n">
        <x:v>3</x:v>
      </x:c>
      <x:c r="C271" s="16" t="inlineStr">
        <x:is>
          <x:t xml:space="preserve">V02</x:t>
        </x:is>
      </x:c>
      <x:c r="D271" s="16" t="inlineStr">
        <x:is>
          <x:t xml:space="preserve">Study</x:t>
        </x:is>
      </x:c>
      <x:c r="E271" s="16" t="inlineStr">
        <x:is>
          <x:t xml:space="preserve">Heavy bionic</x:t>
        </x:is>
      </x:c>
      <x:c r="F271" s="16" t="inlineStr">
        <x:is>
          <x:t xml:space="preserve">Audio-on</x:t>
        </x:is>
      </x:c>
      <x:c r="G271" s="21" t="n">
        <x:v>18</x:v>
      </x:c>
      <x:c r="H271" s="21" t="inlineStr">
        <x:is>
          <x:t xml:space="preserve"/>
        </x:is>
      </x:c>
      <x:c r="I271" s="21" t="inlineStr">
        <x:is>
          <x:t xml:space="preserve"/>
        </x:is>
      </x:c>
      <x:c r="J271" s="21" t="inlineStr">
        <x:is>
          <x:t xml:space="preserve"/>
        </x:is>
      </x:c>
      <x:c r="K271" s="21" t="inlineStr">
        <x:is>
          <x:t xml:space="preserve"/>
        </x:is>
      </x:c>
      <x:c r="L271" s="21" t="inlineStr">
        <x:is>
          <x:t xml:space="preserve"/>
        </x:is>
      </x:c>
      <x:c r="M271" s="21" t="inlineStr">
        <x:is>
          <x:t xml:space="preserve"/>
        </x:is>
      </x:c>
      <x:c r="N271" s="21" t="inlineStr">
        <x:is>
          <x:t xml:space="preserve"/>
        </x:is>
      </x:c>
      <x:c r="O271" s="21" t="inlineStr">
        <x:is>
          <x:t xml:space="preserve"/>
        </x:is>
      </x:c>
      <x:c r="P271" s="21" t="inlineStr">
        <x:is>
          <x:t xml:space="preserve"/>
        </x:is>
      </x:c>
      <x:c r="Q271" s="21" t="inlineStr">
        <x:is>
          <x:t xml:space="preserve"/>
        </x:is>
      </x:c>
      <x:c r="R271" s="21" t="inlineStr">
        <x:is>
          <x:t xml:space="preserve"/>
        </x:is>
      </x:c>
      <x:c r="S271" s="22">
        <x:f>IF(H271="","",IFERROR(H271/G271,""))</x:f>
      </x:c>
      <x:c r="T271" s="23">
        <x:f>IF(H271="","",IFERROR((J271+K271+L271+N271)/H271,""))</x:f>
      </x:c>
      <x:c r="U271" s="22">
        <x:f>IF(COUNTA(J271:L271,N271)=0,"",IFERROR(AVERAGE(J271:L271,N271),""))</x:f>
      </x:c>
      <x:c r="V271" s="16" t="inlineStr">
        <x:is>
          <x:t xml:space="preserve"/>
        </x:is>
      </x:c>
    </x:row>
    <x:row r="272">
      <x:c r="A272" s="17" t="inlineStr">
        <x:is>
          <x:t xml:space="preserve">P023</x:t>
        </x:is>
      </x:c>
      <x:c r="B272" s="17" t="n">
        <x:v>4</x:v>
      </x:c>
      <x:c r="C272" s="17" t="inlineStr">
        <x:is>
          <x:t xml:space="preserve">V10</x:t>
        </x:is>
      </x:c>
      <x:c r="D272" s="17" t="inlineStr">
        <x:is>
          <x:t xml:space="preserve">Product demo</x:t>
        </x:is>
      </x:c>
      <x:c r="E272" s="17" t="inlineStr">
        <x:is>
          <x:t xml:space="preserve">Keyword highlight</x:t>
        </x:is>
      </x:c>
      <x:c r="F272" s="17" t="inlineStr">
        <x:is>
          <x:t xml:space="preserve">Audio-on</x:t>
        </x:is>
      </x:c>
      <x:c r="G272" s="24" t="n">
        <x:v>15</x:v>
      </x:c>
      <x:c r="H272" s="24" t="inlineStr">
        <x:is>
          <x:t xml:space="preserve"/>
        </x:is>
      </x:c>
      <x:c r="I272" s="24" t="inlineStr">
        <x:is>
          <x:t xml:space="preserve"/>
        </x:is>
      </x:c>
      <x:c r="J272" s="24" t="inlineStr">
        <x:is>
          <x:t xml:space="preserve"/>
        </x:is>
      </x:c>
      <x:c r="K272" s="24" t="inlineStr">
        <x:is>
          <x:t xml:space="preserve"/>
        </x:is>
      </x:c>
      <x:c r="L272" s="24" t="inlineStr">
        <x:is>
          <x:t xml:space="preserve"/>
        </x:is>
      </x:c>
      <x:c r="M272" s="24" t="inlineStr">
        <x:is>
          <x:t xml:space="preserve"/>
        </x:is>
      </x:c>
      <x:c r="N272" s="24" t="inlineStr">
        <x:is>
          <x:t xml:space="preserve"/>
        </x:is>
      </x:c>
      <x:c r="O272" s="24" t="inlineStr">
        <x:is>
          <x:t xml:space="preserve"/>
        </x:is>
      </x:c>
      <x:c r="P272" s="24" t="inlineStr">
        <x:is>
          <x:t xml:space="preserve"/>
        </x:is>
      </x:c>
      <x:c r="Q272" s="24" t="inlineStr">
        <x:is>
          <x:t xml:space="preserve"/>
        </x:is>
      </x:c>
      <x:c r="R272" s="24" t="inlineStr">
        <x:is>
          <x:t xml:space="preserve"/>
        </x:is>
      </x:c>
      <x:c r="S272" s="25">
        <x:f>IF(H272="","",IFERROR(H272/G272,""))</x:f>
      </x:c>
      <x:c r="T272" s="26">
        <x:f>IF(H272="","",IFERROR((J272+K272+L272+N272)/H272,""))</x:f>
      </x:c>
      <x:c r="U272" s="25">
        <x:f>IF(COUNTA(J272:L272,N272)=0,"",IFERROR(AVERAGE(J272:L272,N272),""))</x:f>
      </x:c>
      <x:c r="V272" s="17" t="inlineStr">
        <x:is>
          <x:t xml:space="preserve"/>
        </x:is>
      </x:c>
    </x:row>
    <x:row r="273">
      <x:c r="A273" s="16" t="inlineStr">
        <x:is>
          <x:t xml:space="preserve">P023</x:t>
        </x:is>
      </x:c>
      <x:c r="B273" s="16" t="n">
        <x:v>5</x:v>
      </x:c>
      <x:c r="C273" s="16" t="inlineStr">
        <x:is>
          <x:t xml:space="preserve">V04</x:t>
        </x:is>
      </x:c>
      <x:c r="D273" s="16" t="inlineStr">
        <x:is>
          <x:t xml:space="preserve">Finance</x:t>
        </x:is>
      </x:c>
      <x:c r="E273" s="16" t="inlineStr">
        <x:is>
          <x:t xml:space="preserve">Keyword highlight</x:t>
        </x:is>
      </x:c>
      <x:c r="F273" s="16" t="inlineStr">
        <x:is>
          <x:t xml:space="preserve">Audio-on</x:t>
        </x:is>
      </x:c>
      <x:c r="G273" s="21" t="n">
        <x:v>20</x:v>
      </x:c>
      <x:c r="H273" s="21" t="inlineStr">
        <x:is>
          <x:t xml:space="preserve"/>
        </x:is>
      </x:c>
      <x:c r="I273" s="21" t="inlineStr">
        <x:is>
          <x:t xml:space="preserve"/>
        </x:is>
      </x:c>
      <x:c r="J273" s="21" t="inlineStr">
        <x:is>
          <x:t xml:space="preserve"/>
        </x:is>
      </x:c>
      <x:c r="K273" s="21" t="inlineStr">
        <x:is>
          <x:t xml:space="preserve"/>
        </x:is>
      </x:c>
      <x:c r="L273" s="21" t="inlineStr">
        <x:is>
          <x:t xml:space="preserve"/>
        </x:is>
      </x:c>
      <x:c r="M273" s="21" t="inlineStr">
        <x:is>
          <x:t xml:space="preserve"/>
        </x:is>
      </x:c>
      <x:c r="N273" s="21" t="inlineStr">
        <x:is>
          <x:t xml:space="preserve"/>
        </x:is>
      </x:c>
      <x:c r="O273" s="21" t="inlineStr">
        <x:is>
          <x:t xml:space="preserve"/>
        </x:is>
      </x:c>
      <x:c r="P273" s="21" t="inlineStr">
        <x:is>
          <x:t xml:space="preserve"/>
        </x:is>
      </x:c>
      <x:c r="Q273" s="21" t="inlineStr">
        <x:is>
          <x:t xml:space="preserve"/>
        </x:is>
      </x:c>
      <x:c r="R273" s="21" t="inlineStr">
        <x:is>
          <x:t xml:space="preserve"/>
        </x:is>
      </x:c>
      <x:c r="S273" s="22">
        <x:f>IF(H273="","",IFERROR(H273/G273,""))</x:f>
      </x:c>
      <x:c r="T273" s="23">
        <x:f>IF(H273="","",IFERROR((J273+K273+L273+N273)/H273,""))</x:f>
      </x:c>
      <x:c r="U273" s="22">
        <x:f>IF(COUNTA(J273:L273,N273)=0,"",IFERROR(AVERAGE(J273:L273,N273),""))</x:f>
      </x:c>
      <x:c r="V273" s="16" t="inlineStr">
        <x:is>
          <x:t xml:space="preserve"/>
        </x:is>
      </x:c>
    </x:row>
    <x:row r="274">
      <x:c r="A274" s="17" t="inlineStr">
        <x:is>
          <x:t xml:space="preserve">P023</x:t>
        </x:is>
      </x:c>
      <x:c r="B274" s="17" t="n">
        <x:v>6</x:v>
      </x:c>
      <x:c r="C274" s="17" t="inlineStr">
        <x:is>
          <x:t xml:space="preserve">V01</x:t>
        </x:is>
      </x:c>
      <x:c r="D274" s="17" t="inlineStr">
        <x:is>
          <x:t xml:space="preserve">Productivity</x:t>
        </x:is>
      </x:c>
      <x:c r="E274" s="17" t="inlineStr">
        <x:is>
          <x:t xml:space="preserve">BCC+</x:t>
        </x:is>
      </x:c>
      <x:c r="F274" s="17" t="inlineStr">
        <x:is>
          <x:t xml:space="preserve">Audio-on</x:t>
        </x:is>
      </x:c>
      <x:c r="G274" s="24" t="n">
        <x:v>25</x:v>
      </x:c>
      <x:c r="H274" s="24" t="inlineStr">
        <x:is>
          <x:t xml:space="preserve"/>
        </x:is>
      </x:c>
      <x:c r="I274" s="24" t="inlineStr">
        <x:is>
          <x:t xml:space="preserve"/>
        </x:is>
      </x:c>
      <x:c r="J274" s="24" t="inlineStr">
        <x:is>
          <x:t xml:space="preserve"/>
        </x:is>
      </x:c>
      <x:c r="K274" s="24" t="inlineStr">
        <x:is>
          <x:t xml:space="preserve"/>
        </x:is>
      </x:c>
      <x:c r="L274" s="24" t="inlineStr">
        <x:is>
          <x:t xml:space="preserve"/>
        </x:is>
      </x:c>
      <x:c r="M274" s="24" t="inlineStr">
        <x:is>
          <x:t xml:space="preserve"/>
        </x:is>
      </x:c>
      <x:c r="N274" s="24" t="inlineStr">
        <x:is>
          <x:t xml:space="preserve"/>
        </x:is>
      </x:c>
      <x:c r="O274" s="24" t="inlineStr">
        <x:is>
          <x:t xml:space="preserve"/>
        </x:is>
      </x:c>
      <x:c r="P274" s="24" t="inlineStr">
        <x:is>
          <x:t xml:space="preserve"/>
        </x:is>
      </x:c>
      <x:c r="Q274" s="24" t="inlineStr">
        <x:is>
          <x:t xml:space="preserve"/>
        </x:is>
      </x:c>
      <x:c r="R274" s="24" t="inlineStr">
        <x:is>
          <x:t xml:space="preserve"/>
        </x:is>
      </x:c>
      <x:c r="S274" s="25">
        <x:f>IF(H274="","",IFERROR(H274/G274,""))</x:f>
      </x:c>
      <x:c r="T274" s="26">
        <x:f>IF(H274="","",IFERROR((J274+K274+L274+N274)/H274,""))</x:f>
      </x:c>
      <x:c r="U274" s="25">
        <x:f>IF(COUNTA(J274:L274,N274)=0,"",IFERROR(AVERAGE(J274:L274,N274),""))</x:f>
      </x:c>
      <x:c r="V274" s="17" t="inlineStr">
        <x:is>
          <x:t xml:space="preserve"/>
        </x:is>
      </x:c>
    </x:row>
    <x:row r="275">
      <x:c r="A275" s="16" t="inlineStr">
        <x:is>
          <x:t xml:space="preserve">P023</x:t>
        </x:is>
      </x:c>
      <x:c r="B275" s="16" t="n">
        <x:v>7</x:v>
      </x:c>
      <x:c r="C275" s="16" t="inlineStr">
        <x:is>
          <x:t xml:space="preserve">V09</x:t>
        </x:is>
      </x:c>
      <x:c r="D275" s="16" t="inlineStr">
        <x:is>
          <x:t xml:space="preserve">Sleep habit</x:t>
        </x:is>
      </x:c>
      <x:c r="E275" s="16" t="inlineStr">
        <x:is>
          <x:t xml:space="preserve">Full transcript</x:t>
        </x:is>
      </x:c>
      <x:c r="F275" s="16" t="inlineStr">
        <x:is>
          <x:t xml:space="preserve">Audio-on</x:t>
        </x:is>
      </x:c>
      <x:c r="G275" s="21" t="n">
        <x:v>19</x:v>
      </x:c>
      <x:c r="H275" s="21" t="inlineStr">
        <x:is>
          <x:t xml:space="preserve"/>
        </x:is>
      </x:c>
      <x:c r="I275" s="21" t="inlineStr">
        <x:is>
          <x:t xml:space="preserve"/>
        </x:is>
      </x:c>
      <x:c r="J275" s="21" t="inlineStr">
        <x:is>
          <x:t xml:space="preserve"/>
        </x:is>
      </x:c>
      <x:c r="K275" s="21" t="inlineStr">
        <x:is>
          <x:t xml:space="preserve"/>
        </x:is>
      </x:c>
      <x:c r="L275" s="21" t="inlineStr">
        <x:is>
          <x:t xml:space="preserve"/>
        </x:is>
      </x:c>
      <x:c r="M275" s="21" t="inlineStr">
        <x:is>
          <x:t xml:space="preserve"/>
        </x:is>
      </x:c>
      <x:c r="N275" s="21" t="inlineStr">
        <x:is>
          <x:t xml:space="preserve"/>
        </x:is>
      </x:c>
      <x:c r="O275" s="21" t="inlineStr">
        <x:is>
          <x:t xml:space="preserve"/>
        </x:is>
      </x:c>
      <x:c r="P275" s="21" t="inlineStr">
        <x:is>
          <x:t xml:space="preserve"/>
        </x:is>
      </x:c>
      <x:c r="Q275" s="21" t="inlineStr">
        <x:is>
          <x:t xml:space="preserve"/>
        </x:is>
      </x:c>
      <x:c r="R275" s="21" t="inlineStr">
        <x:is>
          <x:t xml:space="preserve"/>
        </x:is>
      </x:c>
      <x:c r="S275" s="22">
        <x:f>IF(H275="","",IFERROR(H275/G275,""))</x:f>
      </x:c>
      <x:c r="T275" s="23">
        <x:f>IF(H275="","",IFERROR((J275+K275+L275+N275)/H275,""))</x:f>
      </x:c>
      <x:c r="U275" s="22">
        <x:f>IF(COUNTA(J275:L275,N275)=0,"",IFERROR(AVERAGE(J275:L275,N275),""))</x:f>
      </x:c>
      <x:c r="V275" s="16" t="inlineStr">
        <x:is>
          <x:t xml:space="preserve"/>
        </x:is>
      </x:c>
    </x:row>
    <x:row r="276">
      <x:c r="A276" s="17" t="inlineStr">
        <x:is>
          <x:t xml:space="preserve">P023</x:t>
        </x:is>
      </x:c>
      <x:c r="B276" s="17" t="n">
        <x:v>8</x:v>
      </x:c>
      <x:c r="C276" s="17" t="inlineStr">
        <x:is>
          <x:t xml:space="preserve">V07</x:t>
        </x:is>
      </x:c>
      <x:c r="D276" s="17" t="inlineStr">
        <x:is>
          <x:t xml:space="preserve">Business</x:t>
        </x:is>
      </x:c>
      <x:c r="E276" s="17" t="inlineStr">
        <x:is>
          <x:t xml:space="preserve">BCC+</x:t>
        </x:is>
      </x:c>
      <x:c r="F276" s="17" t="inlineStr">
        <x:is>
          <x:t xml:space="preserve">Audio-on</x:t>
        </x:is>
      </x:c>
      <x:c r="G276" s="24" t="n">
        <x:v>18</x:v>
      </x:c>
      <x:c r="H276" s="24" t="inlineStr">
        <x:is>
          <x:t xml:space="preserve"/>
        </x:is>
      </x:c>
      <x:c r="I276" s="24" t="inlineStr">
        <x:is>
          <x:t xml:space="preserve"/>
        </x:is>
      </x:c>
      <x:c r="J276" s="24" t="inlineStr">
        <x:is>
          <x:t xml:space="preserve"/>
        </x:is>
      </x:c>
      <x:c r="K276" s="24" t="inlineStr">
        <x:is>
          <x:t xml:space="preserve"/>
        </x:is>
      </x:c>
      <x:c r="L276" s="24" t="inlineStr">
        <x:is>
          <x:t xml:space="preserve"/>
        </x:is>
      </x:c>
      <x:c r="M276" s="24" t="inlineStr">
        <x:is>
          <x:t xml:space="preserve"/>
        </x:is>
      </x:c>
      <x:c r="N276" s="24" t="inlineStr">
        <x:is>
          <x:t xml:space="preserve"/>
        </x:is>
      </x:c>
      <x:c r="O276" s="24" t="inlineStr">
        <x:is>
          <x:t xml:space="preserve"/>
        </x:is>
      </x:c>
      <x:c r="P276" s="24" t="inlineStr">
        <x:is>
          <x:t xml:space="preserve"/>
        </x:is>
      </x:c>
      <x:c r="Q276" s="24" t="inlineStr">
        <x:is>
          <x:t xml:space="preserve"/>
        </x:is>
      </x:c>
      <x:c r="R276" s="24" t="inlineStr">
        <x:is>
          <x:t xml:space="preserve"/>
        </x:is>
      </x:c>
      <x:c r="S276" s="25">
        <x:f>IF(H276="","",IFERROR(H276/G276,""))</x:f>
      </x:c>
      <x:c r="T276" s="26">
        <x:f>IF(H276="","",IFERROR((J276+K276+L276+N276)/H276,""))</x:f>
      </x:c>
      <x:c r="U276" s="25">
        <x:f>IF(COUNTA(J276:L276,N276)=0,"",IFERROR(AVERAGE(J276:L276,N276),""))</x:f>
      </x:c>
      <x:c r="V276" s="17" t="inlineStr">
        <x:is>
          <x:t xml:space="preserve"/>
        </x:is>
      </x:c>
    </x:row>
    <x:row r="277">
      <x:c r="A277" s="16" t="inlineStr">
        <x:is>
          <x:t xml:space="preserve">P023</x:t>
        </x:is>
      </x:c>
      <x:c r="B277" s="16" t="n">
        <x:v>9</x:v>
      </x:c>
      <x:c r="C277" s="16" t="inlineStr">
        <x:is>
          <x:t xml:space="preserve">V03</x:t>
        </x:is>
      </x:c>
      <x:c r="D277" s="16" t="inlineStr">
        <x:is>
          <x:t xml:space="preserve">Fitness</x:t>
        </x:is>
      </x:c>
      <x:c r="E277" s="16" t="inlineStr">
        <x:is>
          <x:t xml:space="preserve">Full transcript</x:t>
        </x:is>
      </x:c>
      <x:c r="F277" s="16" t="inlineStr">
        <x:is>
          <x:t xml:space="preserve">Audio-on</x:t>
        </x:is>
      </x:c>
      <x:c r="G277" s="21" t="n">
        <x:v>18</x:v>
      </x:c>
      <x:c r="H277" s="21" t="inlineStr">
        <x:is>
          <x:t xml:space="preserve"/>
        </x:is>
      </x:c>
      <x:c r="I277" s="21" t="inlineStr">
        <x:is>
          <x:t xml:space="preserve"/>
        </x:is>
      </x:c>
      <x:c r="J277" s="21" t="inlineStr">
        <x:is>
          <x:t xml:space="preserve"/>
        </x:is>
      </x:c>
      <x:c r="K277" s="21" t="inlineStr">
        <x:is>
          <x:t xml:space="preserve"/>
        </x:is>
      </x:c>
      <x:c r="L277" s="21" t="inlineStr">
        <x:is>
          <x:t xml:space="preserve"/>
        </x:is>
      </x:c>
      <x:c r="M277" s="21" t="inlineStr">
        <x:is>
          <x:t xml:space="preserve"/>
        </x:is>
      </x:c>
      <x:c r="N277" s="21" t="inlineStr">
        <x:is>
          <x:t xml:space="preserve"/>
        </x:is>
      </x:c>
      <x:c r="O277" s="21" t="inlineStr">
        <x:is>
          <x:t xml:space="preserve"/>
        </x:is>
      </x:c>
      <x:c r="P277" s="21" t="inlineStr">
        <x:is>
          <x:t xml:space="preserve"/>
        </x:is>
      </x:c>
      <x:c r="Q277" s="21" t="inlineStr">
        <x:is>
          <x:t xml:space="preserve"/>
        </x:is>
      </x:c>
      <x:c r="R277" s="21" t="inlineStr">
        <x:is>
          <x:t xml:space="preserve"/>
        </x:is>
      </x:c>
      <x:c r="S277" s="22">
        <x:f>IF(H277="","",IFERROR(H277/G277,""))</x:f>
      </x:c>
      <x:c r="T277" s="23">
        <x:f>IF(H277="","",IFERROR((J277+K277+L277+N277)/H277,""))</x:f>
      </x:c>
      <x:c r="U277" s="22">
        <x:f>IF(COUNTA(J277:L277,N277)=0,"",IFERROR(AVERAGE(J277:L277,N277),""))</x:f>
      </x:c>
      <x:c r="V277" s="16" t="inlineStr">
        <x:is>
          <x:t xml:space="preserve"/>
        </x:is>
      </x:c>
    </x:row>
    <x:row r="278">
      <x:c r="A278" s="17" t="inlineStr">
        <x:is>
          <x:t xml:space="preserve">P023</x:t>
        </x:is>
      </x:c>
      <x:c r="B278" s="17" t="n">
        <x:v>10</x:v>
      </x:c>
      <x:c r="C278" s="17" t="inlineStr">
        <x:is>
          <x:t xml:space="preserve">V11</x:t>
        </x:is>
      </x:c>
      <x:c r="D278" s="17" t="inlineStr">
        <x:is>
          <x:t xml:space="preserve">Creator strategy</x:t>
        </x:is>
      </x:c>
      <x:c r="E278" s="17" t="inlineStr">
        <x:is>
          <x:t xml:space="preserve">Semantic compression</x:t>
        </x:is>
      </x:c>
      <x:c r="F278" s="17" t="inlineStr">
        <x:is>
          <x:t xml:space="preserve">Audio-on</x:t>
        </x:is>
      </x:c>
      <x:c r="G278" s="24" t="n">
        <x:v>17</x:v>
      </x:c>
      <x:c r="H278" s="24" t="inlineStr">
        <x:is>
          <x:t xml:space="preserve"/>
        </x:is>
      </x:c>
      <x:c r="I278" s="24" t="inlineStr">
        <x:is>
          <x:t xml:space="preserve"/>
        </x:is>
      </x:c>
      <x:c r="J278" s="24" t="inlineStr">
        <x:is>
          <x:t xml:space="preserve"/>
        </x:is>
      </x:c>
      <x:c r="K278" s="24" t="inlineStr">
        <x:is>
          <x:t xml:space="preserve"/>
        </x:is>
      </x:c>
      <x:c r="L278" s="24" t="inlineStr">
        <x:is>
          <x:t xml:space="preserve"/>
        </x:is>
      </x:c>
      <x:c r="M278" s="24" t="inlineStr">
        <x:is>
          <x:t xml:space="preserve"/>
        </x:is>
      </x:c>
      <x:c r="N278" s="24" t="inlineStr">
        <x:is>
          <x:t xml:space="preserve"/>
        </x:is>
      </x:c>
      <x:c r="O278" s="24" t="inlineStr">
        <x:is>
          <x:t xml:space="preserve"/>
        </x:is>
      </x:c>
      <x:c r="P278" s="24" t="inlineStr">
        <x:is>
          <x:t xml:space="preserve"/>
        </x:is>
      </x:c>
      <x:c r="Q278" s="24" t="inlineStr">
        <x:is>
          <x:t xml:space="preserve"/>
        </x:is>
      </x:c>
      <x:c r="R278" s="24" t="inlineStr">
        <x:is>
          <x:t xml:space="preserve"/>
        </x:is>
      </x:c>
      <x:c r="S278" s="25">
        <x:f>IF(H278="","",IFERROR(H278/G278,""))</x:f>
      </x:c>
      <x:c r="T278" s="26">
        <x:f>IF(H278="","",IFERROR((J278+K278+L278+N278)/H278,""))</x:f>
      </x:c>
      <x:c r="U278" s="25">
        <x:f>IF(COUNTA(J278:L278,N278)=0,"",IFERROR(AVERAGE(J278:L278,N278),""))</x:f>
      </x:c>
      <x:c r="V278" s="17" t="inlineStr">
        <x:is>
          <x:t xml:space="preserve"/>
        </x:is>
      </x:c>
    </x:row>
    <x:row r="279">
      <x:c r="A279" s="16" t="inlineStr">
        <x:is>
          <x:t xml:space="preserve">P023</x:t>
        </x:is>
      </x:c>
      <x:c r="B279" s="16" t="n">
        <x:v>11</x:v>
      </x:c>
      <x:c r="C279" s="16" t="inlineStr">
        <x:is>
          <x:t xml:space="preserve">V12</x:t>
        </x:is>
      </x:c>
      <x:c r="D279" s="16" t="inlineStr">
        <x:is>
          <x:t xml:space="preserve">Time management</x:t>
        </x:is>
      </x:c>
      <x:c r="E279" s="16" t="inlineStr">
        <x:is>
          <x:t xml:space="preserve">BCC</x:t>
        </x:is>
      </x:c>
      <x:c r="F279" s="16" t="inlineStr">
        <x:is>
          <x:t xml:space="preserve">Audio-on</x:t>
        </x:is>
      </x:c>
      <x:c r="G279" s="21" t="n">
        <x:v>21</x:v>
      </x:c>
      <x:c r="H279" s="21" t="inlineStr">
        <x:is>
          <x:t xml:space="preserve"/>
        </x:is>
      </x:c>
      <x:c r="I279" s="21" t="inlineStr">
        <x:is>
          <x:t xml:space="preserve"/>
        </x:is>
      </x:c>
      <x:c r="J279" s="21" t="inlineStr">
        <x:is>
          <x:t xml:space="preserve"/>
        </x:is>
      </x:c>
      <x:c r="K279" s="21" t="inlineStr">
        <x:is>
          <x:t xml:space="preserve"/>
        </x:is>
      </x:c>
      <x:c r="L279" s="21" t="inlineStr">
        <x:is>
          <x:t xml:space="preserve"/>
        </x:is>
      </x:c>
      <x:c r="M279" s="21" t="inlineStr">
        <x:is>
          <x:t xml:space="preserve"/>
        </x:is>
      </x:c>
      <x:c r="N279" s="21" t="inlineStr">
        <x:is>
          <x:t xml:space="preserve"/>
        </x:is>
      </x:c>
      <x:c r="O279" s="21" t="inlineStr">
        <x:is>
          <x:t xml:space="preserve"/>
        </x:is>
      </x:c>
      <x:c r="P279" s="21" t="inlineStr">
        <x:is>
          <x:t xml:space="preserve"/>
        </x:is>
      </x:c>
      <x:c r="Q279" s="21" t="inlineStr">
        <x:is>
          <x:t xml:space="preserve"/>
        </x:is>
      </x:c>
      <x:c r="R279" s="21" t="inlineStr">
        <x:is>
          <x:t xml:space="preserve"/>
        </x:is>
      </x:c>
      <x:c r="S279" s="22">
        <x:f>IF(H279="","",IFERROR(H279/G279,""))</x:f>
      </x:c>
      <x:c r="T279" s="23">
        <x:f>IF(H279="","",IFERROR((J279+K279+L279+N279)/H279,""))</x:f>
      </x:c>
      <x:c r="U279" s="22">
        <x:f>IF(COUNTA(J279:L279,N279)=0,"",IFERROR(AVERAGE(J279:L279,N279),""))</x:f>
      </x:c>
      <x:c r="V279" s="16" t="inlineStr">
        <x:is>
          <x:t xml:space="preserve"/>
        </x:is>
      </x:c>
    </x:row>
    <x:row r="280">
      <x:c r="A280" s="17" t="inlineStr">
        <x:is>
          <x:t xml:space="preserve">P023</x:t>
        </x:is>
      </x:c>
      <x:c r="B280" s="17" t="n">
        <x:v>12</x:v>
      </x:c>
      <x:c r="C280" s="17" t="inlineStr">
        <x:is>
          <x:t xml:space="preserve">V08</x:t>
        </x:is>
      </x:c>
      <x:c r="D280" s="17" t="inlineStr">
        <x:is>
          <x:t xml:space="preserve">Coding</x:t>
        </x:is>
      </x:c>
      <x:c r="E280" s="17" t="inlineStr">
        <x:is>
          <x:t xml:space="preserve">Heavy bionic</x:t>
        </x:is>
      </x:c>
      <x:c r="F280" s="17" t="inlineStr">
        <x:is>
          <x:t xml:space="preserve">Audio-on</x:t>
        </x:is>
      </x:c>
      <x:c r="G280" s="24" t="n">
        <x:v>24</x:v>
      </x:c>
      <x:c r="H280" s="24" t="inlineStr">
        <x:is>
          <x:t xml:space="preserve"/>
        </x:is>
      </x:c>
      <x:c r="I280" s="24" t="inlineStr">
        <x:is>
          <x:t xml:space="preserve"/>
        </x:is>
      </x:c>
      <x:c r="J280" s="24" t="inlineStr">
        <x:is>
          <x:t xml:space="preserve"/>
        </x:is>
      </x:c>
      <x:c r="K280" s="24" t="inlineStr">
        <x:is>
          <x:t xml:space="preserve"/>
        </x:is>
      </x:c>
      <x:c r="L280" s="24" t="inlineStr">
        <x:is>
          <x:t xml:space="preserve"/>
        </x:is>
      </x:c>
      <x:c r="M280" s="24" t="inlineStr">
        <x:is>
          <x:t xml:space="preserve"/>
        </x:is>
      </x:c>
      <x:c r="N280" s="24" t="inlineStr">
        <x:is>
          <x:t xml:space="preserve"/>
        </x:is>
      </x:c>
      <x:c r="O280" s="24" t="inlineStr">
        <x:is>
          <x:t xml:space="preserve"/>
        </x:is>
      </x:c>
      <x:c r="P280" s="24" t="inlineStr">
        <x:is>
          <x:t xml:space="preserve"/>
        </x:is>
      </x:c>
      <x:c r="Q280" s="24" t="inlineStr">
        <x:is>
          <x:t xml:space="preserve"/>
        </x:is>
      </x:c>
      <x:c r="R280" s="24" t="inlineStr">
        <x:is>
          <x:t xml:space="preserve"/>
        </x:is>
      </x:c>
      <x:c r="S280" s="25">
        <x:f>IF(H280="","",IFERROR(H280/G280,""))</x:f>
      </x:c>
      <x:c r="T280" s="26">
        <x:f>IF(H280="","",IFERROR((J280+K280+L280+N280)/H280,""))</x:f>
      </x:c>
      <x:c r="U280" s="25">
        <x:f>IF(COUNTA(J280:L280,N280)=0,"",IFERROR(AVERAGE(J280:L280,N280),""))</x:f>
      </x:c>
      <x:c r="V280" s="17" t="inlineStr">
        <x:is>
          <x:t xml:space="preserve"/>
        </x:is>
      </x:c>
    </x:row>
    <x:row r="281">
      <x:c r="A281" s="16" t="inlineStr">
        <x:is>
          <x:t xml:space="preserve">P024</x:t>
        </x:is>
      </x:c>
      <x:c r="B281" s="16" t="n">
        <x:v>1</x:v>
      </x:c>
      <x:c r="C281" s="16" t="inlineStr">
        <x:is>
          <x:t xml:space="preserve">V10</x:t>
        </x:is>
      </x:c>
      <x:c r="D281" s="16" t="inlineStr">
        <x:is>
          <x:t xml:space="preserve">Product demo</x:t>
        </x:is>
      </x:c>
      <x:c r="E281" s="16" t="inlineStr">
        <x:is>
          <x:t xml:space="preserve">Semantic compression</x:t>
        </x:is>
      </x:c>
      <x:c r="F281" s="16" t="inlineStr">
        <x:is>
          <x:t xml:space="preserve">Audio-on</x:t>
        </x:is>
      </x:c>
      <x:c r="G281" s="21" t="n">
        <x:v>15</x:v>
      </x:c>
      <x:c r="H281" s="21" t="inlineStr">
        <x:is>
          <x:t xml:space="preserve"/>
        </x:is>
      </x:c>
      <x:c r="I281" s="21" t="inlineStr">
        <x:is>
          <x:t xml:space="preserve"/>
        </x:is>
      </x:c>
      <x:c r="J281" s="21" t="inlineStr">
        <x:is>
          <x:t xml:space="preserve"/>
        </x:is>
      </x:c>
      <x:c r="K281" s="21" t="inlineStr">
        <x:is>
          <x:t xml:space="preserve"/>
        </x:is>
      </x:c>
      <x:c r="L281" s="21" t="inlineStr">
        <x:is>
          <x:t xml:space="preserve"/>
        </x:is>
      </x:c>
      <x:c r="M281" s="21" t="inlineStr">
        <x:is>
          <x:t xml:space="preserve"/>
        </x:is>
      </x:c>
      <x:c r="N281" s="21" t="inlineStr">
        <x:is>
          <x:t xml:space="preserve"/>
        </x:is>
      </x:c>
      <x:c r="O281" s="21" t="inlineStr">
        <x:is>
          <x:t xml:space="preserve"/>
        </x:is>
      </x:c>
      <x:c r="P281" s="21" t="inlineStr">
        <x:is>
          <x:t xml:space="preserve"/>
        </x:is>
      </x:c>
      <x:c r="Q281" s="21" t="inlineStr">
        <x:is>
          <x:t xml:space="preserve"/>
        </x:is>
      </x:c>
      <x:c r="R281" s="21" t="inlineStr">
        <x:is>
          <x:t xml:space="preserve"/>
        </x:is>
      </x:c>
      <x:c r="S281" s="22">
        <x:f>IF(H281="","",IFERROR(H281/G281,""))</x:f>
      </x:c>
      <x:c r="T281" s="23">
        <x:f>IF(H281="","",IFERROR((J281+K281+L281+N281)/H281,""))</x:f>
      </x:c>
      <x:c r="U281" s="22">
        <x:f>IF(COUNTA(J281:L281,N281)=0,"",IFERROR(AVERAGE(J281:L281,N281),""))</x:f>
      </x:c>
      <x:c r="V281" s="16" t="inlineStr">
        <x:is>
          <x:t xml:space="preserve"/>
        </x:is>
      </x:c>
    </x:row>
    <x:row r="282">
      <x:c r="A282" s="17" t="inlineStr">
        <x:is>
          <x:t xml:space="preserve">P024</x:t>
        </x:is>
      </x:c>
      <x:c r="B282" s="17" t="n">
        <x:v>2</x:v>
      </x:c>
      <x:c r="C282" s="17" t="inlineStr">
        <x:is>
          <x:t xml:space="preserve">V12</x:t>
        </x:is>
      </x:c>
      <x:c r="D282" s="17" t="inlineStr">
        <x:is>
          <x:t xml:space="preserve">Time management</x:t>
        </x:is>
      </x:c>
      <x:c r="E282" s="17" t="inlineStr">
        <x:is>
          <x:t xml:space="preserve">BCC+</x:t>
        </x:is>
      </x:c>
      <x:c r="F282" s="17" t="inlineStr">
        <x:is>
          <x:t xml:space="preserve">Audio-on</x:t>
        </x:is>
      </x:c>
      <x:c r="G282" s="24" t="n">
        <x:v>21</x:v>
      </x:c>
      <x:c r="H282" s="24" t="inlineStr">
        <x:is>
          <x:t xml:space="preserve"/>
        </x:is>
      </x:c>
      <x:c r="I282" s="24" t="inlineStr">
        <x:is>
          <x:t xml:space="preserve"/>
        </x:is>
      </x:c>
      <x:c r="J282" s="24" t="inlineStr">
        <x:is>
          <x:t xml:space="preserve"/>
        </x:is>
      </x:c>
      <x:c r="K282" s="24" t="inlineStr">
        <x:is>
          <x:t xml:space="preserve"/>
        </x:is>
      </x:c>
      <x:c r="L282" s="24" t="inlineStr">
        <x:is>
          <x:t xml:space="preserve"/>
        </x:is>
      </x:c>
      <x:c r="M282" s="24" t="inlineStr">
        <x:is>
          <x:t xml:space="preserve"/>
        </x:is>
      </x:c>
      <x:c r="N282" s="24" t="inlineStr">
        <x:is>
          <x:t xml:space="preserve"/>
        </x:is>
      </x:c>
      <x:c r="O282" s="24" t="inlineStr">
        <x:is>
          <x:t xml:space="preserve"/>
        </x:is>
      </x:c>
      <x:c r="P282" s="24" t="inlineStr">
        <x:is>
          <x:t xml:space="preserve"/>
        </x:is>
      </x:c>
      <x:c r="Q282" s="24" t="inlineStr">
        <x:is>
          <x:t xml:space="preserve"/>
        </x:is>
      </x:c>
      <x:c r="R282" s="24" t="inlineStr">
        <x:is>
          <x:t xml:space="preserve"/>
        </x:is>
      </x:c>
      <x:c r="S282" s="25">
        <x:f>IF(H282="","",IFERROR(H282/G282,""))</x:f>
      </x:c>
      <x:c r="T282" s="26">
        <x:f>IF(H282="","",IFERROR((J282+K282+L282+N282)/H282,""))</x:f>
      </x:c>
      <x:c r="U282" s="25">
        <x:f>IF(COUNTA(J282:L282,N282)=0,"",IFERROR(AVERAGE(J282:L282,N282),""))</x:f>
      </x:c>
      <x:c r="V282" s="17" t="inlineStr">
        <x:is>
          <x:t xml:space="preserve"/>
        </x:is>
      </x:c>
    </x:row>
    <x:row r="283">
      <x:c r="A283" s="16" t="inlineStr">
        <x:is>
          <x:t xml:space="preserve">P024</x:t>
        </x:is>
      </x:c>
      <x:c r="B283" s="16" t="n">
        <x:v>3</x:v>
      </x:c>
      <x:c r="C283" s="16" t="inlineStr">
        <x:is>
          <x:t xml:space="preserve">V11</x:t>
        </x:is>
      </x:c>
      <x:c r="D283" s="16" t="inlineStr">
        <x:is>
          <x:t xml:space="preserve">Creator strategy</x:t>
        </x:is>
      </x:c>
      <x:c r="E283" s="16" t="inlineStr">
        <x:is>
          <x:t xml:space="preserve">BCC</x:t>
        </x:is>
      </x:c>
      <x:c r="F283" s="16" t="inlineStr">
        <x:is>
          <x:t xml:space="preserve">Audio-on</x:t>
        </x:is>
      </x:c>
      <x:c r="G283" s="21" t="n">
        <x:v>17</x:v>
      </x:c>
      <x:c r="H283" s="21" t="inlineStr">
        <x:is>
          <x:t xml:space="preserve"/>
        </x:is>
      </x:c>
      <x:c r="I283" s="21" t="inlineStr">
        <x:is>
          <x:t xml:space="preserve"/>
        </x:is>
      </x:c>
      <x:c r="J283" s="21" t="inlineStr">
        <x:is>
          <x:t xml:space="preserve"/>
        </x:is>
      </x:c>
      <x:c r="K283" s="21" t="inlineStr">
        <x:is>
          <x:t xml:space="preserve"/>
        </x:is>
      </x:c>
      <x:c r="L283" s="21" t="inlineStr">
        <x:is>
          <x:t xml:space="preserve"/>
        </x:is>
      </x:c>
      <x:c r="M283" s="21" t="inlineStr">
        <x:is>
          <x:t xml:space="preserve"/>
        </x:is>
      </x:c>
      <x:c r="N283" s="21" t="inlineStr">
        <x:is>
          <x:t xml:space="preserve"/>
        </x:is>
      </x:c>
      <x:c r="O283" s="21" t="inlineStr">
        <x:is>
          <x:t xml:space="preserve"/>
        </x:is>
      </x:c>
      <x:c r="P283" s="21" t="inlineStr">
        <x:is>
          <x:t xml:space="preserve"/>
        </x:is>
      </x:c>
      <x:c r="Q283" s="21" t="inlineStr">
        <x:is>
          <x:t xml:space="preserve"/>
        </x:is>
      </x:c>
      <x:c r="R283" s="21" t="inlineStr">
        <x:is>
          <x:t xml:space="preserve"/>
        </x:is>
      </x:c>
      <x:c r="S283" s="22">
        <x:f>IF(H283="","",IFERROR(H283/G283,""))</x:f>
      </x:c>
      <x:c r="T283" s="23">
        <x:f>IF(H283="","",IFERROR((J283+K283+L283+N283)/H283,""))</x:f>
      </x:c>
      <x:c r="U283" s="22">
        <x:f>IF(COUNTA(J283:L283,N283)=0,"",IFERROR(AVERAGE(J283:L283,N283),""))</x:f>
      </x:c>
      <x:c r="V283" s="16" t="inlineStr">
        <x:is>
          <x:t xml:space="preserve"/>
        </x:is>
      </x:c>
    </x:row>
    <x:row r="284">
      <x:c r="A284" s="17" t="inlineStr">
        <x:is>
          <x:t xml:space="preserve">P024</x:t>
        </x:is>
      </x:c>
      <x:c r="B284" s="17" t="n">
        <x:v>4</x:v>
      </x:c>
      <x:c r="C284" s="17" t="inlineStr">
        <x:is>
          <x:t xml:space="preserve">V09</x:t>
        </x:is>
      </x:c>
      <x:c r="D284" s="17" t="inlineStr">
        <x:is>
          <x:t xml:space="preserve">Sleep habit</x:t>
        </x:is>
      </x:c>
      <x:c r="E284" s="17" t="inlineStr">
        <x:is>
          <x:t xml:space="preserve">Keyword highlight</x:t>
        </x:is>
      </x:c>
      <x:c r="F284" s="17" t="inlineStr">
        <x:is>
          <x:t xml:space="preserve">Audio-on</x:t>
        </x:is>
      </x:c>
      <x:c r="G284" s="24" t="n">
        <x:v>19</x:v>
      </x:c>
      <x:c r="H284" s="24" t="inlineStr">
        <x:is>
          <x:t xml:space="preserve"/>
        </x:is>
      </x:c>
      <x:c r="I284" s="24" t="inlineStr">
        <x:is>
          <x:t xml:space="preserve"/>
        </x:is>
      </x:c>
      <x:c r="J284" s="24" t="inlineStr">
        <x:is>
          <x:t xml:space="preserve"/>
        </x:is>
      </x:c>
      <x:c r="K284" s="24" t="inlineStr">
        <x:is>
          <x:t xml:space="preserve"/>
        </x:is>
      </x:c>
      <x:c r="L284" s="24" t="inlineStr">
        <x:is>
          <x:t xml:space="preserve"/>
        </x:is>
      </x:c>
      <x:c r="M284" s="24" t="inlineStr">
        <x:is>
          <x:t xml:space="preserve"/>
        </x:is>
      </x:c>
      <x:c r="N284" s="24" t="inlineStr">
        <x:is>
          <x:t xml:space="preserve"/>
        </x:is>
      </x:c>
      <x:c r="O284" s="24" t="inlineStr">
        <x:is>
          <x:t xml:space="preserve"/>
        </x:is>
      </x:c>
      <x:c r="P284" s="24" t="inlineStr">
        <x:is>
          <x:t xml:space="preserve"/>
        </x:is>
      </x:c>
      <x:c r="Q284" s="24" t="inlineStr">
        <x:is>
          <x:t xml:space="preserve"/>
        </x:is>
      </x:c>
      <x:c r="R284" s="24" t="inlineStr">
        <x:is>
          <x:t xml:space="preserve"/>
        </x:is>
      </x:c>
      <x:c r="S284" s="25">
        <x:f>IF(H284="","",IFERROR(H284/G284,""))</x:f>
      </x:c>
      <x:c r="T284" s="26">
        <x:f>IF(H284="","",IFERROR((J284+K284+L284+N284)/H284,""))</x:f>
      </x:c>
      <x:c r="U284" s="25">
        <x:f>IF(COUNTA(J284:L284,N284)=0,"",IFERROR(AVERAGE(J284:L284,N284),""))</x:f>
      </x:c>
      <x:c r="V284" s="17" t="inlineStr">
        <x:is>
          <x:t xml:space="preserve"/>
        </x:is>
      </x:c>
    </x:row>
    <x:row r="285">
      <x:c r="A285" s="16" t="inlineStr">
        <x:is>
          <x:t xml:space="preserve">P024</x:t>
        </x:is>
      </x:c>
      <x:c r="B285" s="16" t="n">
        <x:v>5</x:v>
      </x:c>
      <x:c r="C285" s="16" t="inlineStr">
        <x:is>
          <x:t xml:space="preserve">V03</x:t>
        </x:is>
      </x:c>
      <x:c r="D285" s="16" t="inlineStr">
        <x:is>
          <x:t xml:space="preserve">Fitness</x:t>
        </x:is>
      </x:c>
      <x:c r="E285" s="16" t="inlineStr">
        <x:is>
          <x:t xml:space="preserve">Keyword highlight</x:t>
        </x:is>
      </x:c>
      <x:c r="F285" s="16" t="inlineStr">
        <x:is>
          <x:t xml:space="preserve">Audio-on</x:t>
        </x:is>
      </x:c>
      <x:c r="G285" s="21" t="n">
        <x:v>18</x:v>
      </x:c>
      <x:c r="H285" s="21" t="inlineStr">
        <x:is>
          <x:t xml:space="preserve"/>
        </x:is>
      </x:c>
      <x:c r="I285" s="21" t="inlineStr">
        <x:is>
          <x:t xml:space="preserve"/>
        </x:is>
      </x:c>
      <x:c r="J285" s="21" t="inlineStr">
        <x:is>
          <x:t xml:space="preserve"/>
        </x:is>
      </x:c>
      <x:c r="K285" s="21" t="inlineStr">
        <x:is>
          <x:t xml:space="preserve"/>
        </x:is>
      </x:c>
      <x:c r="L285" s="21" t="inlineStr">
        <x:is>
          <x:t xml:space="preserve"/>
        </x:is>
      </x:c>
      <x:c r="M285" s="21" t="inlineStr">
        <x:is>
          <x:t xml:space="preserve"/>
        </x:is>
      </x:c>
      <x:c r="N285" s="21" t="inlineStr">
        <x:is>
          <x:t xml:space="preserve"/>
        </x:is>
      </x:c>
      <x:c r="O285" s="21" t="inlineStr">
        <x:is>
          <x:t xml:space="preserve"/>
        </x:is>
      </x:c>
      <x:c r="P285" s="21" t="inlineStr">
        <x:is>
          <x:t xml:space="preserve"/>
        </x:is>
      </x:c>
      <x:c r="Q285" s="21" t="inlineStr">
        <x:is>
          <x:t xml:space="preserve"/>
        </x:is>
      </x:c>
      <x:c r="R285" s="21" t="inlineStr">
        <x:is>
          <x:t xml:space="preserve"/>
        </x:is>
      </x:c>
      <x:c r="S285" s="22">
        <x:f>IF(H285="","",IFERROR(H285/G285,""))</x:f>
      </x:c>
      <x:c r="T285" s="23">
        <x:f>IF(H285="","",IFERROR((J285+K285+L285+N285)/H285,""))</x:f>
      </x:c>
      <x:c r="U285" s="22">
        <x:f>IF(COUNTA(J285:L285,N285)=0,"",IFERROR(AVERAGE(J285:L285,N285),""))</x:f>
      </x:c>
      <x:c r="V285" s="16" t="inlineStr">
        <x:is>
          <x:t xml:space="preserve"/>
        </x:is>
      </x:c>
    </x:row>
    <x:row r="286">
      <x:c r="A286" s="17" t="inlineStr">
        <x:is>
          <x:t xml:space="preserve">P024</x:t>
        </x:is>
      </x:c>
      <x:c r="B286" s="17" t="n">
        <x:v>6</x:v>
      </x:c>
      <x:c r="C286" s="17" t="inlineStr">
        <x:is>
          <x:t xml:space="preserve">V05</x:t>
        </x:is>
      </x:c>
      <x:c r="D286" s="17" t="inlineStr">
        <x:is>
          <x:t xml:space="preserve">Tutorial</x:t>
        </x:is>
      </x:c>
      <x:c r="E286" s="17" t="inlineStr">
        <x:is>
          <x:t xml:space="preserve">BCC</x:t>
        </x:is>
      </x:c>
      <x:c r="F286" s="17" t="inlineStr">
        <x:is>
          <x:t xml:space="preserve">Audio-on</x:t>
        </x:is>
      </x:c>
      <x:c r="G286" s="24" t="n">
        <x:v>20</x:v>
      </x:c>
      <x:c r="H286" s="24" t="inlineStr">
        <x:is>
          <x:t xml:space="preserve"/>
        </x:is>
      </x:c>
      <x:c r="I286" s="24" t="inlineStr">
        <x:is>
          <x:t xml:space="preserve"/>
        </x:is>
      </x:c>
      <x:c r="J286" s="24" t="inlineStr">
        <x:is>
          <x:t xml:space="preserve"/>
        </x:is>
      </x:c>
      <x:c r="K286" s="24" t="inlineStr">
        <x:is>
          <x:t xml:space="preserve"/>
        </x:is>
      </x:c>
      <x:c r="L286" s="24" t="inlineStr">
        <x:is>
          <x:t xml:space="preserve"/>
        </x:is>
      </x:c>
      <x:c r="M286" s="24" t="inlineStr">
        <x:is>
          <x:t xml:space="preserve"/>
        </x:is>
      </x:c>
      <x:c r="N286" s="24" t="inlineStr">
        <x:is>
          <x:t xml:space="preserve"/>
        </x:is>
      </x:c>
      <x:c r="O286" s="24" t="inlineStr">
        <x:is>
          <x:t xml:space="preserve"/>
        </x:is>
      </x:c>
      <x:c r="P286" s="24" t="inlineStr">
        <x:is>
          <x:t xml:space="preserve"/>
        </x:is>
      </x:c>
      <x:c r="Q286" s="24" t="inlineStr">
        <x:is>
          <x:t xml:space="preserve"/>
        </x:is>
      </x:c>
      <x:c r="R286" s="24" t="inlineStr">
        <x:is>
          <x:t xml:space="preserve"/>
        </x:is>
      </x:c>
      <x:c r="S286" s="25">
        <x:f>IF(H286="","",IFERROR(H286/G286,""))</x:f>
      </x:c>
      <x:c r="T286" s="26">
        <x:f>IF(H286="","",IFERROR((J286+K286+L286+N286)/H286,""))</x:f>
      </x:c>
      <x:c r="U286" s="25">
        <x:f>IF(COUNTA(J286:L286,N286)=0,"",IFERROR(AVERAGE(J286:L286,N286),""))</x:f>
      </x:c>
      <x:c r="V286" s="17" t="inlineStr">
        <x:is>
          <x:t xml:space="preserve"/>
        </x:is>
      </x:c>
    </x:row>
    <x:row r="287">
      <x:c r="A287" s="16" t="inlineStr">
        <x:is>
          <x:t xml:space="preserve">P024</x:t>
        </x:is>
      </x:c>
      <x:c r="B287" s="16" t="n">
        <x:v>7</x:v>
      </x:c>
      <x:c r="C287" s="16" t="inlineStr">
        <x:is>
          <x:t xml:space="preserve">V04</x:t>
        </x:is>
      </x:c>
      <x:c r="D287" s="16" t="inlineStr">
        <x:is>
          <x:t xml:space="preserve">Finance</x:t>
        </x:is>
      </x:c>
      <x:c r="E287" s="16" t="inlineStr">
        <x:is>
          <x:t xml:space="preserve">Semantic compression</x:t>
        </x:is>
      </x:c>
      <x:c r="F287" s="16" t="inlineStr">
        <x:is>
          <x:t xml:space="preserve">Audio-on</x:t>
        </x:is>
      </x:c>
      <x:c r="G287" s="21" t="n">
        <x:v>20</x:v>
      </x:c>
      <x:c r="H287" s="21" t="inlineStr">
        <x:is>
          <x:t xml:space="preserve"/>
        </x:is>
      </x:c>
      <x:c r="I287" s="21" t="inlineStr">
        <x:is>
          <x:t xml:space="preserve"/>
        </x:is>
      </x:c>
      <x:c r="J287" s="21" t="inlineStr">
        <x:is>
          <x:t xml:space="preserve"/>
        </x:is>
      </x:c>
      <x:c r="K287" s="21" t="inlineStr">
        <x:is>
          <x:t xml:space="preserve"/>
        </x:is>
      </x:c>
      <x:c r="L287" s="21" t="inlineStr">
        <x:is>
          <x:t xml:space="preserve"/>
        </x:is>
      </x:c>
      <x:c r="M287" s="21" t="inlineStr">
        <x:is>
          <x:t xml:space="preserve"/>
        </x:is>
      </x:c>
      <x:c r="N287" s="21" t="inlineStr">
        <x:is>
          <x:t xml:space="preserve"/>
        </x:is>
      </x:c>
      <x:c r="O287" s="21" t="inlineStr">
        <x:is>
          <x:t xml:space="preserve"/>
        </x:is>
      </x:c>
      <x:c r="P287" s="21" t="inlineStr">
        <x:is>
          <x:t xml:space="preserve"/>
        </x:is>
      </x:c>
      <x:c r="Q287" s="21" t="inlineStr">
        <x:is>
          <x:t xml:space="preserve"/>
        </x:is>
      </x:c>
      <x:c r="R287" s="21" t="inlineStr">
        <x:is>
          <x:t xml:space="preserve"/>
        </x:is>
      </x:c>
      <x:c r="S287" s="22">
        <x:f>IF(H287="","",IFERROR(H287/G287,""))</x:f>
      </x:c>
      <x:c r="T287" s="23">
        <x:f>IF(H287="","",IFERROR((J287+K287+L287+N287)/H287,""))</x:f>
      </x:c>
      <x:c r="U287" s="22">
        <x:f>IF(COUNTA(J287:L287,N287)=0,"",IFERROR(AVERAGE(J287:L287,N287),""))</x:f>
      </x:c>
      <x:c r="V287" s="16" t="inlineStr">
        <x:is>
          <x:t xml:space="preserve"/>
        </x:is>
      </x:c>
    </x:row>
    <x:row r="288">
      <x:c r="A288" s="17" t="inlineStr">
        <x:is>
          <x:t xml:space="preserve">P024</x:t>
        </x:is>
      </x:c>
      <x:c r="B288" s="17" t="n">
        <x:v>8</x:v>
      </x:c>
      <x:c r="C288" s="17" t="inlineStr">
        <x:is>
          <x:t xml:space="preserve">V02</x:t>
        </x:is>
      </x:c>
      <x:c r="D288" s="17" t="inlineStr">
        <x:is>
          <x:t xml:space="preserve">Study</x:t>
        </x:is>
      </x:c>
      <x:c r="E288" s="17" t="inlineStr">
        <x:is>
          <x:t xml:space="preserve">Full transcript</x:t>
        </x:is>
      </x:c>
      <x:c r="F288" s="17" t="inlineStr">
        <x:is>
          <x:t xml:space="preserve">Audio-on</x:t>
        </x:is>
      </x:c>
      <x:c r="G288" s="24" t="n">
        <x:v>18</x:v>
      </x:c>
      <x:c r="H288" s="24" t="inlineStr">
        <x:is>
          <x:t xml:space="preserve"/>
        </x:is>
      </x:c>
      <x:c r="I288" s="24" t="inlineStr">
        <x:is>
          <x:t xml:space="preserve"/>
        </x:is>
      </x:c>
      <x:c r="J288" s="24" t="inlineStr">
        <x:is>
          <x:t xml:space="preserve"/>
        </x:is>
      </x:c>
      <x:c r="K288" s="24" t="inlineStr">
        <x:is>
          <x:t xml:space="preserve"/>
        </x:is>
      </x:c>
      <x:c r="L288" s="24" t="inlineStr">
        <x:is>
          <x:t xml:space="preserve"/>
        </x:is>
      </x:c>
      <x:c r="M288" s="24" t="inlineStr">
        <x:is>
          <x:t xml:space="preserve"/>
        </x:is>
      </x:c>
      <x:c r="N288" s="24" t="inlineStr">
        <x:is>
          <x:t xml:space="preserve"/>
        </x:is>
      </x:c>
      <x:c r="O288" s="24" t="inlineStr">
        <x:is>
          <x:t xml:space="preserve"/>
        </x:is>
      </x:c>
      <x:c r="P288" s="24" t="inlineStr">
        <x:is>
          <x:t xml:space="preserve"/>
        </x:is>
      </x:c>
      <x:c r="Q288" s="24" t="inlineStr">
        <x:is>
          <x:t xml:space="preserve"/>
        </x:is>
      </x:c>
      <x:c r="R288" s="24" t="inlineStr">
        <x:is>
          <x:t xml:space="preserve"/>
        </x:is>
      </x:c>
      <x:c r="S288" s="25">
        <x:f>IF(H288="","",IFERROR(H288/G288,""))</x:f>
      </x:c>
      <x:c r="T288" s="26">
        <x:f>IF(H288="","",IFERROR((J288+K288+L288+N288)/H288,""))</x:f>
      </x:c>
      <x:c r="U288" s="25">
        <x:f>IF(COUNTA(J288:L288,N288)=0,"",IFERROR(AVERAGE(J288:L288,N288),""))</x:f>
      </x:c>
      <x:c r="V288" s="17" t="inlineStr">
        <x:is>
          <x:t xml:space="preserve"/>
        </x:is>
      </x:c>
    </x:row>
    <x:row r="289">
      <x:c r="A289" s="16" t="inlineStr">
        <x:is>
          <x:t xml:space="preserve">P024</x:t>
        </x:is>
      </x:c>
      <x:c r="B289" s="16" t="n">
        <x:v>9</x:v>
      </x:c>
      <x:c r="C289" s="16" t="inlineStr">
        <x:is>
          <x:t xml:space="preserve">V06</x:t>
        </x:is>
      </x:c>
      <x:c r="D289" s="16" t="inlineStr">
        <x:is>
          <x:t xml:space="preserve">Overload</x:t>
        </x:is>
      </x:c>
      <x:c r="E289" s="16" t="inlineStr">
        <x:is>
          <x:t xml:space="preserve">BCC+</x:t>
        </x:is>
      </x:c>
      <x:c r="F289" s="16" t="inlineStr">
        <x:is>
          <x:t xml:space="preserve">Audio-on</x:t>
        </x:is>
      </x:c>
      <x:c r="G289" s="21" t="n">
        <x:v>16</x:v>
      </x:c>
      <x:c r="H289" s="21" t="inlineStr">
        <x:is>
          <x:t xml:space="preserve"/>
        </x:is>
      </x:c>
      <x:c r="I289" s="21" t="inlineStr">
        <x:is>
          <x:t xml:space="preserve"/>
        </x:is>
      </x:c>
      <x:c r="J289" s="21" t="inlineStr">
        <x:is>
          <x:t xml:space="preserve"/>
        </x:is>
      </x:c>
      <x:c r="K289" s="21" t="inlineStr">
        <x:is>
          <x:t xml:space="preserve"/>
        </x:is>
      </x:c>
      <x:c r="L289" s="21" t="inlineStr">
        <x:is>
          <x:t xml:space="preserve"/>
        </x:is>
      </x:c>
      <x:c r="M289" s="21" t="inlineStr">
        <x:is>
          <x:t xml:space="preserve"/>
        </x:is>
      </x:c>
      <x:c r="N289" s="21" t="inlineStr">
        <x:is>
          <x:t xml:space="preserve"/>
        </x:is>
      </x:c>
      <x:c r="O289" s="21" t="inlineStr">
        <x:is>
          <x:t xml:space="preserve"/>
        </x:is>
      </x:c>
      <x:c r="P289" s="21" t="inlineStr">
        <x:is>
          <x:t xml:space="preserve"/>
        </x:is>
      </x:c>
      <x:c r="Q289" s="21" t="inlineStr">
        <x:is>
          <x:t xml:space="preserve"/>
        </x:is>
      </x:c>
      <x:c r="R289" s="21" t="inlineStr">
        <x:is>
          <x:t xml:space="preserve"/>
        </x:is>
      </x:c>
      <x:c r="S289" s="22">
        <x:f>IF(H289="","",IFERROR(H289/G289,""))</x:f>
      </x:c>
      <x:c r="T289" s="23">
        <x:f>IF(H289="","",IFERROR((J289+K289+L289+N289)/H289,""))</x:f>
      </x:c>
      <x:c r="U289" s="22">
        <x:f>IF(COUNTA(J289:L289,N289)=0,"",IFERROR(AVERAGE(J289:L289,N289),""))</x:f>
      </x:c>
      <x:c r="V289" s="16" t="inlineStr">
        <x:is>
          <x:t xml:space="preserve"/>
        </x:is>
      </x:c>
    </x:row>
    <x:row r="290">
      <x:c r="A290" s="17" t="inlineStr">
        <x:is>
          <x:t xml:space="preserve">P024</x:t>
        </x:is>
      </x:c>
      <x:c r="B290" s="17" t="n">
        <x:v>10</x:v>
      </x:c>
      <x:c r="C290" s="17" t="inlineStr">
        <x:is>
          <x:t xml:space="preserve">V07</x:t>
        </x:is>
      </x:c>
      <x:c r="D290" s="17" t="inlineStr">
        <x:is>
          <x:t xml:space="preserve">Business</x:t>
        </x:is>
      </x:c>
      <x:c r="E290" s="17" t="inlineStr">
        <x:is>
          <x:t xml:space="preserve">Heavy bionic</x:t>
        </x:is>
      </x:c>
      <x:c r="F290" s="17" t="inlineStr">
        <x:is>
          <x:t xml:space="preserve">Audio-on</x:t>
        </x:is>
      </x:c>
      <x:c r="G290" s="24" t="n">
        <x:v>18</x:v>
      </x:c>
      <x:c r="H290" s="24" t="inlineStr">
        <x:is>
          <x:t xml:space="preserve"/>
        </x:is>
      </x:c>
      <x:c r="I290" s="24" t="inlineStr">
        <x:is>
          <x:t xml:space="preserve"/>
        </x:is>
      </x:c>
      <x:c r="J290" s="24" t="inlineStr">
        <x:is>
          <x:t xml:space="preserve"/>
        </x:is>
      </x:c>
      <x:c r="K290" s="24" t="inlineStr">
        <x:is>
          <x:t xml:space="preserve"/>
        </x:is>
      </x:c>
      <x:c r="L290" s="24" t="inlineStr">
        <x:is>
          <x:t xml:space="preserve"/>
        </x:is>
      </x:c>
      <x:c r="M290" s="24" t="inlineStr">
        <x:is>
          <x:t xml:space="preserve"/>
        </x:is>
      </x:c>
      <x:c r="N290" s="24" t="inlineStr">
        <x:is>
          <x:t xml:space="preserve"/>
        </x:is>
      </x:c>
      <x:c r="O290" s="24" t="inlineStr">
        <x:is>
          <x:t xml:space="preserve"/>
        </x:is>
      </x:c>
      <x:c r="P290" s="24" t="inlineStr">
        <x:is>
          <x:t xml:space="preserve"/>
        </x:is>
      </x:c>
      <x:c r="Q290" s="24" t="inlineStr">
        <x:is>
          <x:t xml:space="preserve"/>
        </x:is>
      </x:c>
      <x:c r="R290" s="24" t="inlineStr">
        <x:is>
          <x:t xml:space="preserve"/>
        </x:is>
      </x:c>
      <x:c r="S290" s="25">
        <x:f>IF(H290="","",IFERROR(H290/G290,""))</x:f>
      </x:c>
      <x:c r="T290" s="26">
        <x:f>IF(H290="","",IFERROR((J290+K290+L290+N290)/H290,""))</x:f>
      </x:c>
      <x:c r="U290" s="25">
        <x:f>IF(COUNTA(J290:L290,N290)=0,"",IFERROR(AVERAGE(J290:L290,N290),""))</x:f>
      </x:c>
      <x:c r="V290" s="17" t="inlineStr">
        <x:is>
          <x:t xml:space="preserve"/>
        </x:is>
      </x:c>
    </x:row>
    <x:row r="291">
      <x:c r="A291" s="16" t="inlineStr">
        <x:is>
          <x:t xml:space="preserve">P024</x:t>
        </x:is>
      </x:c>
      <x:c r="B291" s="16" t="n">
        <x:v>11</x:v>
      </x:c>
      <x:c r="C291" s="16" t="inlineStr">
        <x:is>
          <x:t xml:space="preserve">V08</x:t>
        </x:is>
      </x:c>
      <x:c r="D291" s="16" t="inlineStr">
        <x:is>
          <x:t xml:space="preserve">Coding</x:t>
        </x:is>
      </x:c>
      <x:c r="E291" s="16" t="inlineStr">
        <x:is>
          <x:t xml:space="preserve">Full transcript</x:t>
        </x:is>
      </x:c>
      <x:c r="F291" s="16" t="inlineStr">
        <x:is>
          <x:t xml:space="preserve">Audio-on</x:t>
        </x:is>
      </x:c>
      <x:c r="G291" s="21" t="n">
        <x:v>24</x:v>
      </x:c>
      <x:c r="H291" s="21" t="inlineStr">
        <x:is>
          <x:t xml:space="preserve"/>
        </x:is>
      </x:c>
      <x:c r="I291" s="21" t="inlineStr">
        <x:is>
          <x:t xml:space="preserve"/>
        </x:is>
      </x:c>
      <x:c r="J291" s="21" t="inlineStr">
        <x:is>
          <x:t xml:space="preserve"/>
        </x:is>
      </x:c>
      <x:c r="K291" s="21" t="inlineStr">
        <x:is>
          <x:t xml:space="preserve"/>
        </x:is>
      </x:c>
      <x:c r="L291" s="21" t="inlineStr">
        <x:is>
          <x:t xml:space="preserve"/>
        </x:is>
      </x:c>
      <x:c r="M291" s="21" t="inlineStr">
        <x:is>
          <x:t xml:space="preserve"/>
        </x:is>
      </x:c>
      <x:c r="N291" s="21" t="inlineStr">
        <x:is>
          <x:t xml:space="preserve"/>
        </x:is>
      </x:c>
      <x:c r="O291" s="21" t="inlineStr">
        <x:is>
          <x:t xml:space="preserve"/>
        </x:is>
      </x:c>
      <x:c r="P291" s="21" t="inlineStr">
        <x:is>
          <x:t xml:space="preserve"/>
        </x:is>
      </x:c>
      <x:c r="Q291" s="21" t="inlineStr">
        <x:is>
          <x:t xml:space="preserve"/>
        </x:is>
      </x:c>
      <x:c r="R291" s="21" t="inlineStr">
        <x:is>
          <x:t xml:space="preserve"/>
        </x:is>
      </x:c>
      <x:c r="S291" s="22">
        <x:f>IF(H291="","",IFERROR(H291/G291,""))</x:f>
      </x:c>
      <x:c r="T291" s="23">
        <x:f>IF(H291="","",IFERROR((J291+K291+L291+N291)/H291,""))</x:f>
      </x:c>
      <x:c r="U291" s="22">
        <x:f>IF(COUNTA(J291:L291,N291)=0,"",IFERROR(AVERAGE(J291:L291,N291),""))</x:f>
      </x:c>
      <x:c r="V291" s="16" t="inlineStr">
        <x:is>
          <x:t xml:space="preserve"/>
        </x:is>
      </x:c>
    </x:row>
    <x:row r="292">
      <x:c r="A292" s="17" t="inlineStr">
        <x:is>
          <x:t xml:space="preserve">P024</x:t>
        </x:is>
      </x:c>
      <x:c r="B292" s="17" t="n">
        <x:v>12</x:v>
      </x:c>
      <x:c r="C292" s="17" t="inlineStr">
        <x:is>
          <x:t xml:space="preserve">V01</x:t>
        </x:is>
      </x:c>
      <x:c r="D292" s="17" t="inlineStr">
        <x:is>
          <x:t xml:space="preserve">Productivity</x:t>
        </x:is>
      </x:c>
      <x:c r="E292" s="17" t="inlineStr">
        <x:is>
          <x:t xml:space="preserve">Heavy bionic</x:t>
        </x:is>
      </x:c>
      <x:c r="F292" s="17" t="inlineStr">
        <x:is>
          <x:t xml:space="preserve">Audio-on</x:t>
        </x:is>
      </x:c>
      <x:c r="G292" s="24" t="n">
        <x:v>25</x:v>
      </x:c>
      <x:c r="H292" s="24" t="inlineStr">
        <x:is>
          <x:t xml:space="preserve"/>
        </x:is>
      </x:c>
      <x:c r="I292" s="24" t="inlineStr">
        <x:is>
          <x:t xml:space="preserve"/>
        </x:is>
      </x:c>
      <x:c r="J292" s="24" t="inlineStr">
        <x:is>
          <x:t xml:space="preserve"/>
        </x:is>
      </x:c>
      <x:c r="K292" s="24" t="inlineStr">
        <x:is>
          <x:t xml:space="preserve"/>
        </x:is>
      </x:c>
      <x:c r="L292" s="24" t="inlineStr">
        <x:is>
          <x:t xml:space="preserve"/>
        </x:is>
      </x:c>
      <x:c r="M292" s="24" t="inlineStr">
        <x:is>
          <x:t xml:space="preserve"/>
        </x:is>
      </x:c>
      <x:c r="N292" s="24" t="inlineStr">
        <x:is>
          <x:t xml:space="preserve"/>
        </x:is>
      </x:c>
      <x:c r="O292" s="24" t="inlineStr">
        <x:is>
          <x:t xml:space="preserve"/>
        </x:is>
      </x:c>
      <x:c r="P292" s="24" t="inlineStr">
        <x:is>
          <x:t xml:space="preserve"/>
        </x:is>
      </x:c>
      <x:c r="Q292" s="24" t="inlineStr">
        <x:is>
          <x:t xml:space="preserve"/>
        </x:is>
      </x:c>
      <x:c r="R292" s="24" t="inlineStr">
        <x:is>
          <x:t xml:space="preserve"/>
        </x:is>
      </x:c>
      <x:c r="S292" s="25">
        <x:f>IF(H292="","",IFERROR(H292/G292,""))</x:f>
      </x:c>
      <x:c r="T292" s="26">
        <x:f>IF(H292="","",IFERROR((J292+K292+L292+N292)/H292,""))</x:f>
      </x:c>
      <x:c r="U292" s="25">
        <x:f>IF(COUNTA(J292:L292,N292)=0,"",IFERROR(AVERAGE(J292:L292,N292),""))</x:f>
      </x:c>
      <x:c r="V292" s="17" t="inlineStr">
        <x:is>
          <x:t xml:space="preserve"/>
        </x:is>
      </x:c>
    </x:row>
    <x:row r="293">
      <x:c r="A293" s="16" t="inlineStr">
        <x:is>
          <x:t xml:space="preserve">P025</x:t>
        </x:is>
      </x:c>
      <x:c r="B293" s="16" t="n">
        <x:v>1</x:v>
      </x:c>
      <x:c r="C293" s="16" t="inlineStr">
        <x:is>
          <x:t xml:space="preserve">V10</x:t>
        </x:is>
      </x:c>
      <x:c r="D293" s="16" t="inlineStr">
        <x:is>
          <x:t xml:space="preserve">Product demo</x:t>
        </x:is>
      </x:c>
      <x:c r="E293" s="16" t="inlineStr">
        <x:is>
          <x:t xml:space="preserve">BCC</x:t>
        </x:is>
      </x:c>
      <x:c r="F293" s="16" t="inlineStr">
        <x:is>
          <x:t xml:space="preserve">Muted</x:t>
        </x:is>
      </x:c>
      <x:c r="G293" s="21" t="n">
        <x:v>15</x:v>
      </x:c>
      <x:c r="H293" s="21" t="inlineStr">
        <x:is>
          <x:t xml:space="preserve"/>
        </x:is>
      </x:c>
      <x:c r="I293" s="21" t="inlineStr">
        <x:is>
          <x:t xml:space="preserve"/>
        </x:is>
      </x:c>
      <x:c r="J293" s="21" t="inlineStr">
        <x:is>
          <x:t xml:space="preserve"/>
        </x:is>
      </x:c>
      <x:c r="K293" s="21" t="inlineStr">
        <x:is>
          <x:t xml:space="preserve"/>
        </x:is>
      </x:c>
      <x:c r="L293" s="21" t="inlineStr">
        <x:is>
          <x:t xml:space="preserve"/>
        </x:is>
      </x:c>
      <x:c r="M293" s="21" t="inlineStr">
        <x:is>
          <x:t xml:space="preserve"/>
        </x:is>
      </x:c>
      <x:c r="N293" s="21" t="inlineStr">
        <x:is>
          <x:t xml:space="preserve"/>
        </x:is>
      </x:c>
      <x:c r="O293" s="21" t="inlineStr">
        <x:is>
          <x:t xml:space="preserve"/>
        </x:is>
      </x:c>
      <x:c r="P293" s="21" t="inlineStr">
        <x:is>
          <x:t xml:space="preserve"/>
        </x:is>
      </x:c>
      <x:c r="Q293" s="21" t="inlineStr">
        <x:is>
          <x:t xml:space="preserve"/>
        </x:is>
      </x:c>
      <x:c r="R293" s="21" t="inlineStr">
        <x:is>
          <x:t xml:space="preserve"/>
        </x:is>
      </x:c>
      <x:c r="S293" s="22">
        <x:f>IF(H293="","",IFERROR(H293/G293,""))</x:f>
      </x:c>
      <x:c r="T293" s="23">
        <x:f>IF(H293="","",IFERROR((J293+K293+L293+N293)/H293,""))</x:f>
      </x:c>
      <x:c r="U293" s="22">
        <x:f>IF(COUNTA(J293:L293,N293)=0,"",IFERROR(AVERAGE(J293:L293,N293),""))</x:f>
      </x:c>
      <x:c r="V293" s="16" t="inlineStr">
        <x:is>
          <x:t xml:space="preserve"/>
        </x:is>
      </x:c>
    </x:row>
    <x:row r="294">
      <x:c r="A294" s="17" t="inlineStr">
        <x:is>
          <x:t xml:space="preserve">P025</x:t>
        </x:is>
      </x:c>
      <x:c r="B294" s="17" t="n">
        <x:v>2</x:v>
      </x:c>
      <x:c r="C294" s="17" t="inlineStr">
        <x:is>
          <x:t xml:space="preserve">V05</x:t>
        </x:is>
      </x:c>
      <x:c r="D294" s="17" t="inlineStr">
        <x:is>
          <x:t xml:space="preserve">Tutorial</x:t>
        </x:is>
      </x:c>
      <x:c r="E294" s="17" t="inlineStr">
        <x:is>
          <x:t xml:space="preserve">BCC+</x:t>
        </x:is>
      </x:c>
      <x:c r="F294" s="17" t="inlineStr">
        <x:is>
          <x:t xml:space="preserve">Muted</x:t>
        </x:is>
      </x:c>
      <x:c r="G294" s="24" t="n">
        <x:v>20</x:v>
      </x:c>
      <x:c r="H294" s="24" t="inlineStr">
        <x:is>
          <x:t xml:space="preserve"/>
        </x:is>
      </x:c>
      <x:c r="I294" s="24" t="inlineStr">
        <x:is>
          <x:t xml:space="preserve"/>
        </x:is>
      </x:c>
      <x:c r="J294" s="24" t="inlineStr">
        <x:is>
          <x:t xml:space="preserve"/>
        </x:is>
      </x:c>
      <x:c r="K294" s="24" t="inlineStr">
        <x:is>
          <x:t xml:space="preserve"/>
        </x:is>
      </x:c>
      <x:c r="L294" s="24" t="inlineStr">
        <x:is>
          <x:t xml:space="preserve"/>
        </x:is>
      </x:c>
      <x:c r="M294" s="24" t="inlineStr">
        <x:is>
          <x:t xml:space="preserve"/>
        </x:is>
      </x:c>
      <x:c r="N294" s="24" t="inlineStr">
        <x:is>
          <x:t xml:space="preserve"/>
        </x:is>
      </x:c>
      <x:c r="O294" s="24" t="inlineStr">
        <x:is>
          <x:t xml:space="preserve"/>
        </x:is>
      </x:c>
      <x:c r="P294" s="24" t="inlineStr">
        <x:is>
          <x:t xml:space="preserve"/>
        </x:is>
      </x:c>
      <x:c r="Q294" s="24" t="inlineStr">
        <x:is>
          <x:t xml:space="preserve"/>
        </x:is>
      </x:c>
      <x:c r="R294" s="24" t="inlineStr">
        <x:is>
          <x:t xml:space="preserve"/>
        </x:is>
      </x:c>
      <x:c r="S294" s="25">
        <x:f>IF(H294="","",IFERROR(H294/G294,""))</x:f>
      </x:c>
      <x:c r="T294" s="26">
        <x:f>IF(H294="","",IFERROR((J294+K294+L294+N294)/H294,""))</x:f>
      </x:c>
      <x:c r="U294" s="25">
        <x:f>IF(COUNTA(J294:L294,N294)=0,"",IFERROR(AVERAGE(J294:L294,N294),""))</x:f>
      </x:c>
      <x:c r="V294" s="17" t="inlineStr">
        <x:is>
          <x:t xml:space="preserve"/>
        </x:is>
      </x:c>
    </x:row>
    <x:row r="295">
      <x:c r="A295" s="16" t="inlineStr">
        <x:is>
          <x:t xml:space="preserve">P025</x:t>
        </x:is>
      </x:c>
      <x:c r="B295" s="16" t="n">
        <x:v>3</x:v>
      </x:c>
      <x:c r="C295" s="16" t="inlineStr">
        <x:is>
          <x:t xml:space="preserve">V03</x:t>
        </x:is>
      </x:c>
      <x:c r="D295" s="16" t="inlineStr">
        <x:is>
          <x:t xml:space="preserve">Fitness</x:t>
        </x:is>
      </x:c>
      <x:c r="E295" s="16" t="inlineStr">
        <x:is>
          <x:t xml:space="preserve">Semantic compression</x:t>
        </x:is>
      </x:c>
      <x:c r="F295" s="16" t="inlineStr">
        <x:is>
          <x:t xml:space="preserve">Muted</x:t>
        </x:is>
      </x:c>
      <x:c r="G295" s="21" t="n">
        <x:v>18</x:v>
      </x:c>
      <x:c r="H295" s="21" t="inlineStr">
        <x:is>
          <x:t xml:space="preserve"/>
        </x:is>
      </x:c>
      <x:c r="I295" s="21" t="inlineStr">
        <x:is>
          <x:t xml:space="preserve"/>
        </x:is>
      </x:c>
      <x:c r="J295" s="21" t="inlineStr">
        <x:is>
          <x:t xml:space="preserve"/>
        </x:is>
      </x:c>
      <x:c r="K295" s="21" t="inlineStr">
        <x:is>
          <x:t xml:space="preserve"/>
        </x:is>
      </x:c>
      <x:c r="L295" s="21" t="inlineStr">
        <x:is>
          <x:t xml:space="preserve"/>
        </x:is>
      </x:c>
      <x:c r="M295" s="21" t="inlineStr">
        <x:is>
          <x:t xml:space="preserve"/>
        </x:is>
      </x:c>
      <x:c r="N295" s="21" t="inlineStr">
        <x:is>
          <x:t xml:space="preserve"/>
        </x:is>
      </x:c>
      <x:c r="O295" s="21" t="inlineStr">
        <x:is>
          <x:t xml:space="preserve"/>
        </x:is>
      </x:c>
      <x:c r="P295" s="21" t="inlineStr">
        <x:is>
          <x:t xml:space="preserve"/>
        </x:is>
      </x:c>
      <x:c r="Q295" s="21" t="inlineStr">
        <x:is>
          <x:t xml:space="preserve"/>
        </x:is>
      </x:c>
      <x:c r="R295" s="21" t="inlineStr">
        <x:is>
          <x:t xml:space="preserve"/>
        </x:is>
      </x:c>
      <x:c r="S295" s="22">
        <x:f>IF(H295="","",IFERROR(H295/G295,""))</x:f>
      </x:c>
      <x:c r="T295" s="23">
        <x:f>IF(H295="","",IFERROR((J295+K295+L295+N295)/H295,""))</x:f>
      </x:c>
      <x:c r="U295" s="22">
        <x:f>IF(COUNTA(J295:L295,N295)=0,"",IFERROR(AVERAGE(J295:L295,N295),""))</x:f>
      </x:c>
      <x:c r="V295" s="16" t="inlineStr">
        <x:is>
          <x:t xml:space="preserve"/>
        </x:is>
      </x:c>
    </x:row>
    <x:row r="296">
      <x:c r="A296" s="17" t="inlineStr">
        <x:is>
          <x:t xml:space="preserve">P025</x:t>
        </x:is>
      </x:c>
      <x:c r="B296" s="17" t="n">
        <x:v>4</x:v>
      </x:c>
      <x:c r="C296" s="17" t="inlineStr">
        <x:is>
          <x:t xml:space="preserve">V09</x:t>
        </x:is>
      </x:c>
      <x:c r="D296" s="17" t="inlineStr">
        <x:is>
          <x:t xml:space="preserve">Sleep habit</x:t>
        </x:is>
      </x:c>
      <x:c r="E296" s="17" t="inlineStr">
        <x:is>
          <x:t xml:space="preserve">Semantic compression</x:t>
        </x:is>
      </x:c>
      <x:c r="F296" s="17" t="inlineStr">
        <x:is>
          <x:t xml:space="preserve">Muted</x:t>
        </x:is>
      </x:c>
      <x:c r="G296" s="24" t="n">
        <x:v>19</x:v>
      </x:c>
      <x:c r="H296" s="24" t="inlineStr">
        <x:is>
          <x:t xml:space="preserve"/>
        </x:is>
      </x:c>
      <x:c r="I296" s="24" t="inlineStr">
        <x:is>
          <x:t xml:space="preserve"/>
        </x:is>
      </x:c>
      <x:c r="J296" s="24" t="inlineStr">
        <x:is>
          <x:t xml:space="preserve"/>
        </x:is>
      </x:c>
      <x:c r="K296" s="24" t="inlineStr">
        <x:is>
          <x:t xml:space="preserve"/>
        </x:is>
      </x:c>
      <x:c r="L296" s="24" t="inlineStr">
        <x:is>
          <x:t xml:space="preserve"/>
        </x:is>
      </x:c>
      <x:c r="M296" s="24" t="inlineStr">
        <x:is>
          <x:t xml:space="preserve"/>
        </x:is>
      </x:c>
      <x:c r="N296" s="24" t="inlineStr">
        <x:is>
          <x:t xml:space="preserve"/>
        </x:is>
      </x:c>
      <x:c r="O296" s="24" t="inlineStr">
        <x:is>
          <x:t xml:space="preserve"/>
        </x:is>
      </x:c>
      <x:c r="P296" s="24" t="inlineStr">
        <x:is>
          <x:t xml:space="preserve"/>
        </x:is>
      </x:c>
      <x:c r="Q296" s="24" t="inlineStr">
        <x:is>
          <x:t xml:space="preserve"/>
        </x:is>
      </x:c>
      <x:c r="R296" s="24" t="inlineStr">
        <x:is>
          <x:t xml:space="preserve"/>
        </x:is>
      </x:c>
      <x:c r="S296" s="25">
        <x:f>IF(H296="","",IFERROR(H296/G296,""))</x:f>
      </x:c>
      <x:c r="T296" s="26">
        <x:f>IF(H296="","",IFERROR((J296+K296+L296+N296)/H296,""))</x:f>
      </x:c>
      <x:c r="U296" s="25">
        <x:f>IF(COUNTA(J296:L296,N296)=0,"",IFERROR(AVERAGE(J296:L296,N296),""))</x:f>
      </x:c>
      <x:c r="V296" s="17" t="inlineStr">
        <x:is>
          <x:t xml:space="preserve"/>
        </x:is>
      </x:c>
    </x:row>
    <x:row r="297">
      <x:c r="A297" s="16" t="inlineStr">
        <x:is>
          <x:t xml:space="preserve">P025</x:t>
        </x:is>
      </x:c>
      <x:c r="B297" s="16" t="n">
        <x:v>5</x:v>
      </x:c>
      <x:c r="C297" s="16" t="inlineStr">
        <x:is>
          <x:t xml:space="preserve">V07</x:t>
        </x:is>
      </x:c>
      <x:c r="D297" s="16" t="inlineStr">
        <x:is>
          <x:t xml:space="preserve">Business</x:t>
        </x:is>
      </x:c>
      <x:c r="E297" s="16" t="inlineStr">
        <x:is>
          <x:t xml:space="preserve">Full transcript</x:t>
        </x:is>
      </x:c>
      <x:c r="F297" s="16" t="inlineStr">
        <x:is>
          <x:t xml:space="preserve">Muted</x:t>
        </x:is>
      </x:c>
      <x:c r="G297" s="21" t="n">
        <x:v>18</x:v>
      </x:c>
      <x:c r="H297" s="21" t="inlineStr">
        <x:is>
          <x:t xml:space="preserve"/>
        </x:is>
      </x:c>
      <x:c r="I297" s="21" t="inlineStr">
        <x:is>
          <x:t xml:space="preserve"/>
        </x:is>
      </x:c>
      <x:c r="J297" s="21" t="inlineStr">
        <x:is>
          <x:t xml:space="preserve"/>
        </x:is>
      </x:c>
      <x:c r="K297" s="21" t="inlineStr">
        <x:is>
          <x:t xml:space="preserve"/>
        </x:is>
      </x:c>
      <x:c r="L297" s="21" t="inlineStr">
        <x:is>
          <x:t xml:space="preserve"/>
        </x:is>
      </x:c>
      <x:c r="M297" s="21" t="inlineStr">
        <x:is>
          <x:t xml:space="preserve"/>
        </x:is>
      </x:c>
      <x:c r="N297" s="21" t="inlineStr">
        <x:is>
          <x:t xml:space="preserve"/>
        </x:is>
      </x:c>
      <x:c r="O297" s="21" t="inlineStr">
        <x:is>
          <x:t xml:space="preserve"/>
        </x:is>
      </x:c>
      <x:c r="P297" s="21" t="inlineStr">
        <x:is>
          <x:t xml:space="preserve"/>
        </x:is>
      </x:c>
      <x:c r="Q297" s="21" t="inlineStr">
        <x:is>
          <x:t xml:space="preserve"/>
        </x:is>
      </x:c>
      <x:c r="R297" s="21" t="inlineStr">
        <x:is>
          <x:t xml:space="preserve"/>
        </x:is>
      </x:c>
      <x:c r="S297" s="22">
        <x:f>IF(H297="","",IFERROR(H297/G297,""))</x:f>
      </x:c>
      <x:c r="T297" s="23">
        <x:f>IF(H297="","",IFERROR((J297+K297+L297+N297)/H297,""))</x:f>
      </x:c>
      <x:c r="U297" s="22">
        <x:f>IF(COUNTA(J297:L297,N297)=0,"",IFERROR(AVERAGE(J297:L297,N297),""))</x:f>
      </x:c>
      <x:c r="V297" s="16" t="inlineStr">
        <x:is>
          <x:t xml:space="preserve"/>
        </x:is>
      </x:c>
    </x:row>
    <x:row r="298">
      <x:c r="A298" s="17" t="inlineStr">
        <x:is>
          <x:t xml:space="preserve">P025</x:t>
        </x:is>
      </x:c>
      <x:c r="B298" s="17" t="n">
        <x:v>6</x:v>
      </x:c>
      <x:c r="C298" s="17" t="inlineStr">
        <x:is>
          <x:t xml:space="preserve">V08</x:t>
        </x:is>
      </x:c>
      <x:c r="D298" s="17" t="inlineStr">
        <x:is>
          <x:t xml:space="preserve">Coding</x:t>
        </x:is>
      </x:c>
      <x:c r="E298" s="17" t="inlineStr">
        <x:is>
          <x:t xml:space="preserve">Keyword highlight</x:t>
        </x:is>
      </x:c>
      <x:c r="F298" s="17" t="inlineStr">
        <x:is>
          <x:t xml:space="preserve">Muted</x:t>
        </x:is>
      </x:c>
      <x:c r="G298" s="24" t="n">
        <x:v>24</x:v>
      </x:c>
      <x:c r="H298" s="24" t="inlineStr">
        <x:is>
          <x:t xml:space="preserve"/>
        </x:is>
      </x:c>
      <x:c r="I298" s="24" t="inlineStr">
        <x:is>
          <x:t xml:space="preserve"/>
        </x:is>
      </x:c>
      <x:c r="J298" s="24" t="inlineStr">
        <x:is>
          <x:t xml:space="preserve"/>
        </x:is>
      </x:c>
      <x:c r="K298" s="24" t="inlineStr">
        <x:is>
          <x:t xml:space="preserve"/>
        </x:is>
      </x:c>
      <x:c r="L298" s="24" t="inlineStr">
        <x:is>
          <x:t xml:space="preserve"/>
        </x:is>
      </x:c>
      <x:c r="M298" s="24" t="inlineStr">
        <x:is>
          <x:t xml:space="preserve"/>
        </x:is>
      </x:c>
      <x:c r="N298" s="24" t="inlineStr">
        <x:is>
          <x:t xml:space="preserve"/>
        </x:is>
      </x:c>
      <x:c r="O298" s="24" t="inlineStr">
        <x:is>
          <x:t xml:space="preserve"/>
        </x:is>
      </x:c>
      <x:c r="P298" s="24" t="inlineStr">
        <x:is>
          <x:t xml:space="preserve"/>
        </x:is>
      </x:c>
      <x:c r="Q298" s="24" t="inlineStr">
        <x:is>
          <x:t xml:space="preserve"/>
        </x:is>
      </x:c>
      <x:c r="R298" s="24" t="inlineStr">
        <x:is>
          <x:t xml:space="preserve"/>
        </x:is>
      </x:c>
      <x:c r="S298" s="25">
        <x:f>IF(H298="","",IFERROR(H298/G298,""))</x:f>
      </x:c>
      <x:c r="T298" s="26">
        <x:f>IF(H298="","",IFERROR((J298+K298+L298+N298)/H298,""))</x:f>
      </x:c>
      <x:c r="U298" s="25">
        <x:f>IF(COUNTA(J298:L298,N298)=0,"",IFERROR(AVERAGE(J298:L298,N298),""))</x:f>
      </x:c>
      <x:c r="V298" s="17" t="inlineStr">
        <x:is>
          <x:t xml:space="preserve"/>
        </x:is>
      </x:c>
    </x:row>
    <x:row r="299">
      <x:c r="A299" s="16" t="inlineStr">
        <x:is>
          <x:t xml:space="preserve">P025</x:t>
        </x:is>
      </x:c>
      <x:c r="B299" s="16" t="n">
        <x:v>7</x:v>
      </x:c>
      <x:c r="C299" s="16" t="inlineStr">
        <x:is>
          <x:t xml:space="preserve">V02</x:t>
        </x:is>
      </x:c>
      <x:c r="D299" s="16" t="inlineStr">
        <x:is>
          <x:t xml:space="preserve">Study</x:t>
        </x:is>
      </x:c>
      <x:c r="E299" s="16" t="inlineStr">
        <x:is>
          <x:t xml:space="preserve">Keyword highlight</x:t>
        </x:is>
      </x:c>
      <x:c r="F299" s="16" t="inlineStr">
        <x:is>
          <x:t xml:space="preserve">Muted</x:t>
        </x:is>
      </x:c>
      <x:c r="G299" s="21" t="n">
        <x:v>18</x:v>
      </x:c>
      <x:c r="H299" s="21" t="inlineStr">
        <x:is>
          <x:t xml:space="preserve"/>
        </x:is>
      </x:c>
      <x:c r="I299" s="21" t="inlineStr">
        <x:is>
          <x:t xml:space="preserve"/>
        </x:is>
      </x:c>
      <x:c r="J299" s="21" t="inlineStr">
        <x:is>
          <x:t xml:space="preserve"/>
        </x:is>
      </x:c>
      <x:c r="K299" s="21" t="inlineStr">
        <x:is>
          <x:t xml:space="preserve"/>
        </x:is>
      </x:c>
      <x:c r="L299" s="21" t="inlineStr">
        <x:is>
          <x:t xml:space="preserve"/>
        </x:is>
      </x:c>
      <x:c r="M299" s="21" t="inlineStr">
        <x:is>
          <x:t xml:space="preserve"/>
        </x:is>
      </x:c>
      <x:c r="N299" s="21" t="inlineStr">
        <x:is>
          <x:t xml:space="preserve"/>
        </x:is>
      </x:c>
      <x:c r="O299" s="21" t="inlineStr">
        <x:is>
          <x:t xml:space="preserve"/>
        </x:is>
      </x:c>
      <x:c r="P299" s="21" t="inlineStr">
        <x:is>
          <x:t xml:space="preserve"/>
        </x:is>
      </x:c>
      <x:c r="Q299" s="21" t="inlineStr">
        <x:is>
          <x:t xml:space="preserve"/>
        </x:is>
      </x:c>
      <x:c r="R299" s="21" t="inlineStr">
        <x:is>
          <x:t xml:space="preserve"/>
        </x:is>
      </x:c>
      <x:c r="S299" s="22">
        <x:f>IF(H299="","",IFERROR(H299/G299,""))</x:f>
      </x:c>
      <x:c r="T299" s="23">
        <x:f>IF(H299="","",IFERROR((J299+K299+L299+N299)/H299,""))</x:f>
      </x:c>
      <x:c r="U299" s="22">
        <x:f>IF(COUNTA(J299:L299,N299)=0,"",IFERROR(AVERAGE(J299:L299,N299),""))</x:f>
      </x:c>
      <x:c r="V299" s="16" t="inlineStr">
        <x:is>
          <x:t xml:space="preserve"/>
        </x:is>
      </x:c>
    </x:row>
    <x:row r="300">
      <x:c r="A300" s="17" t="inlineStr">
        <x:is>
          <x:t xml:space="preserve">P025</x:t>
        </x:is>
      </x:c>
      <x:c r="B300" s="17" t="n">
        <x:v>8</x:v>
      </x:c>
      <x:c r="C300" s="17" t="inlineStr">
        <x:is>
          <x:t xml:space="preserve">V06</x:t>
        </x:is>
      </x:c>
      <x:c r="D300" s="17" t="inlineStr">
        <x:is>
          <x:t xml:space="preserve">Overload</x:t>
        </x:is>
      </x:c>
      <x:c r="E300" s="17" t="inlineStr">
        <x:is>
          <x:t xml:space="preserve">Heavy bionic</x:t>
        </x:is>
      </x:c>
      <x:c r="F300" s="17" t="inlineStr">
        <x:is>
          <x:t xml:space="preserve">Muted</x:t>
        </x:is>
      </x:c>
      <x:c r="G300" s="24" t="n">
        <x:v>16</x:v>
      </x:c>
      <x:c r="H300" s="24" t="inlineStr">
        <x:is>
          <x:t xml:space="preserve"/>
        </x:is>
      </x:c>
      <x:c r="I300" s="24" t="inlineStr">
        <x:is>
          <x:t xml:space="preserve"/>
        </x:is>
      </x:c>
      <x:c r="J300" s="24" t="inlineStr">
        <x:is>
          <x:t xml:space="preserve"/>
        </x:is>
      </x:c>
      <x:c r="K300" s="24" t="inlineStr">
        <x:is>
          <x:t xml:space="preserve"/>
        </x:is>
      </x:c>
      <x:c r="L300" s="24" t="inlineStr">
        <x:is>
          <x:t xml:space="preserve"/>
        </x:is>
      </x:c>
      <x:c r="M300" s="24" t="inlineStr">
        <x:is>
          <x:t xml:space="preserve"/>
        </x:is>
      </x:c>
      <x:c r="N300" s="24" t="inlineStr">
        <x:is>
          <x:t xml:space="preserve"/>
        </x:is>
      </x:c>
      <x:c r="O300" s="24" t="inlineStr">
        <x:is>
          <x:t xml:space="preserve"/>
        </x:is>
      </x:c>
      <x:c r="P300" s="24" t="inlineStr">
        <x:is>
          <x:t xml:space="preserve"/>
        </x:is>
      </x:c>
      <x:c r="Q300" s="24" t="inlineStr">
        <x:is>
          <x:t xml:space="preserve"/>
        </x:is>
      </x:c>
      <x:c r="R300" s="24" t="inlineStr">
        <x:is>
          <x:t xml:space="preserve"/>
        </x:is>
      </x:c>
      <x:c r="S300" s="25">
        <x:f>IF(H300="","",IFERROR(H300/G300,""))</x:f>
      </x:c>
      <x:c r="T300" s="26">
        <x:f>IF(H300="","",IFERROR((J300+K300+L300+N300)/H300,""))</x:f>
      </x:c>
      <x:c r="U300" s="25">
        <x:f>IF(COUNTA(J300:L300,N300)=0,"",IFERROR(AVERAGE(J300:L300,N300),""))</x:f>
      </x:c>
      <x:c r="V300" s="17" t="inlineStr">
        <x:is>
          <x:t xml:space="preserve"/>
        </x:is>
      </x:c>
    </x:row>
    <x:row r="301">
      <x:c r="A301" s="16" t="inlineStr">
        <x:is>
          <x:t xml:space="preserve">P025</x:t>
        </x:is>
      </x:c>
      <x:c r="B301" s="16" t="n">
        <x:v>9</x:v>
      </x:c>
      <x:c r="C301" s="16" t="inlineStr">
        <x:is>
          <x:t xml:space="preserve">V12</x:t>
        </x:is>
      </x:c>
      <x:c r="D301" s="16" t="inlineStr">
        <x:is>
          <x:t xml:space="preserve">Time management</x:t>
        </x:is>
      </x:c>
      <x:c r="E301" s="16" t="inlineStr">
        <x:is>
          <x:t xml:space="preserve">Heavy bionic</x:t>
        </x:is>
      </x:c>
      <x:c r="F301" s="16" t="inlineStr">
        <x:is>
          <x:t xml:space="preserve">Muted</x:t>
        </x:is>
      </x:c>
      <x:c r="G301" s="21" t="n">
        <x:v>21</x:v>
      </x:c>
      <x:c r="H301" s="21" t="inlineStr">
        <x:is>
          <x:t xml:space="preserve"/>
        </x:is>
      </x:c>
      <x:c r="I301" s="21" t="inlineStr">
        <x:is>
          <x:t xml:space="preserve"/>
        </x:is>
      </x:c>
      <x:c r="J301" s="21" t="inlineStr">
        <x:is>
          <x:t xml:space="preserve"/>
        </x:is>
      </x:c>
      <x:c r="K301" s="21" t="inlineStr">
        <x:is>
          <x:t xml:space="preserve"/>
        </x:is>
      </x:c>
      <x:c r="L301" s="21" t="inlineStr">
        <x:is>
          <x:t xml:space="preserve"/>
        </x:is>
      </x:c>
      <x:c r="M301" s="21" t="inlineStr">
        <x:is>
          <x:t xml:space="preserve"/>
        </x:is>
      </x:c>
      <x:c r="N301" s="21" t="inlineStr">
        <x:is>
          <x:t xml:space="preserve"/>
        </x:is>
      </x:c>
      <x:c r="O301" s="21" t="inlineStr">
        <x:is>
          <x:t xml:space="preserve"/>
        </x:is>
      </x:c>
      <x:c r="P301" s="21" t="inlineStr">
        <x:is>
          <x:t xml:space="preserve"/>
        </x:is>
      </x:c>
      <x:c r="Q301" s="21" t="inlineStr">
        <x:is>
          <x:t xml:space="preserve"/>
        </x:is>
      </x:c>
      <x:c r="R301" s="21" t="inlineStr">
        <x:is>
          <x:t xml:space="preserve"/>
        </x:is>
      </x:c>
      <x:c r="S301" s="22">
        <x:f>IF(H301="","",IFERROR(H301/G301,""))</x:f>
      </x:c>
      <x:c r="T301" s="23">
        <x:f>IF(H301="","",IFERROR((J301+K301+L301+N301)/H301,""))</x:f>
      </x:c>
      <x:c r="U301" s="22">
        <x:f>IF(COUNTA(J301:L301,N301)=0,"",IFERROR(AVERAGE(J301:L301,N301),""))</x:f>
      </x:c>
      <x:c r="V301" s="16" t="inlineStr">
        <x:is>
          <x:t xml:space="preserve"/>
        </x:is>
      </x:c>
    </x:row>
    <x:row r="302">
      <x:c r="A302" s="17" t="inlineStr">
        <x:is>
          <x:t xml:space="preserve">P025</x:t>
        </x:is>
      </x:c>
      <x:c r="B302" s="17" t="n">
        <x:v>10</x:v>
      </x:c>
      <x:c r="C302" s="17" t="inlineStr">
        <x:is>
          <x:t xml:space="preserve">V11</x:t>
        </x:is>
      </x:c>
      <x:c r="D302" s="17" t="inlineStr">
        <x:is>
          <x:t xml:space="preserve">Creator strategy</x:t>
        </x:is>
      </x:c>
      <x:c r="E302" s="17" t="inlineStr">
        <x:is>
          <x:t xml:space="preserve">BCC+</x:t>
        </x:is>
      </x:c>
      <x:c r="F302" s="17" t="inlineStr">
        <x:is>
          <x:t xml:space="preserve">Muted</x:t>
        </x:is>
      </x:c>
      <x:c r="G302" s="24" t="n">
        <x:v>17</x:v>
      </x:c>
      <x:c r="H302" s="24" t="inlineStr">
        <x:is>
          <x:t xml:space="preserve"/>
        </x:is>
      </x:c>
      <x:c r="I302" s="24" t="inlineStr">
        <x:is>
          <x:t xml:space="preserve"/>
        </x:is>
      </x:c>
      <x:c r="J302" s="24" t="inlineStr">
        <x:is>
          <x:t xml:space="preserve"/>
        </x:is>
      </x:c>
      <x:c r="K302" s="24" t="inlineStr">
        <x:is>
          <x:t xml:space="preserve"/>
        </x:is>
      </x:c>
      <x:c r="L302" s="24" t="inlineStr">
        <x:is>
          <x:t xml:space="preserve"/>
        </x:is>
      </x:c>
      <x:c r="M302" s="24" t="inlineStr">
        <x:is>
          <x:t xml:space="preserve"/>
        </x:is>
      </x:c>
      <x:c r="N302" s="24" t="inlineStr">
        <x:is>
          <x:t xml:space="preserve"/>
        </x:is>
      </x:c>
      <x:c r="O302" s="24" t="inlineStr">
        <x:is>
          <x:t xml:space="preserve"/>
        </x:is>
      </x:c>
      <x:c r="P302" s="24" t="inlineStr">
        <x:is>
          <x:t xml:space="preserve"/>
        </x:is>
      </x:c>
      <x:c r="Q302" s="24" t="inlineStr">
        <x:is>
          <x:t xml:space="preserve"/>
        </x:is>
      </x:c>
      <x:c r="R302" s="24" t="inlineStr">
        <x:is>
          <x:t xml:space="preserve"/>
        </x:is>
      </x:c>
      <x:c r="S302" s="25">
        <x:f>IF(H302="","",IFERROR(H302/G302,""))</x:f>
      </x:c>
      <x:c r="T302" s="26">
        <x:f>IF(H302="","",IFERROR((J302+K302+L302+N302)/H302,""))</x:f>
      </x:c>
      <x:c r="U302" s="25">
        <x:f>IF(COUNTA(J302:L302,N302)=0,"",IFERROR(AVERAGE(J302:L302,N302),""))</x:f>
      </x:c>
      <x:c r="V302" s="17" t="inlineStr">
        <x:is>
          <x:t xml:space="preserve"/>
        </x:is>
      </x:c>
    </x:row>
    <x:row r="303">
      <x:c r="A303" s="16" t="inlineStr">
        <x:is>
          <x:t xml:space="preserve">P025</x:t>
        </x:is>
      </x:c>
      <x:c r="B303" s="16" t="n">
        <x:v>11</x:v>
      </x:c>
      <x:c r="C303" s="16" t="inlineStr">
        <x:is>
          <x:t xml:space="preserve">V01</x:t>
        </x:is>
      </x:c>
      <x:c r="D303" s="16" t="inlineStr">
        <x:is>
          <x:t xml:space="preserve">Productivity</x:t>
        </x:is>
      </x:c>
      <x:c r="E303" s="16" t="inlineStr">
        <x:is>
          <x:t xml:space="preserve">Full transcript</x:t>
        </x:is>
      </x:c>
      <x:c r="F303" s="16" t="inlineStr">
        <x:is>
          <x:t xml:space="preserve">Muted</x:t>
        </x:is>
      </x:c>
      <x:c r="G303" s="21" t="n">
        <x:v>25</x:v>
      </x:c>
      <x:c r="H303" s="21" t="inlineStr">
        <x:is>
          <x:t xml:space="preserve"/>
        </x:is>
      </x:c>
      <x:c r="I303" s="21" t="inlineStr">
        <x:is>
          <x:t xml:space="preserve"/>
        </x:is>
      </x:c>
      <x:c r="J303" s="21" t="inlineStr">
        <x:is>
          <x:t xml:space="preserve"/>
        </x:is>
      </x:c>
      <x:c r="K303" s="21" t="inlineStr">
        <x:is>
          <x:t xml:space="preserve"/>
        </x:is>
      </x:c>
      <x:c r="L303" s="21" t="inlineStr">
        <x:is>
          <x:t xml:space="preserve"/>
        </x:is>
      </x:c>
      <x:c r="M303" s="21" t="inlineStr">
        <x:is>
          <x:t xml:space="preserve"/>
        </x:is>
      </x:c>
      <x:c r="N303" s="21" t="inlineStr">
        <x:is>
          <x:t xml:space="preserve"/>
        </x:is>
      </x:c>
      <x:c r="O303" s="21" t="inlineStr">
        <x:is>
          <x:t xml:space="preserve"/>
        </x:is>
      </x:c>
      <x:c r="P303" s="21" t="inlineStr">
        <x:is>
          <x:t xml:space="preserve"/>
        </x:is>
      </x:c>
      <x:c r="Q303" s="21" t="inlineStr">
        <x:is>
          <x:t xml:space="preserve"/>
        </x:is>
      </x:c>
      <x:c r="R303" s="21" t="inlineStr">
        <x:is>
          <x:t xml:space="preserve"/>
        </x:is>
      </x:c>
      <x:c r="S303" s="22">
        <x:f>IF(H303="","",IFERROR(H303/G303,""))</x:f>
      </x:c>
      <x:c r="T303" s="23">
        <x:f>IF(H303="","",IFERROR((J303+K303+L303+N303)/H303,""))</x:f>
      </x:c>
      <x:c r="U303" s="22">
        <x:f>IF(COUNTA(J303:L303,N303)=0,"",IFERROR(AVERAGE(J303:L303,N303),""))</x:f>
      </x:c>
      <x:c r="V303" s="16" t="inlineStr">
        <x:is>
          <x:t xml:space="preserve"/>
        </x:is>
      </x:c>
    </x:row>
    <x:row r="304">
      <x:c r="A304" s="17" t="inlineStr">
        <x:is>
          <x:t xml:space="preserve">P025</x:t>
        </x:is>
      </x:c>
      <x:c r="B304" s="17" t="n">
        <x:v>12</x:v>
      </x:c>
      <x:c r="C304" s="17" t="inlineStr">
        <x:is>
          <x:t xml:space="preserve">V04</x:t>
        </x:is>
      </x:c>
      <x:c r="D304" s="17" t="inlineStr">
        <x:is>
          <x:t xml:space="preserve">Finance</x:t>
        </x:is>
      </x:c>
      <x:c r="E304" s="17" t="inlineStr">
        <x:is>
          <x:t xml:space="preserve">BCC</x:t>
        </x:is>
      </x:c>
      <x:c r="F304" s="17" t="inlineStr">
        <x:is>
          <x:t xml:space="preserve">Muted</x:t>
        </x:is>
      </x:c>
      <x:c r="G304" s="24" t="n">
        <x:v>20</x:v>
      </x:c>
      <x:c r="H304" s="24" t="inlineStr">
        <x:is>
          <x:t xml:space="preserve"/>
        </x:is>
      </x:c>
      <x:c r="I304" s="24" t="inlineStr">
        <x:is>
          <x:t xml:space="preserve"/>
        </x:is>
      </x:c>
      <x:c r="J304" s="24" t="inlineStr">
        <x:is>
          <x:t xml:space="preserve"/>
        </x:is>
      </x:c>
      <x:c r="K304" s="24" t="inlineStr">
        <x:is>
          <x:t xml:space="preserve"/>
        </x:is>
      </x:c>
      <x:c r="L304" s="24" t="inlineStr">
        <x:is>
          <x:t xml:space="preserve"/>
        </x:is>
      </x:c>
      <x:c r="M304" s="24" t="inlineStr">
        <x:is>
          <x:t xml:space="preserve"/>
        </x:is>
      </x:c>
      <x:c r="N304" s="24" t="inlineStr">
        <x:is>
          <x:t xml:space="preserve"/>
        </x:is>
      </x:c>
      <x:c r="O304" s="24" t="inlineStr">
        <x:is>
          <x:t xml:space="preserve"/>
        </x:is>
      </x:c>
      <x:c r="P304" s="24" t="inlineStr">
        <x:is>
          <x:t xml:space="preserve"/>
        </x:is>
      </x:c>
      <x:c r="Q304" s="24" t="inlineStr">
        <x:is>
          <x:t xml:space="preserve"/>
        </x:is>
      </x:c>
      <x:c r="R304" s="24" t="inlineStr">
        <x:is>
          <x:t xml:space="preserve"/>
        </x:is>
      </x:c>
      <x:c r="S304" s="25">
        <x:f>IF(H304="","",IFERROR(H304/G304,""))</x:f>
      </x:c>
      <x:c r="T304" s="26">
        <x:f>IF(H304="","",IFERROR((J304+K304+L304+N304)/H304,""))</x:f>
      </x:c>
      <x:c r="U304" s="25">
        <x:f>IF(COUNTA(J304:L304,N304)=0,"",IFERROR(AVERAGE(J304:L304,N304),""))</x:f>
      </x:c>
      <x:c r="V304" s="17" t="inlineStr">
        <x:is>
          <x:t xml:space="preserve"/>
        </x:is>
      </x:c>
    </x:row>
    <x:row r="305">
      <x:c r="A305" s="16" t="inlineStr">
        <x:is>
          <x:t xml:space="preserve">P026</x:t>
        </x:is>
      </x:c>
      <x:c r="B305" s="16" t="n">
        <x:v>1</x:v>
      </x:c>
      <x:c r="C305" s="16" t="inlineStr">
        <x:is>
          <x:t xml:space="preserve">V12</x:t>
        </x:is>
      </x:c>
      <x:c r="D305" s="16" t="inlineStr">
        <x:is>
          <x:t xml:space="preserve">Time management</x:t>
        </x:is>
      </x:c>
      <x:c r="E305" s="16" t="inlineStr">
        <x:is>
          <x:t xml:space="preserve">Full transcript</x:t>
        </x:is>
      </x:c>
      <x:c r="F305" s="16" t="inlineStr">
        <x:is>
          <x:t xml:space="preserve">Muted</x:t>
        </x:is>
      </x:c>
      <x:c r="G305" s="21" t="n">
        <x:v>21</x:v>
      </x:c>
      <x:c r="H305" s="21" t="inlineStr">
        <x:is>
          <x:t xml:space="preserve"/>
        </x:is>
      </x:c>
      <x:c r="I305" s="21" t="inlineStr">
        <x:is>
          <x:t xml:space="preserve"/>
        </x:is>
      </x:c>
      <x:c r="J305" s="21" t="inlineStr">
        <x:is>
          <x:t xml:space="preserve"/>
        </x:is>
      </x:c>
      <x:c r="K305" s="21" t="inlineStr">
        <x:is>
          <x:t xml:space="preserve"/>
        </x:is>
      </x:c>
      <x:c r="L305" s="21" t="inlineStr">
        <x:is>
          <x:t xml:space="preserve"/>
        </x:is>
      </x:c>
      <x:c r="M305" s="21" t="inlineStr">
        <x:is>
          <x:t xml:space="preserve"/>
        </x:is>
      </x:c>
      <x:c r="N305" s="21" t="inlineStr">
        <x:is>
          <x:t xml:space="preserve"/>
        </x:is>
      </x:c>
      <x:c r="O305" s="21" t="inlineStr">
        <x:is>
          <x:t xml:space="preserve"/>
        </x:is>
      </x:c>
      <x:c r="P305" s="21" t="inlineStr">
        <x:is>
          <x:t xml:space="preserve"/>
        </x:is>
      </x:c>
      <x:c r="Q305" s="21" t="inlineStr">
        <x:is>
          <x:t xml:space="preserve"/>
        </x:is>
      </x:c>
      <x:c r="R305" s="21" t="inlineStr">
        <x:is>
          <x:t xml:space="preserve"/>
        </x:is>
      </x:c>
      <x:c r="S305" s="22">
        <x:f>IF(H305="","",IFERROR(H305/G305,""))</x:f>
      </x:c>
      <x:c r="T305" s="23">
        <x:f>IF(H305="","",IFERROR((J305+K305+L305+N305)/H305,""))</x:f>
      </x:c>
      <x:c r="U305" s="22">
        <x:f>IF(COUNTA(J305:L305,N305)=0,"",IFERROR(AVERAGE(J305:L305,N305),""))</x:f>
      </x:c>
      <x:c r="V305" s="16" t="inlineStr">
        <x:is>
          <x:t xml:space="preserve"/>
        </x:is>
      </x:c>
    </x:row>
    <x:row r="306">
      <x:c r="A306" s="17" t="inlineStr">
        <x:is>
          <x:t xml:space="preserve">P026</x:t>
        </x:is>
      </x:c>
      <x:c r="B306" s="17" t="n">
        <x:v>2</x:v>
      </x:c>
      <x:c r="C306" s="17" t="inlineStr">
        <x:is>
          <x:t xml:space="preserve">V09</x:t>
        </x:is>
      </x:c>
      <x:c r="D306" s="17" t="inlineStr">
        <x:is>
          <x:t xml:space="preserve">Sleep habit</x:t>
        </x:is>
      </x:c>
      <x:c r="E306" s="17" t="inlineStr">
        <x:is>
          <x:t xml:space="preserve">BCC</x:t>
        </x:is>
      </x:c>
      <x:c r="F306" s="17" t="inlineStr">
        <x:is>
          <x:t xml:space="preserve">Muted</x:t>
        </x:is>
      </x:c>
      <x:c r="G306" s="24" t="n">
        <x:v>19</x:v>
      </x:c>
      <x:c r="H306" s="24" t="inlineStr">
        <x:is>
          <x:t xml:space="preserve"/>
        </x:is>
      </x:c>
      <x:c r="I306" s="24" t="inlineStr">
        <x:is>
          <x:t xml:space="preserve"/>
        </x:is>
      </x:c>
      <x:c r="J306" s="24" t="inlineStr">
        <x:is>
          <x:t xml:space="preserve"/>
        </x:is>
      </x:c>
      <x:c r="K306" s="24" t="inlineStr">
        <x:is>
          <x:t xml:space="preserve"/>
        </x:is>
      </x:c>
      <x:c r="L306" s="24" t="inlineStr">
        <x:is>
          <x:t xml:space="preserve"/>
        </x:is>
      </x:c>
      <x:c r="M306" s="24" t="inlineStr">
        <x:is>
          <x:t xml:space="preserve"/>
        </x:is>
      </x:c>
      <x:c r="N306" s="24" t="inlineStr">
        <x:is>
          <x:t xml:space="preserve"/>
        </x:is>
      </x:c>
      <x:c r="O306" s="24" t="inlineStr">
        <x:is>
          <x:t xml:space="preserve"/>
        </x:is>
      </x:c>
      <x:c r="P306" s="24" t="inlineStr">
        <x:is>
          <x:t xml:space="preserve"/>
        </x:is>
      </x:c>
      <x:c r="Q306" s="24" t="inlineStr">
        <x:is>
          <x:t xml:space="preserve"/>
        </x:is>
      </x:c>
      <x:c r="R306" s="24" t="inlineStr">
        <x:is>
          <x:t xml:space="preserve"/>
        </x:is>
      </x:c>
      <x:c r="S306" s="25">
        <x:f>IF(H306="","",IFERROR(H306/G306,""))</x:f>
      </x:c>
      <x:c r="T306" s="26">
        <x:f>IF(H306="","",IFERROR((J306+K306+L306+N306)/H306,""))</x:f>
      </x:c>
      <x:c r="U306" s="25">
        <x:f>IF(COUNTA(J306:L306,N306)=0,"",IFERROR(AVERAGE(J306:L306,N306),""))</x:f>
      </x:c>
      <x:c r="V306" s="17" t="inlineStr">
        <x:is>
          <x:t xml:space="preserve"/>
        </x:is>
      </x:c>
    </x:row>
    <x:row r="307">
      <x:c r="A307" s="16" t="inlineStr">
        <x:is>
          <x:t xml:space="preserve">P026</x:t>
        </x:is>
      </x:c>
      <x:c r="B307" s="16" t="n">
        <x:v>3</x:v>
      </x:c>
      <x:c r="C307" s="16" t="inlineStr">
        <x:is>
          <x:t xml:space="preserve">V03</x:t>
        </x:is>
      </x:c>
      <x:c r="D307" s="16" t="inlineStr">
        <x:is>
          <x:t xml:space="preserve">Fitness</x:t>
        </x:is>
      </x:c>
      <x:c r="E307" s="16" t="inlineStr">
        <x:is>
          <x:t xml:space="preserve">BCC</x:t>
        </x:is>
      </x:c>
      <x:c r="F307" s="16" t="inlineStr">
        <x:is>
          <x:t xml:space="preserve">Muted</x:t>
        </x:is>
      </x:c>
      <x:c r="G307" s="21" t="n">
        <x:v>18</x:v>
      </x:c>
      <x:c r="H307" s="21" t="inlineStr">
        <x:is>
          <x:t xml:space="preserve"/>
        </x:is>
      </x:c>
      <x:c r="I307" s="21" t="inlineStr">
        <x:is>
          <x:t xml:space="preserve"/>
        </x:is>
      </x:c>
      <x:c r="J307" s="21" t="inlineStr">
        <x:is>
          <x:t xml:space="preserve"/>
        </x:is>
      </x:c>
      <x:c r="K307" s="21" t="inlineStr">
        <x:is>
          <x:t xml:space="preserve"/>
        </x:is>
      </x:c>
      <x:c r="L307" s="21" t="inlineStr">
        <x:is>
          <x:t xml:space="preserve"/>
        </x:is>
      </x:c>
      <x:c r="M307" s="21" t="inlineStr">
        <x:is>
          <x:t xml:space="preserve"/>
        </x:is>
      </x:c>
      <x:c r="N307" s="21" t="inlineStr">
        <x:is>
          <x:t xml:space="preserve"/>
        </x:is>
      </x:c>
      <x:c r="O307" s="21" t="inlineStr">
        <x:is>
          <x:t xml:space="preserve"/>
        </x:is>
      </x:c>
      <x:c r="P307" s="21" t="inlineStr">
        <x:is>
          <x:t xml:space="preserve"/>
        </x:is>
      </x:c>
      <x:c r="Q307" s="21" t="inlineStr">
        <x:is>
          <x:t xml:space="preserve"/>
        </x:is>
      </x:c>
      <x:c r="R307" s="21" t="inlineStr">
        <x:is>
          <x:t xml:space="preserve"/>
        </x:is>
      </x:c>
      <x:c r="S307" s="22">
        <x:f>IF(H307="","",IFERROR(H307/G307,""))</x:f>
      </x:c>
      <x:c r="T307" s="23">
        <x:f>IF(H307="","",IFERROR((J307+K307+L307+N307)/H307,""))</x:f>
      </x:c>
      <x:c r="U307" s="22">
        <x:f>IF(COUNTA(J307:L307,N307)=0,"",IFERROR(AVERAGE(J307:L307,N307),""))</x:f>
      </x:c>
      <x:c r="V307" s="16" t="inlineStr">
        <x:is>
          <x:t xml:space="preserve"/>
        </x:is>
      </x:c>
    </x:row>
    <x:row r="308">
      <x:c r="A308" s="17" t="inlineStr">
        <x:is>
          <x:t xml:space="preserve">P026</x:t>
        </x:is>
      </x:c>
      <x:c r="B308" s="17" t="n">
        <x:v>4</x:v>
      </x:c>
      <x:c r="C308" s="17" t="inlineStr">
        <x:is>
          <x:t xml:space="preserve">V06</x:t>
        </x:is>
      </x:c>
      <x:c r="D308" s="17" t="inlineStr">
        <x:is>
          <x:t xml:space="preserve">Overload</x:t>
        </x:is>
      </x:c>
      <x:c r="E308" s="17" t="inlineStr">
        <x:is>
          <x:t xml:space="preserve">Full transcript</x:t>
        </x:is>
      </x:c>
      <x:c r="F308" s="17" t="inlineStr">
        <x:is>
          <x:t xml:space="preserve">Muted</x:t>
        </x:is>
      </x:c>
      <x:c r="G308" s="24" t="n">
        <x:v>16</x:v>
      </x:c>
      <x:c r="H308" s="24" t="inlineStr">
        <x:is>
          <x:t xml:space="preserve"/>
        </x:is>
      </x:c>
      <x:c r="I308" s="24" t="inlineStr">
        <x:is>
          <x:t xml:space="preserve"/>
        </x:is>
      </x:c>
      <x:c r="J308" s="24" t="inlineStr">
        <x:is>
          <x:t xml:space="preserve"/>
        </x:is>
      </x:c>
      <x:c r="K308" s="24" t="inlineStr">
        <x:is>
          <x:t xml:space="preserve"/>
        </x:is>
      </x:c>
      <x:c r="L308" s="24" t="inlineStr">
        <x:is>
          <x:t xml:space="preserve"/>
        </x:is>
      </x:c>
      <x:c r="M308" s="24" t="inlineStr">
        <x:is>
          <x:t xml:space="preserve"/>
        </x:is>
      </x:c>
      <x:c r="N308" s="24" t="inlineStr">
        <x:is>
          <x:t xml:space="preserve"/>
        </x:is>
      </x:c>
      <x:c r="O308" s="24" t="inlineStr">
        <x:is>
          <x:t xml:space="preserve"/>
        </x:is>
      </x:c>
      <x:c r="P308" s="24" t="inlineStr">
        <x:is>
          <x:t xml:space="preserve"/>
        </x:is>
      </x:c>
      <x:c r="Q308" s="24" t="inlineStr">
        <x:is>
          <x:t xml:space="preserve"/>
        </x:is>
      </x:c>
      <x:c r="R308" s="24" t="inlineStr">
        <x:is>
          <x:t xml:space="preserve"/>
        </x:is>
      </x:c>
      <x:c r="S308" s="25">
        <x:f>IF(H308="","",IFERROR(H308/G308,""))</x:f>
      </x:c>
      <x:c r="T308" s="26">
        <x:f>IF(H308="","",IFERROR((J308+K308+L308+N308)/H308,""))</x:f>
      </x:c>
      <x:c r="U308" s="25">
        <x:f>IF(COUNTA(J308:L308,N308)=0,"",IFERROR(AVERAGE(J308:L308,N308),""))</x:f>
      </x:c>
      <x:c r="V308" s="17" t="inlineStr">
        <x:is>
          <x:t xml:space="preserve"/>
        </x:is>
      </x:c>
    </x:row>
    <x:row r="309">
      <x:c r="A309" s="16" t="inlineStr">
        <x:is>
          <x:t xml:space="preserve">P026</x:t>
        </x:is>
      </x:c>
      <x:c r="B309" s="16" t="n">
        <x:v>5</x:v>
      </x:c>
      <x:c r="C309" s="16" t="inlineStr">
        <x:is>
          <x:t xml:space="preserve">V04</x:t>
        </x:is>
      </x:c>
      <x:c r="D309" s="16" t="inlineStr">
        <x:is>
          <x:t xml:space="preserve">Finance</x:t>
        </x:is>
      </x:c>
      <x:c r="E309" s="16" t="inlineStr">
        <x:is>
          <x:t xml:space="preserve">BCC+</x:t>
        </x:is>
      </x:c>
      <x:c r="F309" s="16" t="inlineStr">
        <x:is>
          <x:t xml:space="preserve">Muted</x:t>
        </x:is>
      </x:c>
      <x:c r="G309" s="21" t="n">
        <x:v>20</x:v>
      </x:c>
      <x:c r="H309" s="21" t="inlineStr">
        <x:is>
          <x:t xml:space="preserve"/>
        </x:is>
      </x:c>
      <x:c r="I309" s="21" t="inlineStr">
        <x:is>
          <x:t xml:space="preserve"/>
        </x:is>
      </x:c>
      <x:c r="J309" s="21" t="inlineStr">
        <x:is>
          <x:t xml:space="preserve"/>
        </x:is>
      </x:c>
      <x:c r="K309" s="21" t="inlineStr">
        <x:is>
          <x:t xml:space="preserve"/>
        </x:is>
      </x:c>
      <x:c r="L309" s="21" t="inlineStr">
        <x:is>
          <x:t xml:space="preserve"/>
        </x:is>
      </x:c>
      <x:c r="M309" s="21" t="inlineStr">
        <x:is>
          <x:t xml:space="preserve"/>
        </x:is>
      </x:c>
      <x:c r="N309" s="21" t="inlineStr">
        <x:is>
          <x:t xml:space="preserve"/>
        </x:is>
      </x:c>
      <x:c r="O309" s="21" t="inlineStr">
        <x:is>
          <x:t xml:space="preserve"/>
        </x:is>
      </x:c>
      <x:c r="P309" s="21" t="inlineStr">
        <x:is>
          <x:t xml:space="preserve"/>
        </x:is>
      </x:c>
      <x:c r="Q309" s="21" t="inlineStr">
        <x:is>
          <x:t xml:space="preserve"/>
        </x:is>
      </x:c>
      <x:c r="R309" s="21" t="inlineStr">
        <x:is>
          <x:t xml:space="preserve"/>
        </x:is>
      </x:c>
      <x:c r="S309" s="22">
        <x:f>IF(H309="","",IFERROR(H309/G309,""))</x:f>
      </x:c>
      <x:c r="T309" s="23">
        <x:f>IF(H309="","",IFERROR((J309+K309+L309+N309)/H309,""))</x:f>
      </x:c>
      <x:c r="U309" s="22">
        <x:f>IF(COUNTA(J309:L309,N309)=0,"",IFERROR(AVERAGE(J309:L309,N309),""))</x:f>
      </x:c>
      <x:c r="V309" s="16" t="inlineStr">
        <x:is>
          <x:t xml:space="preserve"/>
        </x:is>
      </x:c>
    </x:row>
    <x:row r="310">
      <x:c r="A310" s="17" t="inlineStr">
        <x:is>
          <x:t xml:space="preserve">P026</x:t>
        </x:is>
      </x:c>
      <x:c r="B310" s="17" t="n">
        <x:v>6</x:v>
      </x:c>
      <x:c r="C310" s="17" t="inlineStr">
        <x:is>
          <x:t xml:space="preserve">V11</x:t>
        </x:is>
      </x:c>
      <x:c r="D310" s="17" t="inlineStr">
        <x:is>
          <x:t xml:space="preserve">Creator strategy</x:t>
        </x:is>
      </x:c>
      <x:c r="E310" s="17" t="inlineStr">
        <x:is>
          <x:t xml:space="preserve">Heavy bionic</x:t>
        </x:is>
      </x:c>
      <x:c r="F310" s="17" t="inlineStr">
        <x:is>
          <x:t xml:space="preserve">Muted</x:t>
        </x:is>
      </x:c>
      <x:c r="G310" s="24" t="n">
        <x:v>17</x:v>
      </x:c>
      <x:c r="H310" s="24" t="inlineStr">
        <x:is>
          <x:t xml:space="preserve"/>
        </x:is>
      </x:c>
      <x:c r="I310" s="24" t="inlineStr">
        <x:is>
          <x:t xml:space="preserve"/>
        </x:is>
      </x:c>
      <x:c r="J310" s="24" t="inlineStr">
        <x:is>
          <x:t xml:space="preserve"/>
        </x:is>
      </x:c>
      <x:c r="K310" s="24" t="inlineStr">
        <x:is>
          <x:t xml:space="preserve"/>
        </x:is>
      </x:c>
      <x:c r="L310" s="24" t="inlineStr">
        <x:is>
          <x:t xml:space="preserve"/>
        </x:is>
      </x:c>
      <x:c r="M310" s="24" t="inlineStr">
        <x:is>
          <x:t xml:space="preserve"/>
        </x:is>
      </x:c>
      <x:c r="N310" s="24" t="inlineStr">
        <x:is>
          <x:t xml:space="preserve"/>
        </x:is>
      </x:c>
      <x:c r="O310" s="24" t="inlineStr">
        <x:is>
          <x:t xml:space="preserve"/>
        </x:is>
      </x:c>
      <x:c r="P310" s="24" t="inlineStr">
        <x:is>
          <x:t xml:space="preserve"/>
        </x:is>
      </x:c>
      <x:c r="Q310" s="24" t="inlineStr">
        <x:is>
          <x:t xml:space="preserve"/>
        </x:is>
      </x:c>
      <x:c r="R310" s="24" t="inlineStr">
        <x:is>
          <x:t xml:space="preserve"/>
        </x:is>
      </x:c>
      <x:c r="S310" s="25">
        <x:f>IF(H310="","",IFERROR(H310/G310,""))</x:f>
      </x:c>
      <x:c r="T310" s="26">
        <x:f>IF(H310="","",IFERROR((J310+K310+L310+N310)/H310,""))</x:f>
      </x:c>
      <x:c r="U310" s="25">
        <x:f>IF(COUNTA(J310:L310,N310)=0,"",IFERROR(AVERAGE(J310:L310,N310),""))</x:f>
      </x:c>
      <x:c r="V310" s="17" t="inlineStr">
        <x:is>
          <x:t xml:space="preserve"/>
        </x:is>
      </x:c>
    </x:row>
    <x:row r="311">
      <x:c r="A311" s="16" t="inlineStr">
        <x:is>
          <x:t xml:space="preserve">P026</x:t>
        </x:is>
      </x:c>
      <x:c r="B311" s="16" t="n">
        <x:v>7</x:v>
      </x:c>
      <x:c r="C311" s="16" t="inlineStr">
        <x:is>
          <x:t xml:space="preserve">V02</x:t>
        </x:is>
      </x:c>
      <x:c r="D311" s="16" t="inlineStr">
        <x:is>
          <x:t xml:space="preserve">Study</x:t>
        </x:is>
      </x:c>
      <x:c r="E311" s="16" t="inlineStr">
        <x:is>
          <x:t xml:space="preserve">Semantic compression</x:t>
        </x:is>
      </x:c>
      <x:c r="F311" s="16" t="inlineStr">
        <x:is>
          <x:t xml:space="preserve">Muted</x:t>
        </x:is>
      </x:c>
      <x:c r="G311" s="21" t="n">
        <x:v>18</x:v>
      </x:c>
      <x:c r="H311" s="21" t="inlineStr">
        <x:is>
          <x:t xml:space="preserve"/>
        </x:is>
      </x:c>
      <x:c r="I311" s="21" t="inlineStr">
        <x:is>
          <x:t xml:space="preserve"/>
        </x:is>
      </x:c>
      <x:c r="J311" s="21" t="inlineStr">
        <x:is>
          <x:t xml:space="preserve"/>
        </x:is>
      </x:c>
      <x:c r="K311" s="21" t="inlineStr">
        <x:is>
          <x:t xml:space="preserve"/>
        </x:is>
      </x:c>
      <x:c r="L311" s="21" t="inlineStr">
        <x:is>
          <x:t xml:space="preserve"/>
        </x:is>
      </x:c>
      <x:c r="M311" s="21" t="inlineStr">
        <x:is>
          <x:t xml:space="preserve"/>
        </x:is>
      </x:c>
      <x:c r="N311" s="21" t="inlineStr">
        <x:is>
          <x:t xml:space="preserve"/>
        </x:is>
      </x:c>
      <x:c r="O311" s="21" t="inlineStr">
        <x:is>
          <x:t xml:space="preserve"/>
        </x:is>
      </x:c>
      <x:c r="P311" s="21" t="inlineStr">
        <x:is>
          <x:t xml:space="preserve"/>
        </x:is>
      </x:c>
      <x:c r="Q311" s="21" t="inlineStr">
        <x:is>
          <x:t xml:space="preserve"/>
        </x:is>
      </x:c>
      <x:c r="R311" s="21" t="inlineStr">
        <x:is>
          <x:t xml:space="preserve"/>
        </x:is>
      </x:c>
      <x:c r="S311" s="22">
        <x:f>IF(H311="","",IFERROR(H311/G311,""))</x:f>
      </x:c>
      <x:c r="T311" s="23">
        <x:f>IF(H311="","",IFERROR((J311+K311+L311+N311)/H311,""))</x:f>
      </x:c>
      <x:c r="U311" s="22">
        <x:f>IF(COUNTA(J311:L311,N311)=0,"",IFERROR(AVERAGE(J311:L311,N311),""))</x:f>
      </x:c>
      <x:c r="V311" s="16" t="inlineStr">
        <x:is>
          <x:t xml:space="preserve"/>
        </x:is>
      </x:c>
    </x:row>
    <x:row r="312">
      <x:c r="A312" s="17" t="inlineStr">
        <x:is>
          <x:t xml:space="preserve">P026</x:t>
        </x:is>
      </x:c>
      <x:c r="B312" s="17" t="n">
        <x:v>8</x:v>
      </x:c>
      <x:c r="C312" s="17" t="inlineStr">
        <x:is>
          <x:t xml:space="preserve">V10</x:t>
        </x:is>
      </x:c>
      <x:c r="D312" s="17" t="inlineStr">
        <x:is>
          <x:t xml:space="preserve">Product demo</x:t>
        </x:is>
      </x:c>
      <x:c r="E312" s="17" t="inlineStr">
        <x:is>
          <x:t xml:space="preserve">BCC+</x:t>
        </x:is>
      </x:c>
      <x:c r="F312" s="17" t="inlineStr">
        <x:is>
          <x:t xml:space="preserve">Muted</x:t>
        </x:is>
      </x:c>
      <x:c r="G312" s="24" t="n">
        <x:v>15</x:v>
      </x:c>
      <x:c r="H312" s="24" t="inlineStr">
        <x:is>
          <x:t xml:space="preserve"/>
        </x:is>
      </x:c>
      <x:c r="I312" s="24" t="inlineStr">
        <x:is>
          <x:t xml:space="preserve"/>
        </x:is>
      </x:c>
      <x:c r="J312" s="24" t="inlineStr">
        <x:is>
          <x:t xml:space="preserve"/>
        </x:is>
      </x:c>
      <x:c r="K312" s="24" t="inlineStr">
        <x:is>
          <x:t xml:space="preserve"/>
        </x:is>
      </x:c>
      <x:c r="L312" s="24" t="inlineStr">
        <x:is>
          <x:t xml:space="preserve"/>
        </x:is>
      </x:c>
      <x:c r="M312" s="24" t="inlineStr">
        <x:is>
          <x:t xml:space="preserve"/>
        </x:is>
      </x:c>
      <x:c r="N312" s="24" t="inlineStr">
        <x:is>
          <x:t xml:space="preserve"/>
        </x:is>
      </x:c>
      <x:c r="O312" s="24" t="inlineStr">
        <x:is>
          <x:t xml:space="preserve"/>
        </x:is>
      </x:c>
      <x:c r="P312" s="24" t="inlineStr">
        <x:is>
          <x:t xml:space="preserve"/>
        </x:is>
      </x:c>
      <x:c r="Q312" s="24" t="inlineStr">
        <x:is>
          <x:t xml:space="preserve"/>
        </x:is>
      </x:c>
      <x:c r="R312" s="24" t="inlineStr">
        <x:is>
          <x:t xml:space="preserve"/>
        </x:is>
      </x:c>
      <x:c r="S312" s="25">
        <x:f>IF(H312="","",IFERROR(H312/G312,""))</x:f>
      </x:c>
      <x:c r="T312" s="26">
        <x:f>IF(H312="","",IFERROR((J312+K312+L312+N312)/H312,""))</x:f>
      </x:c>
      <x:c r="U312" s="25">
        <x:f>IF(COUNTA(J312:L312,N312)=0,"",IFERROR(AVERAGE(J312:L312,N312),""))</x:f>
      </x:c>
      <x:c r="V312" s="17" t="inlineStr">
        <x:is>
          <x:t xml:space="preserve"/>
        </x:is>
      </x:c>
    </x:row>
    <x:row r="313">
      <x:c r="A313" s="16" t="inlineStr">
        <x:is>
          <x:t xml:space="preserve">P026</x:t>
        </x:is>
      </x:c>
      <x:c r="B313" s="16" t="n">
        <x:v>9</x:v>
      </x:c>
      <x:c r="C313" s="16" t="inlineStr">
        <x:is>
          <x:t xml:space="preserve">V07</x:t>
        </x:is>
      </x:c>
      <x:c r="D313" s="16" t="inlineStr">
        <x:is>
          <x:t xml:space="preserve">Business</x:t>
        </x:is>
      </x:c>
      <x:c r="E313" s="16" t="inlineStr">
        <x:is>
          <x:t xml:space="preserve">Keyword highlight</x:t>
        </x:is>
      </x:c>
      <x:c r="F313" s="16" t="inlineStr">
        <x:is>
          <x:t xml:space="preserve">Muted</x:t>
        </x:is>
      </x:c>
      <x:c r="G313" s="21" t="n">
        <x:v>18</x:v>
      </x:c>
      <x:c r="H313" s="21" t="inlineStr">
        <x:is>
          <x:t xml:space="preserve"/>
        </x:is>
      </x:c>
      <x:c r="I313" s="21" t="inlineStr">
        <x:is>
          <x:t xml:space="preserve"/>
        </x:is>
      </x:c>
      <x:c r="J313" s="21" t="inlineStr">
        <x:is>
          <x:t xml:space="preserve"/>
        </x:is>
      </x:c>
      <x:c r="K313" s="21" t="inlineStr">
        <x:is>
          <x:t xml:space="preserve"/>
        </x:is>
      </x:c>
      <x:c r="L313" s="21" t="inlineStr">
        <x:is>
          <x:t xml:space="preserve"/>
        </x:is>
      </x:c>
      <x:c r="M313" s="21" t="inlineStr">
        <x:is>
          <x:t xml:space="preserve"/>
        </x:is>
      </x:c>
      <x:c r="N313" s="21" t="inlineStr">
        <x:is>
          <x:t xml:space="preserve"/>
        </x:is>
      </x:c>
      <x:c r="O313" s="21" t="inlineStr">
        <x:is>
          <x:t xml:space="preserve"/>
        </x:is>
      </x:c>
      <x:c r="P313" s="21" t="inlineStr">
        <x:is>
          <x:t xml:space="preserve"/>
        </x:is>
      </x:c>
      <x:c r="Q313" s="21" t="inlineStr">
        <x:is>
          <x:t xml:space="preserve"/>
        </x:is>
      </x:c>
      <x:c r="R313" s="21" t="inlineStr">
        <x:is>
          <x:t xml:space="preserve"/>
        </x:is>
      </x:c>
      <x:c r="S313" s="22">
        <x:f>IF(H313="","",IFERROR(H313/G313,""))</x:f>
      </x:c>
      <x:c r="T313" s="23">
        <x:f>IF(H313="","",IFERROR((J313+K313+L313+N313)/H313,""))</x:f>
      </x:c>
      <x:c r="U313" s="22">
        <x:f>IF(COUNTA(J313:L313,N313)=0,"",IFERROR(AVERAGE(J313:L313,N313),""))</x:f>
      </x:c>
      <x:c r="V313" s="16" t="inlineStr">
        <x:is>
          <x:t xml:space="preserve"/>
        </x:is>
      </x:c>
    </x:row>
    <x:row r="314">
      <x:c r="A314" s="17" t="inlineStr">
        <x:is>
          <x:t xml:space="preserve">P026</x:t>
        </x:is>
      </x:c>
      <x:c r="B314" s="17" t="n">
        <x:v>10</x:v>
      </x:c>
      <x:c r="C314" s="17" t="inlineStr">
        <x:is>
          <x:t xml:space="preserve">V05</x:t>
        </x:is>
      </x:c>
      <x:c r="D314" s="17" t="inlineStr">
        <x:is>
          <x:t xml:space="preserve">Tutorial</x:t>
        </x:is>
      </x:c>
      <x:c r="E314" s="17" t="inlineStr">
        <x:is>
          <x:t xml:space="preserve">Heavy bionic</x:t>
        </x:is>
      </x:c>
      <x:c r="F314" s="17" t="inlineStr">
        <x:is>
          <x:t xml:space="preserve">Muted</x:t>
        </x:is>
      </x:c>
      <x:c r="G314" s="24" t="n">
        <x:v>20</x:v>
      </x:c>
      <x:c r="H314" s="24" t="inlineStr">
        <x:is>
          <x:t xml:space="preserve"/>
        </x:is>
      </x:c>
      <x:c r="I314" s="24" t="inlineStr">
        <x:is>
          <x:t xml:space="preserve"/>
        </x:is>
      </x:c>
      <x:c r="J314" s="24" t="inlineStr">
        <x:is>
          <x:t xml:space="preserve"/>
        </x:is>
      </x:c>
      <x:c r="K314" s="24" t="inlineStr">
        <x:is>
          <x:t xml:space="preserve"/>
        </x:is>
      </x:c>
      <x:c r="L314" s="24" t="inlineStr">
        <x:is>
          <x:t xml:space="preserve"/>
        </x:is>
      </x:c>
      <x:c r="M314" s="24" t="inlineStr">
        <x:is>
          <x:t xml:space="preserve"/>
        </x:is>
      </x:c>
      <x:c r="N314" s="24" t="inlineStr">
        <x:is>
          <x:t xml:space="preserve"/>
        </x:is>
      </x:c>
      <x:c r="O314" s="24" t="inlineStr">
        <x:is>
          <x:t xml:space="preserve"/>
        </x:is>
      </x:c>
      <x:c r="P314" s="24" t="inlineStr">
        <x:is>
          <x:t xml:space="preserve"/>
        </x:is>
      </x:c>
      <x:c r="Q314" s="24" t="inlineStr">
        <x:is>
          <x:t xml:space="preserve"/>
        </x:is>
      </x:c>
      <x:c r="R314" s="24" t="inlineStr">
        <x:is>
          <x:t xml:space="preserve"/>
        </x:is>
      </x:c>
      <x:c r="S314" s="25">
        <x:f>IF(H314="","",IFERROR(H314/G314,""))</x:f>
      </x:c>
      <x:c r="T314" s="26">
        <x:f>IF(H314="","",IFERROR((J314+K314+L314+N314)/H314,""))</x:f>
      </x:c>
      <x:c r="U314" s="25">
        <x:f>IF(COUNTA(J314:L314,N314)=0,"",IFERROR(AVERAGE(J314:L314,N314),""))</x:f>
      </x:c>
      <x:c r="V314" s="17" t="inlineStr">
        <x:is>
          <x:t xml:space="preserve"/>
        </x:is>
      </x:c>
    </x:row>
    <x:row r="315">
      <x:c r="A315" s="16" t="inlineStr">
        <x:is>
          <x:t xml:space="preserve">P026</x:t>
        </x:is>
      </x:c>
      <x:c r="B315" s="16" t="n">
        <x:v>11</x:v>
      </x:c>
      <x:c r="C315" s="16" t="inlineStr">
        <x:is>
          <x:t xml:space="preserve">V08</x:t>
        </x:is>
      </x:c>
      <x:c r="D315" s="16" t="inlineStr">
        <x:is>
          <x:t xml:space="preserve">Coding</x:t>
        </x:is>
      </x:c>
      <x:c r="E315" s="16" t="inlineStr">
        <x:is>
          <x:t xml:space="preserve">Semantic compression</x:t>
        </x:is>
      </x:c>
      <x:c r="F315" s="16" t="inlineStr">
        <x:is>
          <x:t xml:space="preserve">Muted</x:t>
        </x:is>
      </x:c>
      <x:c r="G315" s="21" t="n">
        <x:v>24</x:v>
      </x:c>
      <x:c r="H315" s="21" t="inlineStr">
        <x:is>
          <x:t xml:space="preserve"/>
        </x:is>
      </x:c>
      <x:c r="I315" s="21" t="inlineStr">
        <x:is>
          <x:t xml:space="preserve"/>
        </x:is>
      </x:c>
      <x:c r="J315" s="21" t="inlineStr">
        <x:is>
          <x:t xml:space="preserve"/>
        </x:is>
      </x:c>
      <x:c r="K315" s="21" t="inlineStr">
        <x:is>
          <x:t xml:space="preserve"/>
        </x:is>
      </x:c>
      <x:c r="L315" s="21" t="inlineStr">
        <x:is>
          <x:t xml:space="preserve"/>
        </x:is>
      </x:c>
      <x:c r="M315" s="21" t="inlineStr">
        <x:is>
          <x:t xml:space="preserve"/>
        </x:is>
      </x:c>
      <x:c r="N315" s="21" t="inlineStr">
        <x:is>
          <x:t xml:space="preserve"/>
        </x:is>
      </x:c>
      <x:c r="O315" s="21" t="inlineStr">
        <x:is>
          <x:t xml:space="preserve"/>
        </x:is>
      </x:c>
      <x:c r="P315" s="21" t="inlineStr">
        <x:is>
          <x:t xml:space="preserve"/>
        </x:is>
      </x:c>
      <x:c r="Q315" s="21" t="inlineStr">
        <x:is>
          <x:t xml:space="preserve"/>
        </x:is>
      </x:c>
      <x:c r="R315" s="21" t="inlineStr">
        <x:is>
          <x:t xml:space="preserve"/>
        </x:is>
      </x:c>
      <x:c r="S315" s="22">
        <x:f>IF(H315="","",IFERROR(H315/G315,""))</x:f>
      </x:c>
      <x:c r="T315" s="23">
        <x:f>IF(H315="","",IFERROR((J315+K315+L315+N315)/H315,""))</x:f>
      </x:c>
      <x:c r="U315" s="22">
        <x:f>IF(COUNTA(J315:L315,N315)=0,"",IFERROR(AVERAGE(J315:L315,N315),""))</x:f>
      </x:c>
      <x:c r="V315" s="16" t="inlineStr">
        <x:is>
          <x:t xml:space="preserve"/>
        </x:is>
      </x:c>
    </x:row>
    <x:row r="316">
      <x:c r="A316" s="17" t="inlineStr">
        <x:is>
          <x:t xml:space="preserve">P026</x:t>
        </x:is>
      </x:c>
      <x:c r="B316" s="17" t="n">
        <x:v>12</x:v>
      </x:c>
      <x:c r="C316" s="17" t="inlineStr">
        <x:is>
          <x:t xml:space="preserve">V01</x:t>
        </x:is>
      </x:c>
      <x:c r="D316" s="17" t="inlineStr">
        <x:is>
          <x:t xml:space="preserve">Productivity</x:t>
        </x:is>
      </x:c>
      <x:c r="E316" s="17" t="inlineStr">
        <x:is>
          <x:t xml:space="preserve">Keyword highlight</x:t>
        </x:is>
      </x:c>
      <x:c r="F316" s="17" t="inlineStr">
        <x:is>
          <x:t xml:space="preserve">Muted</x:t>
        </x:is>
      </x:c>
      <x:c r="G316" s="24" t="n">
        <x:v>25</x:v>
      </x:c>
      <x:c r="H316" s="24" t="inlineStr">
        <x:is>
          <x:t xml:space="preserve"/>
        </x:is>
      </x:c>
      <x:c r="I316" s="24" t="inlineStr">
        <x:is>
          <x:t xml:space="preserve"/>
        </x:is>
      </x:c>
      <x:c r="J316" s="24" t="inlineStr">
        <x:is>
          <x:t xml:space="preserve"/>
        </x:is>
      </x:c>
      <x:c r="K316" s="24" t="inlineStr">
        <x:is>
          <x:t xml:space="preserve"/>
        </x:is>
      </x:c>
      <x:c r="L316" s="24" t="inlineStr">
        <x:is>
          <x:t xml:space="preserve"/>
        </x:is>
      </x:c>
      <x:c r="M316" s="24" t="inlineStr">
        <x:is>
          <x:t xml:space="preserve"/>
        </x:is>
      </x:c>
      <x:c r="N316" s="24" t="inlineStr">
        <x:is>
          <x:t xml:space="preserve"/>
        </x:is>
      </x:c>
      <x:c r="O316" s="24" t="inlineStr">
        <x:is>
          <x:t xml:space="preserve"/>
        </x:is>
      </x:c>
      <x:c r="P316" s="24" t="inlineStr">
        <x:is>
          <x:t xml:space="preserve"/>
        </x:is>
      </x:c>
      <x:c r="Q316" s="24" t="inlineStr">
        <x:is>
          <x:t xml:space="preserve"/>
        </x:is>
      </x:c>
      <x:c r="R316" s="24" t="inlineStr">
        <x:is>
          <x:t xml:space="preserve"/>
        </x:is>
      </x:c>
      <x:c r="S316" s="25">
        <x:f>IF(H316="","",IFERROR(H316/G316,""))</x:f>
      </x:c>
      <x:c r="T316" s="26">
        <x:f>IF(H316="","",IFERROR((J316+K316+L316+N316)/H316,""))</x:f>
      </x:c>
      <x:c r="U316" s="25">
        <x:f>IF(COUNTA(J316:L316,N316)=0,"",IFERROR(AVERAGE(J316:L316,N316),""))</x:f>
      </x:c>
      <x:c r="V316" s="17" t="inlineStr">
        <x:is>
          <x:t xml:space="preserve"/>
        </x:is>
      </x:c>
    </x:row>
    <x:row r="317">
      <x:c r="A317" s="16" t="inlineStr">
        <x:is>
          <x:t xml:space="preserve">P027</x:t>
        </x:is>
      </x:c>
      <x:c r="B317" s="16" t="n">
        <x:v>1</x:v>
      </x:c>
      <x:c r="C317" s="16" t="inlineStr">
        <x:is>
          <x:t xml:space="preserve">V07</x:t>
        </x:is>
      </x:c>
      <x:c r="D317" s="16" t="inlineStr">
        <x:is>
          <x:t xml:space="preserve">Business</x:t>
        </x:is>
      </x:c>
      <x:c r="E317" s="16" t="inlineStr">
        <x:is>
          <x:t xml:space="preserve">Semantic compression</x:t>
        </x:is>
      </x:c>
      <x:c r="F317" s="16" t="inlineStr">
        <x:is>
          <x:t xml:space="preserve">Muted</x:t>
        </x:is>
      </x:c>
      <x:c r="G317" s="21" t="n">
        <x:v>18</x:v>
      </x:c>
      <x:c r="H317" s="21" t="inlineStr">
        <x:is>
          <x:t xml:space="preserve"/>
        </x:is>
      </x:c>
      <x:c r="I317" s="21" t="inlineStr">
        <x:is>
          <x:t xml:space="preserve"/>
        </x:is>
      </x:c>
      <x:c r="J317" s="21" t="inlineStr">
        <x:is>
          <x:t xml:space="preserve"/>
        </x:is>
      </x:c>
      <x:c r="K317" s="21" t="inlineStr">
        <x:is>
          <x:t xml:space="preserve"/>
        </x:is>
      </x:c>
      <x:c r="L317" s="21" t="inlineStr">
        <x:is>
          <x:t xml:space="preserve"/>
        </x:is>
      </x:c>
      <x:c r="M317" s="21" t="inlineStr">
        <x:is>
          <x:t xml:space="preserve"/>
        </x:is>
      </x:c>
      <x:c r="N317" s="21" t="inlineStr">
        <x:is>
          <x:t xml:space="preserve"/>
        </x:is>
      </x:c>
      <x:c r="O317" s="21" t="inlineStr">
        <x:is>
          <x:t xml:space="preserve"/>
        </x:is>
      </x:c>
      <x:c r="P317" s="21" t="inlineStr">
        <x:is>
          <x:t xml:space="preserve"/>
        </x:is>
      </x:c>
      <x:c r="Q317" s="21" t="inlineStr">
        <x:is>
          <x:t xml:space="preserve"/>
        </x:is>
      </x:c>
      <x:c r="R317" s="21" t="inlineStr">
        <x:is>
          <x:t xml:space="preserve"/>
        </x:is>
      </x:c>
      <x:c r="S317" s="22">
        <x:f>IF(H317="","",IFERROR(H317/G317,""))</x:f>
      </x:c>
      <x:c r="T317" s="23">
        <x:f>IF(H317="","",IFERROR((J317+K317+L317+N317)/H317,""))</x:f>
      </x:c>
      <x:c r="U317" s="22">
        <x:f>IF(COUNTA(J317:L317,N317)=0,"",IFERROR(AVERAGE(J317:L317,N317),""))</x:f>
      </x:c>
      <x:c r="V317" s="16" t="inlineStr">
        <x:is>
          <x:t xml:space="preserve"/>
        </x:is>
      </x:c>
    </x:row>
    <x:row r="318">
      <x:c r="A318" s="17" t="inlineStr">
        <x:is>
          <x:t xml:space="preserve">P027</x:t>
        </x:is>
      </x:c>
      <x:c r="B318" s="17" t="n">
        <x:v>2</x:v>
      </x:c>
      <x:c r="C318" s="17" t="inlineStr">
        <x:is>
          <x:t xml:space="preserve">V06</x:t>
        </x:is>
      </x:c>
      <x:c r="D318" s="17" t="inlineStr">
        <x:is>
          <x:t xml:space="preserve">Overload</x:t>
        </x:is>
      </x:c>
      <x:c r="E318" s="17" t="inlineStr">
        <x:is>
          <x:t xml:space="preserve">Keyword highlight</x:t>
        </x:is>
      </x:c>
      <x:c r="F318" s="17" t="inlineStr">
        <x:is>
          <x:t xml:space="preserve">Muted</x:t>
        </x:is>
      </x:c>
      <x:c r="G318" s="24" t="n">
        <x:v>16</x:v>
      </x:c>
      <x:c r="H318" s="24" t="inlineStr">
        <x:is>
          <x:t xml:space="preserve"/>
        </x:is>
      </x:c>
      <x:c r="I318" s="24" t="inlineStr">
        <x:is>
          <x:t xml:space="preserve"/>
        </x:is>
      </x:c>
      <x:c r="J318" s="24" t="inlineStr">
        <x:is>
          <x:t xml:space="preserve"/>
        </x:is>
      </x:c>
      <x:c r="K318" s="24" t="inlineStr">
        <x:is>
          <x:t xml:space="preserve"/>
        </x:is>
      </x:c>
      <x:c r="L318" s="24" t="inlineStr">
        <x:is>
          <x:t xml:space="preserve"/>
        </x:is>
      </x:c>
      <x:c r="M318" s="24" t="inlineStr">
        <x:is>
          <x:t xml:space="preserve"/>
        </x:is>
      </x:c>
      <x:c r="N318" s="24" t="inlineStr">
        <x:is>
          <x:t xml:space="preserve"/>
        </x:is>
      </x:c>
      <x:c r="O318" s="24" t="inlineStr">
        <x:is>
          <x:t xml:space="preserve"/>
        </x:is>
      </x:c>
      <x:c r="P318" s="24" t="inlineStr">
        <x:is>
          <x:t xml:space="preserve"/>
        </x:is>
      </x:c>
      <x:c r="Q318" s="24" t="inlineStr">
        <x:is>
          <x:t xml:space="preserve"/>
        </x:is>
      </x:c>
      <x:c r="R318" s="24" t="inlineStr">
        <x:is>
          <x:t xml:space="preserve"/>
        </x:is>
      </x:c>
      <x:c r="S318" s="25">
        <x:f>IF(H318="","",IFERROR(H318/G318,""))</x:f>
      </x:c>
      <x:c r="T318" s="26">
        <x:f>IF(H318="","",IFERROR((J318+K318+L318+N318)/H318,""))</x:f>
      </x:c>
      <x:c r="U318" s="25">
        <x:f>IF(COUNTA(J318:L318,N318)=0,"",IFERROR(AVERAGE(J318:L318,N318),""))</x:f>
      </x:c>
      <x:c r="V318" s="17" t="inlineStr">
        <x:is>
          <x:t xml:space="preserve"/>
        </x:is>
      </x:c>
    </x:row>
    <x:row r="319">
      <x:c r="A319" s="16" t="inlineStr">
        <x:is>
          <x:t xml:space="preserve">P027</x:t>
        </x:is>
      </x:c>
      <x:c r="B319" s="16" t="n">
        <x:v>3</x:v>
      </x:c>
      <x:c r="C319" s="16" t="inlineStr">
        <x:is>
          <x:t xml:space="preserve">V03</x:t>
        </x:is>
      </x:c>
      <x:c r="D319" s="16" t="inlineStr">
        <x:is>
          <x:t xml:space="preserve">Fitness</x:t>
        </x:is>
      </x:c>
      <x:c r="E319" s="16" t="inlineStr">
        <x:is>
          <x:t xml:space="preserve">BCC+</x:t>
        </x:is>
      </x:c>
      <x:c r="F319" s="16" t="inlineStr">
        <x:is>
          <x:t xml:space="preserve">Muted</x:t>
        </x:is>
      </x:c>
      <x:c r="G319" s="21" t="n">
        <x:v>18</x:v>
      </x:c>
      <x:c r="H319" s="21" t="inlineStr">
        <x:is>
          <x:t xml:space="preserve"/>
        </x:is>
      </x:c>
      <x:c r="I319" s="21" t="inlineStr">
        <x:is>
          <x:t xml:space="preserve"/>
        </x:is>
      </x:c>
      <x:c r="J319" s="21" t="inlineStr">
        <x:is>
          <x:t xml:space="preserve"/>
        </x:is>
      </x:c>
      <x:c r="K319" s="21" t="inlineStr">
        <x:is>
          <x:t xml:space="preserve"/>
        </x:is>
      </x:c>
      <x:c r="L319" s="21" t="inlineStr">
        <x:is>
          <x:t xml:space="preserve"/>
        </x:is>
      </x:c>
      <x:c r="M319" s="21" t="inlineStr">
        <x:is>
          <x:t xml:space="preserve"/>
        </x:is>
      </x:c>
      <x:c r="N319" s="21" t="inlineStr">
        <x:is>
          <x:t xml:space="preserve"/>
        </x:is>
      </x:c>
      <x:c r="O319" s="21" t="inlineStr">
        <x:is>
          <x:t xml:space="preserve"/>
        </x:is>
      </x:c>
      <x:c r="P319" s="21" t="inlineStr">
        <x:is>
          <x:t xml:space="preserve"/>
        </x:is>
      </x:c>
      <x:c r="Q319" s="21" t="inlineStr">
        <x:is>
          <x:t xml:space="preserve"/>
        </x:is>
      </x:c>
      <x:c r="R319" s="21" t="inlineStr">
        <x:is>
          <x:t xml:space="preserve"/>
        </x:is>
      </x:c>
      <x:c r="S319" s="22">
        <x:f>IF(H319="","",IFERROR(H319/G319,""))</x:f>
      </x:c>
      <x:c r="T319" s="23">
        <x:f>IF(H319="","",IFERROR((J319+K319+L319+N319)/H319,""))</x:f>
      </x:c>
      <x:c r="U319" s="22">
        <x:f>IF(COUNTA(J319:L319,N319)=0,"",IFERROR(AVERAGE(J319:L319,N319),""))</x:f>
      </x:c>
      <x:c r="V319" s="16" t="inlineStr">
        <x:is>
          <x:t xml:space="preserve"/>
        </x:is>
      </x:c>
    </x:row>
    <x:row r="320">
      <x:c r="A320" s="17" t="inlineStr">
        <x:is>
          <x:t xml:space="preserve">P027</x:t>
        </x:is>
      </x:c>
      <x:c r="B320" s="17" t="n">
        <x:v>4</x:v>
      </x:c>
      <x:c r="C320" s="17" t="inlineStr">
        <x:is>
          <x:t xml:space="preserve">V04</x:t>
        </x:is>
      </x:c>
      <x:c r="D320" s="17" t="inlineStr">
        <x:is>
          <x:t xml:space="preserve">Finance</x:t>
        </x:is>
      </x:c>
      <x:c r="E320" s="17" t="inlineStr">
        <x:is>
          <x:t xml:space="preserve">Heavy bionic</x:t>
        </x:is>
      </x:c>
      <x:c r="F320" s="17" t="inlineStr">
        <x:is>
          <x:t xml:space="preserve">Muted</x:t>
        </x:is>
      </x:c>
      <x:c r="G320" s="24" t="n">
        <x:v>20</x:v>
      </x:c>
      <x:c r="H320" s="24" t="inlineStr">
        <x:is>
          <x:t xml:space="preserve"/>
        </x:is>
      </x:c>
      <x:c r="I320" s="24" t="inlineStr">
        <x:is>
          <x:t xml:space="preserve"/>
        </x:is>
      </x:c>
      <x:c r="J320" s="24" t="inlineStr">
        <x:is>
          <x:t xml:space="preserve"/>
        </x:is>
      </x:c>
      <x:c r="K320" s="24" t="inlineStr">
        <x:is>
          <x:t xml:space="preserve"/>
        </x:is>
      </x:c>
      <x:c r="L320" s="24" t="inlineStr">
        <x:is>
          <x:t xml:space="preserve"/>
        </x:is>
      </x:c>
      <x:c r="M320" s="24" t="inlineStr">
        <x:is>
          <x:t xml:space="preserve"/>
        </x:is>
      </x:c>
      <x:c r="N320" s="24" t="inlineStr">
        <x:is>
          <x:t xml:space="preserve"/>
        </x:is>
      </x:c>
      <x:c r="O320" s="24" t="inlineStr">
        <x:is>
          <x:t xml:space="preserve"/>
        </x:is>
      </x:c>
      <x:c r="P320" s="24" t="inlineStr">
        <x:is>
          <x:t xml:space="preserve"/>
        </x:is>
      </x:c>
      <x:c r="Q320" s="24" t="inlineStr">
        <x:is>
          <x:t xml:space="preserve"/>
        </x:is>
      </x:c>
      <x:c r="R320" s="24" t="inlineStr">
        <x:is>
          <x:t xml:space="preserve"/>
        </x:is>
      </x:c>
      <x:c r="S320" s="25">
        <x:f>IF(H320="","",IFERROR(H320/G320,""))</x:f>
      </x:c>
      <x:c r="T320" s="26">
        <x:f>IF(H320="","",IFERROR((J320+K320+L320+N320)/H320,""))</x:f>
      </x:c>
      <x:c r="U320" s="25">
        <x:f>IF(COUNTA(J320:L320,N320)=0,"",IFERROR(AVERAGE(J320:L320,N320),""))</x:f>
      </x:c>
      <x:c r="V320" s="17" t="inlineStr">
        <x:is>
          <x:t xml:space="preserve"/>
        </x:is>
      </x:c>
    </x:row>
    <x:row r="321">
      <x:c r="A321" s="16" t="inlineStr">
        <x:is>
          <x:t xml:space="preserve">P027</x:t>
        </x:is>
      </x:c>
      <x:c r="B321" s="16" t="n">
        <x:v>5</x:v>
      </x:c>
      <x:c r="C321" s="16" t="inlineStr">
        <x:is>
          <x:t xml:space="preserve">V05</x:t>
        </x:is>
      </x:c>
      <x:c r="D321" s="16" t="inlineStr">
        <x:is>
          <x:t xml:space="preserve">Tutorial</x:t>
        </x:is>
      </x:c>
      <x:c r="E321" s="16" t="inlineStr">
        <x:is>
          <x:t xml:space="preserve">Full transcript</x:t>
        </x:is>
      </x:c>
      <x:c r="F321" s="16" t="inlineStr">
        <x:is>
          <x:t xml:space="preserve">Muted</x:t>
        </x:is>
      </x:c>
      <x:c r="G321" s="21" t="n">
        <x:v>20</x:v>
      </x:c>
      <x:c r="H321" s="21" t="inlineStr">
        <x:is>
          <x:t xml:space="preserve"/>
        </x:is>
      </x:c>
      <x:c r="I321" s="21" t="inlineStr">
        <x:is>
          <x:t xml:space="preserve"/>
        </x:is>
      </x:c>
      <x:c r="J321" s="21" t="inlineStr">
        <x:is>
          <x:t xml:space="preserve"/>
        </x:is>
      </x:c>
      <x:c r="K321" s="21" t="inlineStr">
        <x:is>
          <x:t xml:space="preserve"/>
        </x:is>
      </x:c>
      <x:c r="L321" s="21" t="inlineStr">
        <x:is>
          <x:t xml:space="preserve"/>
        </x:is>
      </x:c>
      <x:c r="M321" s="21" t="inlineStr">
        <x:is>
          <x:t xml:space="preserve"/>
        </x:is>
      </x:c>
      <x:c r="N321" s="21" t="inlineStr">
        <x:is>
          <x:t xml:space="preserve"/>
        </x:is>
      </x:c>
      <x:c r="O321" s="21" t="inlineStr">
        <x:is>
          <x:t xml:space="preserve"/>
        </x:is>
      </x:c>
      <x:c r="P321" s="21" t="inlineStr">
        <x:is>
          <x:t xml:space="preserve"/>
        </x:is>
      </x:c>
      <x:c r="Q321" s="21" t="inlineStr">
        <x:is>
          <x:t xml:space="preserve"/>
        </x:is>
      </x:c>
      <x:c r="R321" s="21" t="inlineStr">
        <x:is>
          <x:t xml:space="preserve"/>
        </x:is>
      </x:c>
      <x:c r="S321" s="22">
        <x:f>IF(H321="","",IFERROR(H321/G321,""))</x:f>
      </x:c>
      <x:c r="T321" s="23">
        <x:f>IF(H321="","",IFERROR((J321+K321+L321+N321)/H321,""))</x:f>
      </x:c>
      <x:c r="U321" s="22">
        <x:f>IF(COUNTA(J321:L321,N321)=0,"",IFERROR(AVERAGE(J321:L321,N321),""))</x:f>
      </x:c>
      <x:c r="V321" s="16" t="inlineStr">
        <x:is>
          <x:t xml:space="preserve"/>
        </x:is>
      </x:c>
    </x:row>
    <x:row r="322">
      <x:c r="A322" s="17" t="inlineStr">
        <x:is>
          <x:t xml:space="preserve">P027</x:t>
        </x:is>
      </x:c>
      <x:c r="B322" s="17" t="n">
        <x:v>6</x:v>
      </x:c>
      <x:c r="C322" s="17" t="inlineStr">
        <x:is>
          <x:t xml:space="preserve">V12</x:t>
        </x:is>
      </x:c>
      <x:c r="D322" s="17" t="inlineStr">
        <x:is>
          <x:t xml:space="preserve">Time management</x:t>
        </x:is>
      </x:c>
      <x:c r="E322" s="17" t="inlineStr">
        <x:is>
          <x:t xml:space="preserve">Keyword highlight</x:t>
        </x:is>
      </x:c>
      <x:c r="F322" s="17" t="inlineStr">
        <x:is>
          <x:t xml:space="preserve">Muted</x:t>
        </x:is>
      </x:c>
      <x:c r="G322" s="24" t="n">
        <x:v>21</x:v>
      </x:c>
      <x:c r="H322" s="24" t="inlineStr">
        <x:is>
          <x:t xml:space="preserve"/>
        </x:is>
      </x:c>
      <x:c r="I322" s="24" t="inlineStr">
        <x:is>
          <x:t xml:space="preserve"/>
        </x:is>
      </x:c>
      <x:c r="J322" s="24" t="inlineStr">
        <x:is>
          <x:t xml:space="preserve"/>
        </x:is>
      </x:c>
      <x:c r="K322" s="24" t="inlineStr">
        <x:is>
          <x:t xml:space="preserve"/>
        </x:is>
      </x:c>
      <x:c r="L322" s="24" t="inlineStr">
        <x:is>
          <x:t xml:space="preserve"/>
        </x:is>
      </x:c>
      <x:c r="M322" s="24" t="inlineStr">
        <x:is>
          <x:t xml:space="preserve"/>
        </x:is>
      </x:c>
      <x:c r="N322" s="24" t="inlineStr">
        <x:is>
          <x:t xml:space="preserve"/>
        </x:is>
      </x:c>
      <x:c r="O322" s="24" t="inlineStr">
        <x:is>
          <x:t xml:space="preserve"/>
        </x:is>
      </x:c>
      <x:c r="P322" s="24" t="inlineStr">
        <x:is>
          <x:t xml:space="preserve"/>
        </x:is>
      </x:c>
      <x:c r="Q322" s="24" t="inlineStr">
        <x:is>
          <x:t xml:space="preserve"/>
        </x:is>
      </x:c>
      <x:c r="R322" s="24" t="inlineStr">
        <x:is>
          <x:t xml:space="preserve"/>
        </x:is>
      </x:c>
      <x:c r="S322" s="25">
        <x:f>IF(H322="","",IFERROR(H322/G322,""))</x:f>
      </x:c>
      <x:c r="T322" s="26">
        <x:f>IF(H322="","",IFERROR((J322+K322+L322+N322)/H322,""))</x:f>
      </x:c>
      <x:c r="U322" s="25">
        <x:f>IF(COUNTA(J322:L322,N322)=0,"",IFERROR(AVERAGE(J322:L322,N322),""))</x:f>
      </x:c>
      <x:c r="V322" s="17" t="inlineStr">
        <x:is>
          <x:t xml:space="preserve"/>
        </x:is>
      </x:c>
    </x:row>
    <x:row r="323">
      <x:c r="A323" s="16" t="inlineStr">
        <x:is>
          <x:t xml:space="preserve">P027</x:t>
        </x:is>
      </x:c>
      <x:c r="B323" s="16" t="n">
        <x:v>7</x:v>
      </x:c>
      <x:c r="C323" s="16" t="inlineStr">
        <x:is>
          <x:t xml:space="preserve">V10</x:t>
        </x:is>
      </x:c>
      <x:c r="D323" s="16" t="inlineStr">
        <x:is>
          <x:t xml:space="preserve">Product demo</x:t>
        </x:is>
      </x:c>
      <x:c r="E323" s="16" t="inlineStr">
        <x:is>
          <x:t xml:space="preserve">Heavy bionic</x:t>
        </x:is>
      </x:c>
      <x:c r="F323" s="16" t="inlineStr">
        <x:is>
          <x:t xml:space="preserve">Muted</x:t>
        </x:is>
      </x:c>
      <x:c r="G323" s="21" t="n">
        <x:v>15</x:v>
      </x:c>
      <x:c r="H323" s="21" t="inlineStr">
        <x:is>
          <x:t xml:space="preserve"/>
        </x:is>
      </x:c>
      <x:c r="I323" s="21" t="inlineStr">
        <x:is>
          <x:t xml:space="preserve"/>
        </x:is>
      </x:c>
      <x:c r="J323" s="21" t="inlineStr">
        <x:is>
          <x:t xml:space="preserve"/>
        </x:is>
      </x:c>
      <x:c r="K323" s="21" t="inlineStr">
        <x:is>
          <x:t xml:space="preserve"/>
        </x:is>
      </x:c>
      <x:c r="L323" s="21" t="inlineStr">
        <x:is>
          <x:t xml:space="preserve"/>
        </x:is>
      </x:c>
      <x:c r="M323" s="21" t="inlineStr">
        <x:is>
          <x:t xml:space="preserve"/>
        </x:is>
      </x:c>
      <x:c r="N323" s="21" t="inlineStr">
        <x:is>
          <x:t xml:space="preserve"/>
        </x:is>
      </x:c>
      <x:c r="O323" s="21" t="inlineStr">
        <x:is>
          <x:t xml:space="preserve"/>
        </x:is>
      </x:c>
      <x:c r="P323" s="21" t="inlineStr">
        <x:is>
          <x:t xml:space="preserve"/>
        </x:is>
      </x:c>
      <x:c r="Q323" s="21" t="inlineStr">
        <x:is>
          <x:t xml:space="preserve"/>
        </x:is>
      </x:c>
      <x:c r="R323" s="21" t="inlineStr">
        <x:is>
          <x:t xml:space="preserve"/>
        </x:is>
      </x:c>
      <x:c r="S323" s="22">
        <x:f>IF(H323="","",IFERROR(H323/G323,""))</x:f>
      </x:c>
      <x:c r="T323" s="23">
        <x:f>IF(H323="","",IFERROR((J323+K323+L323+N323)/H323,""))</x:f>
      </x:c>
      <x:c r="U323" s="22">
        <x:f>IF(COUNTA(J323:L323,N323)=0,"",IFERROR(AVERAGE(J323:L323,N323),""))</x:f>
      </x:c>
      <x:c r="V323" s="16" t="inlineStr">
        <x:is>
          <x:t xml:space="preserve"/>
        </x:is>
      </x:c>
    </x:row>
    <x:row r="324">
      <x:c r="A324" s="17" t="inlineStr">
        <x:is>
          <x:t xml:space="preserve">P027</x:t>
        </x:is>
      </x:c>
      <x:c r="B324" s="17" t="n">
        <x:v>8</x:v>
      </x:c>
      <x:c r="C324" s="17" t="inlineStr">
        <x:is>
          <x:t xml:space="preserve">V08</x:t>
        </x:is>
      </x:c>
      <x:c r="D324" s="17" t="inlineStr">
        <x:is>
          <x:t xml:space="preserve">Coding</x:t>
        </x:is>
      </x:c>
      <x:c r="E324" s="17" t="inlineStr">
        <x:is>
          <x:t xml:space="preserve">BCC</x:t>
        </x:is>
      </x:c>
      <x:c r="F324" s="17" t="inlineStr">
        <x:is>
          <x:t xml:space="preserve">Muted</x:t>
        </x:is>
      </x:c>
      <x:c r="G324" s="24" t="n">
        <x:v>24</x:v>
      </x:c>
      <x:c r="H324" s="24" t="inlineStr">
        <x:is>
          <x:t xml:space="preserve"/>
        </x:is>
      </x:c>
      <x:c r="I324" s="24" t="inlineStr">
        <x:is>
          <x:t xml:space="preserve"/>
        </x:is>
      </x:c>
      <x:c r="J324" s="24" t="inlineStr">
        <x:is>
          <x:t xml:space="preserve"/>
        </x:is>
      </x:c>
      <x:c r="K324" s="24" t="inlineStr">
        <x:is>
          <x:t xml:space="preserve"/>
        </x:is>
      </x:c>
      <x:c r="L324" s="24" t="inlineStr">
        <x:is>
          <x:t xml:space="preserve"/>
        </x:is>
      </x:c>
      <x:c r="M324" s="24" t="inlineStr">
        <x:is>
          <x:t xml:space="preserve"/>
        </x:is>
      </x:c>
      <x:c r="N324" s="24" t="inlineStr">
        <x:is>
          <x:t xml:space="preserve"/>
        </x:is>
      </x:c>
      <x:c r="O324" s="24" t="inlineStr">
        <x:is>
          <x:t xml:space="preserve"/>
        </x:is>
      </x:c>
      <x:c r="P324" s="24" t="inlineStr">
        <x:is>
          <x:t xml:space="preserve"/>
        </x:is>
      </x:c>
      <x:c r="Q324" s="24" t="inlineStr">
        <x:is>
          <x:t xml:space="preserve"/>
        </x:is>
      </x:c>
      <x:c r="R324" s="24" t="inlineStr">
        <x:is>
          <x:t xml:space="preserve"/>
        </x:is>
      </x:c>
      <x:c r="S324" s="25">
        <x:f>IF(H324="","",IFERROR(H324/G324,""))</x:f>
      </x:c>
      <x:c r="T324" s="26">
        <x:f>IF(H324="","",IFERROR((J324+K324+L324+N324)/H324,""))</x:f>
      </x:c>
      <x:c r="U324" s="25">
        <x:f>IF(COUNTA(J324:L324,N324)=0,"",IFERROR(AVERAGE(J324:L324,N324),""))</x:f>
      </x:c>
      <x:c r="V324" s="17" t="inlineStr">
        <x:is>
          <x:t xml:space="preserve"/>
        </x:is>
      </x:c>
    </x:row>
    <x:row r="325">
      <x:c r="A325" s="16" t="inlineStr">
        <x:is>
          <x:t xml:space="preserve">P027</x:t>
        </x:is>
      </x:c>
      <x:c r="B325" s="16" t="n">
        <x:v>9</x:v>
      </x:c>
      <x:c r="C325" s="16" t="inlineStr">
        <x:is>
          <x:t xml:space="preserve">V09</x:t>
        </x:is>
      </x:c>
      <x:c r="D325" s="16" t="inlineStr">
        <x:is>
          <x:t xml:space="preserve">Sleep habit</x:t>
        </x:is>
      </x:c>
      <x:c r="E325" s="16" t="inlineStr">
        <x:is>
          <x:t xml:space="preserve">BCC+</x:t>
        </x:is>
      </x:c>
      <x:c r="F325" s="16" t="inlineStr">
        <x:is>
          <x:t xml:space="preserve">Muted</x:t>
        </x:is>
      </x:c>
      <x:c r="G325" s="21" t="n">
        <x:v>19</x:v>
      </x:c>
      <x:c r="H325" s="21" t="inlineStr">
        <x:is>
          <x:t xml:space="preserve"/>
        </x:is>
      </x:c>
      <x:c r="I325" s="21" t="inlineStr">
        <x:is>
          <x:t xml:space="preserve"/>
        </x:is>
      </x:c>
      <x:c r="J325" s="21" t="inlineStr">
        <x:is>
          <x:t xml:space="preserve"/>
        </x:is>
      </x:c>
      <x:c r="K325" s="21" t="inlineStr">
        <x:is>
          <x:t xml:space="preserve"/>
        </x:is>
      </x:c>
      <x:c r="L325" s="21" t="inlineStr">
        <x:is>
          <x:t xml:space="preserve"/>
        </x:is>
      </x:c>
      <x:c r="M325" s="21" t="inlineStr">
        <x:is>
          <x:t xml:space="preserve"/>
        </x:is>
      </x:c>
      <x:c r="N325" s="21" t="inlineStr">
        <x:is>
          <x:t xml:space="preserve"/>
        </x:is>
      </x:c>
      <x:c r="O325" s="21" t="inlineStr">
        <x:is>
          <x:t xml:space="preserve"/>
        </x:is>
      </x:c>
      <x:c r="P325" s="21" t="inlineStr">
        <x:is>
          <x:t xml:space="preserve"/>
        </x:is>
      </x:c>
      <x:c r="Q325" s="21" t="inlineStr">
        <x:is>
          <x:t xml:space="preserve"/>
        </x:is>
      </x:c>
      <x:c r="R325" s="21" t="inlineStr">
        <x:is>
          <x:t xml:space="preserve"/>
        </x:is>
      </x:c>
      <x:c r="S325" s="22">
        <x:f>IF(H325="","",IFERROR(H325/G325,""))</x:f>
      </x:c>
      <x:c r="T325" s="23">
        <x:f>IF(H325="","",IFERROR((J325+K325+L325+N325)/H325,""))</x:f>
      </x:c>
      <x:c r="U325" s="22">
        <x:f>IF(COUNTA(J325:L325,N325)=0,"",IFERROR(AVERAGE(J325:L325,N325),""))</x:f>
      </x:c>
      <x:c r="V325" s="16" t="inlineStr">
        <x:is>
          <x:t xml:space="preserve"/>
        </x:is>
      </x:c>
    </x:row>
    <x:row r="326">
      <x:c r="A326" s="17" t="inlineStr">
        <x:is>
          <x:t xml:space="preserve">P027</x:t>
        </x:is>
      </x:c>
      <x:c r="B326" s="17" t="n">
        <x:v>10</x:v>
      </x:c>
      <x:c r="C326" s="17" t="inlineStr">
        <x:is>
          <x:t xml:space="preserve">V11</x:t>
        </x:is>
      </x:c>
      <x:c r="D326" s="17" t="inlineStr">
        <x:is>
          <x:t xml:space="preserve">Creator strategy</x:t>
        </x:is>
      </x:c>
      <x:c r="E326" s="17" t="inlineStr">
        <x:is>
          <x:t xml:space="preserve">Full transcript</x:t>
        </x:is>
      </x:c>
      <x:c r="F326" s="17" t="inlineStr">
        <x:is>
          <x:t xml:space="preserve">Muted</x:t>
        </x:is>
      </x:c>
      <x:c r="G326" s="24" t="n">
        <x:v>17</x:v>
      </x:c>
      <x:c r="H326" s="24" t="inlineStr">
        <x:is>
          <x:t xml:space="preserve"/>
        </x:is>
      </x:c>
      <x:c r="I326" s="24" t="inlineStr">
        <x:is>
          <x:t xml:space="preserve"/>
        </x:is>
      </x:c>
      <x:c r="J326" s="24" t="inlineStr">
        <x:is>
          <x:t xml:space="preserve"/>
        </x:is>
      </x:c>
      <x:c r="K326" s="24" t="inlineStr">
        <x:is>
          <x:t xml:space="preserve"/>
        </x:is>
      </x:c>
      <x:c r="L326" s="24" t="inlineStr">
        <x:is>
          <x:t xml:space="preserve"/>
        </x:is>
      </x:c>
      <x:c r="M326" s="24" t="inlineStr">
        <x:is>
          <x:t xml:space="preserve"/>
        </x:is>
      </x:c>
      <x:c r="N326" s="24" t="inlineStr">
        <x:is>
          <x:t xml:space="preserve"/>
        </x:is>
      </x:c>
      <x:c r="O326" s="24" t="inlineStr">
        <x:is>
          <x:t xml:space="preserve"/>
        </x:is>
      </x:c>
      <x:c r="P326" s="24" t="inlineStr">
        <x:is>
          <x:t xml:space="preserve"/>
        </x:is>
      </x:c>
      <x:c r="Q326" s="24" t="inlineStr">
        <x:is>
          <x:t xml:space="preserve"/>
        </x:is>
      </x:c>
      <x:c r="R326" s="24" t="inlineStr">
        <x:is>
          <x:t xml:space="preserve"/>
        </x:is>
      </x:c>
      <x:c r="S326" s="25">
        <x:f>IF(H326="","",IFERROR(H326/G326,""))</x:f>
      </x:c>
      <x:c r="T326" s="26">
        <x:f>IF(H326="","",IFERROR((J326+K326+L326+N326)/H326,""))</x:f>
      </x:c>
      <x:c r="U326" s="25">
        <x:f>IF(COUNTA(J326:L326,N326)=0,"",IFERROR(AVERAGE(J326:L326,N326),""))</x:f>
      </x:c>
      <x:c r="V326" s="17" t="inlineStr">
        <x:is>
          <x:t xml:space="preserve"/>
        </x:is>
      </x:c>
    </x:row>
    <x:row r="327">
      <x:c r="A327" s="16" t="inlineStr">
        <x:is>
          <x:t xml:space="preserve">P027</x:t>
        </x:is>
      </x:c>
      <x:c r="B327" s="16" t="n">
        <x:v>11</x:v>
      </x:c>
      <x:c r="C327" s="16" t="inlineStr">
        <x:is>
          <x:t xml:space="preserve">V02</x:t>
        </x:is>
      </x:c>
      <x:c r="D327" s="16" t="inlineStr">
        <x:is>
          <x:t xml:space="preserve">Study</x:t>
        </x:is>
      </x:c>
      <x:c r="E327" s="16" t="inlineStr">
        <x:is>
          <x:t xml:space="preserve">BCC</x:t>
        </x:is>
      </x:c>
      <x:c r="F327" s="16" t="inlineStr">
        <x:is>
          <x:t xml:space="preserve">Muted</x:t>
        </x:is>
      </x:c>
      <x:c r="G327" s="21" t="n">
        <x:v>18</x:v>
      </x:c>
      <x:c r="H327" s="21" t="inlineStr">
        <x:is>
          <x:t xml:space="preserve"/>
        </x:is>
      </x:c>
      <x:c r="I327" s="21" t="inlineStr">
        <x:is>
          <x:t xml:space="preserve"/>
        </x:is>
      </x:c>
      <x:c r="J327" s="21" t="inlineStr">
        <x:is>
          <x:t xml:space="preserve"/>
        </x:is>
      </x:c>
      <x:c r="K327" s="21" t="inlineStr">
        <x:is>
          <x:t xml:space="preserve"/>
        </x:is>
      </x:c>
      <x:c r="L327" s="21" t="inlineStr">
        <x:is>
          <x:t xml:space="preserve"/>
        </x:is>
      </x:c>
      <x:c r="M327" s="21" t="inlineStr">
        <x:is>
          <x:t xml:space="preserve"/>
        </x:is>
      </x:c>
      <x:c r="N327" s="21" t="inlineStr">
        <x:is>
          <x:t xml:space="preserve"/>
        </x:is>
      </x:c>
      <x:c r="O327" s="21" t="inlineStr">
        <x:is>
          <x:t xml:space="preserve"/>
        </x:is>
      </x:c>
      <x:c r="P327" s="21" t="inlineStr">
        <x:is>
          <x:t xml:space="preserve"/>
        </x:is>
      </x:c>
      <x:c r="Q327" s="21" t="inlineStr">
        <x:is>
          <x:t xml:space="preserve"/>
        </x:is>
      </x:c>
      <x:c r="R327" s="21" t="inlineStr">
        <x:is>
          <x:t xml:space="preserve"/>
        </x:is>
      </x:c>
      <x:c r="S327" s="22">
        <x:f>IF(H327="","",IFERROR(H327/G327,""))</x:f>
      </x:c>
      <x:c r="T327" s="23">
        <x:f>IF(H327="","",IFERROR((J327+K327+L327+N327)/H327,""))</x:f>
      </x:c>
      <x:c r="U327" s="22">
        <x:f>IF(COUNTA(J327:L327,N327)=0,"",IFERROR(AVERAGE(J327:L327,N327),""))</x:f>
      </x:c>
      <x:c r="V327" s="16" t="inlineStr">
        <x:is>
          <x:t xml:space="preserve"/>
        </x:is>
      </x:c>
    </x:row>
    <x:row r="328">
      <x:c r="A328" s="17" t="inlineStr">
        <x:is>
          <x:t xml:space="preserve">P027</x:t>
        </x:is>
      </x:c>
      <x:c r="B328" s="17" t="n">
        <x:v>12</x:v>
      </x:c>
      <x:c r="C328" s="17" t="inlineStr">
        <x:is>
          <x:t xml:space="preserve">V01</x:t>
        </x:is>
      </x:c>
      <x:c r="D328" s="17" t="inlineStr">
        <x:is>
          <x:t xml:space="preserve">Productivity</x:t>
        </x:is>
      </x:c>
      <x:c r="E328" s="17" t="inlineStr">
        <x:is>
          <x:t xml:space="preserve">Semantic compression</x:t>
        </x:is>
      </x:c>
      <x:c r="F328" s="17" t="inlineStr">
        <x:is>
          <x:t xml:space="preserve">Muted</x:t>
        </x:is>
      </x:c>
      <x:c r="G328" s="24" t="n">
        <x:v>25</x:v>
      </x:c>
      <x:c r="H328" s="24" t="inlineStr">
        <x:is>
          <x:t xml:space="preserve"/>
        </x:is>
      </x:c>
      <x:c r="I328" s="24" t="inlineStr">
        <x:is>
          <x:t xml:space="preserve"/>
        </x:is>
      </x:c>
      <x:c r="J328" s="24" t="inlineStr">
        <x:is>
          <x:t xml:space="preserve"/>
        </x:is>
      </x:c>
      <x:c r="K328" s="24" t="inlineStr">
        <x:is>
          <x:t xml:space="preserve"/>
        </x:is>
      </x:c>
      <x:c r="L328" s="24" t="inlineStr">
        <x:is>
          <x:t xml:space="preserve"/>
        </x:is>
      </x:c>
      <x:c r="M328" s="24" t="inlineStr">
        <x:is>
          <x:t xml:space="preserve"/>
        </x:is>
      </x:c>
      <x:c r="N328" s="24" t="inlineStr">
        <x:is>
          <x:t xml:space="preserve"/>
        </x:is>
      </x:c>
      <x:c r="O328" s="24" t="inlineStr">
        <x:is>
          <x:t xml:space="preserve"/>
        </x:is>
      </x:c>
      <x:c r="P328" s="24" t="inlineStr">
        <x:is>
          <x:t xml:space="preserve"/>
        </x:is>
      </x:c>
      <x:c r="Q328" s="24" t="inlineStr">
        <x:is>
          <x:t xml:space="preserve"/>
        </x:is>
      </x:c>
      <x:c r="R328" s="24" t="inlineStr">
        <x:is>
          <x:t xml:space="preserve"/>
        </x:is>
      </x:c>
      <x:c r="S328" s="25">
        <x:f>IF(H328="","",IFERROR(H328/G328,""))</x:f>
      </x:c>
      <x:c r="T328" s="26">
        <x:f>IF(H328="","",IFERROR((J328+K328+L328+N328)/H328,""))</x:f>
      </x:c>
      <x:c r="U328" s="25">
        <x:f>IF(COUNTA(J328:L328,N328)=0,"",IFERROR(AVERAGE(J328:L328,N328),""))</x:f>
      </x:c>
      <x:c r="V328" s="17" t="inlineStr">
        <x:is>
          <x:t xml:space="preserve"/>
        </x:is>
      </x:c>
    </x:row>
    <x:row r="329">
      <x:c r="A329" s="16" t="inlineStr">
        <x:is>
          <x:t xml:space="preserve">P028</x:t>
        </x:is>
      </x:c>
      <x:c r="B329" s="16" t="n">
        <x:v>1</x:v>
      </x:c>
      <x:c r="C329" s="16" t="inlineStr">
        <x:is>
          <x:t xml:space="preserve">V02</x:t>
        </x:is>
      </x:c>
      <x:c r="D329" s="16" t="inlineStr">
        <x:is>
          <x:t xml:space="preserve">Study</x:t>
        </x:is>
      </x:c>
      <x:c r="E329" s="16" t="inlineStr">
        <x:is>
          <x:t xml:space="preserve">BCC+</x:t>
        </x:is>
      </x:c>
      <x:c r="F329" s="16" t="inlineStr">
        <x:is>
          <x:t xml:space="preserve">Muted</x:t>
        </x:is>
      </x:c>
      <x:c r="G329" s="21" t="n">
        <x:v>18</x:v>
      </x:c>
      <x:c r="H329" s="21" t="inlineStr">
        <x:is>
          <x:t xml:space="preserve"/>
        </x:is>
      </x:c>
      <x:c r="I329" s="21" t="inlineStr">
        <x:is>
          <x:t xml:space="preserve"/>
        </x:is>
      </x:c>
      <x:c r="J329" s="21" t="inlineStr">
        <x:is>
          <x:t xml:space="preserve"/>
        </x:is>
      </x:c>
      <x:c r="K329" s="21" t="inlineStr">
        <x:is>
          <x:t xml:space="preserve"/>
        </x:is>
      </x:c>
      <x:c r="L329" s="21" t="inlineStr">
        <x:is>
          <x:t xml:space="preserve"/>
        </x:is>
      </x:c>
      <x:c r="M329" s="21" t="inlineStr">
        <x:is>
          <x:t xml:space="preserve"/>
        </x:is>
      </x:c>
      <x:c r="N329" s="21" t="inlineStr">
        <x:is>
          <x:t xml:space="preserve"/>
        </x:is>
      </x:c>
      <x:c r="O329" s="21" t="inlineStr">
        <x:is>
          <x:t xml:space="preserve"/>
        </x:is>
      </x:c>
      <x:c r="P329" s="21" t="inlineStr">
        <x:is>
          <x:t xml:space="preserve"/>
        </x:is>
      </x:c>
      <x:c r="Q329" s="21" t="inlineStr">
        <x:is>
          <x:t xml:space="preserve"/>
        </x:is>
      </x:c>
      <x:c r="R329" s="21" t="inlineStr">
        <x:is>
          <x:t xml:space="preserve"/>
        </x:is>
      </x:c>
      <x:c r="S329" s="22">
        <x:f>IF(H329="","",IFERROR(H329/G329,""))</x:f>
      </x:c>
      <x:c r="T329" s="23">
        <x:f>IF(H329="","",IFERROR((J329+K329+L329+N329)/H329,""))</x:f>
      </x:c>
      <x:c r="U329" s="22">
        <x:f>IF(COUNTA(J329:L329,N329)=0,"",IFERROR(AVERAGE(J329:L329,N329),""))</x:f>
      </x:c>
      <x:c r="V329" s="16" t="inlineStr">
        <x:is>
          <x:t xml:space="preserve"/>
        </x:is>
      </x:c>
    </x:row>
    <x:row r="330">
      <x:c r="A330" s="17" t="inlineStr">
        <x:is>
          <x:t xml:space="preserve">P028</x:t>
        </x:is>
      </x:c>
      <x:c r="B330" s="17" t="n">
        <x:v>2</x:v>
      </x:c>
      <x:c r="C330" s="17" t="inlineStr">
        <x:is>
          <x:t xml:space="preserve">V06</x:t>
        </x:is>
      </x:c>
      <x:c r="D330" s="17" t="inlineStr">
        <x:is>
          <x:t xml:space="preserve">Overload</x:t>
        </x:is>
      </x:c>
      <x:c r="E330" s="17" t="inlineStr">
        <x:is>
          <x:t xml:space="preserve">Semantic compression</x:t>
        </x:is>
      </x:c>
      <x:c r="F330" s="17" t="inlineStr">
        <x:is>
          <x:t xml:space="preserve">Muted</x:t>
        </x:is>
      </x:c>
      <x:c r="G330" s="24" t="n">
        <x:v>16</x:v>
      </x:c>
      <x:c r="H330" s="24" t="inlineStr">
        <x:is>
          <x:t xml:space="preserve"/>
        </x:is>
      </x:c>
      <x:c r="I330" s="24" t="inlineStr">
        <x:is>
          <x:t xml:space="preserve"/>
        </x:is>
      </x:c>
      <x:c r="J330" s="24" t="inlineStr">
        <x:is>
          <x:t xml:space="preserve"/>
        </x:is>
      </x:c>
      <x:c r="K330" s="24" t="inlineStr">
        <x:is>
          <x:t xml:space="preserve"/>
        </x:is>
      </x:c>
      <x:c r="L330" s="24" t="inlineStr">
        <x:is>
          <x:t xml:space="preserve"/>
        </x:is>
      </x:c>
      <x:c r="M330" s="24" t="inlineStr">
        <x:is>
          <x:t xml:space="preserve"/>
        </x:is>
      </x:c>
      <x:c r="N330" s="24" t="inlineStr">
        <x:is>
          <x:t xml:space="preserve"/>
        </x:is>
      </x:c>
      <x:c r="O330" s="24" t="inlineStr">
        <x:is>
          <x:t xml:space="preserve"/>
        </x:is>
      </x:c>
      <x:c r="P330" s="24" t="inlineStr">
        <x:is>
          <x:t xml:space="preserve"/>
        </x:is>
      </x:c>
      <x:c r="Q330" s="24" t="inlineStr">
        <x:is>
          <x:t xml:space="preserve"/>
        </x:is>
      </x:c>
      <x:c r="R330" s="24" t="inlineStr">
        <x:is>
          <x:t xml:space="preserve"/>
        </x:is>
      </x:c>
      <x:c r="S330" s="25">
        <x:f>IF(H330="","",IFERROR(H330/G330,""))</x:f>
      </x:c>
      <x:c r="T330" s="26">
        <x:f>IF(H330="","",IFERROR((J330+K330+L330+N330)/H330,""))</x:f>
      </x:c>
      <x:c r="U330" s="25">
        <x:f>IF(COUNTA(J330:L330,N330)=0,"",IFERROR(AVERAGE(J330:L330,N330),""))</x:f>
      </x:c>
      <x:c r="V330" s="17" t="inlineStr">
        <x:is>
          <x:t xml:space="preserve"/>
        </x:is>
      </x:c>
    </x:row>
    <x:row r="331">
      <x:c r="A331" s="16" t="inlineStr">
        <x:is>
          <x:t xml:space="preserve">P028</x:t>
        </x:is>
      </x:c>
      <x:c r="B331" s="16" t="n">
        <x:v>3</x:v>
      </x:c>
      <x:c r="C331" s="16" t="inlineStr">
        <x:is>
          <x:t xml:space="preserve">V01</x:t>
        </x:is>
      </x:c>
      <x:c r="D331" s="16" t="inlineStr">
        <x:is>
          <x:t xml:space="preserve">Productivity</x:t>
        </x:is>
      </x:c>
      <x:c r="E331" s="16" t="inlineStr">
        <x:is>
          <x:t xml:space="preserve">BCC</x:t>
        </x:is>
      </x:c>
      <x:c r="F331" s="16" t="inlineStr">
        <x:is>
          <x:t xml:space="preserve">Muted</x:t>
        </x:is>
      </x:c>
      <x:c r="G331" s="21" t="n">
        <x:v>25</x:v>
      </x:c>
      <x:c r="H331" s="21" t="inlineStr">
        <x:is>
          <x:t xml:space="preserve"/>
        </x:is>
      </x:c>
      <x:c r="I331" s="21" t="inlineStr">
        <x:is>
          <x:t xml:space="preserve"/>
        </x:is>
      </x:c>
      <x:c r="J331" s="21" t="inlineStr">
        <x:is>
          <x:t xml:space="preserve"/>
        </x:is>
      </x:c>
      <x:c r="K331" s="21" t="inlineStr">
        <x:is>
          <x:t xml:space="preserve"/>
        </x:is>
      </x:c>
      <x:c r="L331" s="21" t="inlineStr">
        <x:is>
          <x:t xml:space="preserve"/>
        </x:is>
      </x:c>
      <x:c r="M331" s="21" t="inlineStr">
        <x:is>
          <x:t xml:space="preserve"/>
        </x:is>
      </x:c>
      <x:c r="N331" s="21" t="inlineStr">
        <x:is>
          <x:t xml:space="preserve"/>
        </x:is>
      </x:c>
      <x:c r="O331" s="21" t="inlineStr">
        <x:is>
          <x:t xml:space="preserve"/>
        </x:is>
      </x:c>
      <x:c r="P331" s="21" t="inlineStr">
        <x:is>
          <x:t xml:space="preserve"/>
        </x:is>
      </x:c>
      <x:c r="Q331" s="21" t="inlineStr">
        <x:is>
          <x:t xml:space="preserve"/>
        </x:is>
      </x:c>
      <x:c r="R331" s="21" t="inlineStr">
        <x:is>
          <x:t xml:space="preserve"/>
        </x:is>
      </x:c>
      <x:c r="S331" s="22">
        <x:f>IF(H331="","",IFERROR(H331/G331,""))</x:f>
      </x:c>
      <x:c r="T331" s="23">
        <x:f>IF(H331="","",IFERROR((J331+K331+L331+N331)/H331,""))</x:f>
      </x:c>
      <x:c r="U331" s="22">
        <x:f>IF(COUNTA(J331:L331,N331)=0,"",IFERROR(AVERAGE(J331:L331,N331),""))</x:f>
      </x:c>
      <x:c r="V331" s="16" t="inlineStr">
        <x:is>
          <x:t xml:space="preserve"/>
        </x:is>
      </x:c>
    </x:row>
    <x:row r="332">
      <x:c r="A332" s="17" t="inlineStr">
        <x:is>
          <x:t xml:space="preserve">P028</x:t>
        </x:is>
      </x:c>
      <x:c r="B332" s="17" t="n">
        <x:v>4</x:v>
      </x:c>
      <x:c r="C332" s="17" t="inlineStr">
        <x:is>
          <x:t xml:space="preserve">V11</x:t>
        </x:is>
      </x:c>
      <x:c r="D332" s="17" t="inlineStr">
        <x:is>
          <x:t xml:space="preserve">Creator strategy</x:t>
        </x:is>
      </x:c>
      <x:c r="E332" s="17" t="inlineStr">
        <x:is>
          <x:t xml:space="preserve">Keyword highlight</x:t>
        </x:is>
      </x:c>
      <x:c r="F332" s="17" t="inlineStr">
        <x:is>
          <x:t xml:space="preserve">Muted</x:t>
        </x:is>
      </x:c>
      <x:c r="G332" s="24" t="n">
        <x:v>17</x:v>
      </x:c>
      <x:c r="H332" s="24" t="inlineStr">
        <x:is>
          <x:t xml:space="preserve"/>
        </x:is>
      </x:c>
      <x:c r="I332" s="24" t="inlineStr">
        <x:is>
          <x:t xml:space="preserve"/>
        </x:is>
      </x:c>
      <x:c r="J332" s="24" t="inlineStr">
        <x:is>
          <x:t xml:space="preserve"/>
        </x:is>
      </x:c>
      <x:c r="K332" s="24" t="inlineStr">
        <x:is>
          <x:t xml:space="preserve"/>
        </x:is>
      </x:c>
      <x:c r="L332" s="24" t="inlineStr">
        <x:is>
          <x:t xml:space="preserve"/>
        </x:is>
      </x:c>
      <x:c r="M332" s="24" t="inlineStr">
        <x:is>
          <x:t xml:space="preserve"/>
        </x:is>
      </x:c>
      <x:c r="N332" s="24" t="inlineStr">
        <x:is>
          <x:t xml:space="preserve"/>
        </x:is>
      </x:c>
      <x:c r="O332" s="24" t="inlineStr">
        <x:is>
          <x:t xml:space="preserve"/>
        </x:is>
      </x:c>
      <x:c r="P332" s="24" t="inlineStr">
        <x:is>
          <x:t xml:space="preserve"/>
        </x:is>
      </x:c>
      <x:c r="Q332" s="24" t="inlineStr">
        <x:is>
          <x:t xml:space="preserve"/>
        </x:is>
      </x:c>
      <x:c r="R332" s="24" t="inlineStr">
        <x:is>
          <x:t xml:space="preserve"/>
        </x:is>
      </x:c>
      <x:c r="S332" s="25">
        <x:f>IF(H332="","",IFERROR(H332/G332,""))</x:f>
      </x:c>
      <x:c r="T332" s="26">
        <x:f>IF(H332="","",IFERROR((J332+K332+L332+N332)/H332,""))</x:f>
      </x:c>
      <x:c r="U332" s="25">
        <x:f>IF(COUNTA(J332:L332,N332)=0,"",IFERROR(AVERAGE(J332:L332,N332),""))</x:f>
      </x:c>
      <x:c r="V332" s="17" t="inlineStr">
        <x:is>
          <x:t xml:space="preserve"/>
        </x:is>
      </x:c>
    </x:row>
    <x:row r="333">
      <x:c r="A333" s="16" t="inlineStr">
        <x:is>
          <x:t xml:space="preserve">P028</x:t>
        </x:is>
      </x:c>
      <x:c r="B333" s="16" t="n">
        <x:v>5</x:v>
      </x:c>
      <x:c r="C333" s="16" t="inlineStr">
        <x:is>
          <x:t xml:space="preserve">V09</x:t>
        </x:is>
      </x:c>
      <x:c r="D333" s="16" t="inlineStr">
        <x:is>
          <x:t xml:space="preserve">Sleep habit</x:t>
        </x:is>
      </x:c>
      <x:c r="E333" s="16" t="inlineStr">
        <x:is>
          <x:t xml:space="preserve">Heavy bionic</x:t>
        </x:is>
      </x:c>
      <x:c r="F333" s="16" t="inlineStr">
        <x:is>
          <x:t xml:space="preserve">Muted</x:t>
        </x:is>
      </x:c>
      <x:c r="G333" s="21" t="n">
        <x:v>19</x:v>
      </x:c>
      <x:c r="H333" s="21" t="inlineStr">
        <x:is>
          <x:t xml:space="preserve"/>
        </x:is>
      </x:c>
      <x:c r="I333" s="21" t="inlineStr">
        <x:is>
          <x:t xml:space="preserve"/>
        </x:is>
      </x:c>
      <x:c r="J333" s="21" t="inlineStr">
        <x:is>
          <x:t xml:space="preserve"/>
        </x:is>
      </x:c>
      <x:c r="K333" s="21" t="inlineStr">
        <x:is>
          <x:t xml:space="preserve"/>
        </x:is>
      </x:c>
      <x:c r="L333" s="21" t="inlineStr">
        <x:is>
          <x:t xml:space="preserve"/>
        </x:is>
      </x:c>
      <x:c r="M333" s="21" t="inlineStr">
        <x:is>
          <x:t xml:space="preserve"/>
        </x:is>
      </x:c>
      <x:c r="N333" s="21" t="inlineStr">
        <x:is>
          <x:t xml:space="preserve"/>
        </x:is>
      </x:c>
      <x:c r="O333" s="21" t="inlineStr">
        <x:is>
          <x:t xml:space="preserve"/>
        </x:is>
      </x:c>
      <x:c r="P333" s="21" t="inlineStr">
        <x:is>
          <x:t xml:space="preserve"/>
        </x:is>
      </x:c>
      <x:c r="Q333" s="21" t="inlineStr">
        <x:is>
          <x:t xml:space="preserve"/>
        </x:is>
      </x:c>
      <x:c r="R333" s="21" t="inlineStr">
        <x:is>
          <x:t xml:space="preserve"/>
        </x:is>
      </x:c>
      <x:c r="S333" s="22">
        <x:f>IF(H333="","",IFERROR(H333/G333,""))</x:f>
      </x:c>
      <x:c r="T333" s="23">
        <x:f>IF(H333="","",IFERROR((J333+K333+L333+N333)/H333,""))</x:f>
      </x:c>
      <x:c r="U333" s="22">
        <x:f>IF(COUNTA(J333:L333,N333)=0,"",IFERROR(AVERAGE(J333:L333,N333),""))</x:f>
      </x:c>
      <x:c r="V333" s="16" t="inlineStr">
        <x:is>
          <x:t xml:space="preserve"/>
        </x:is>
      </x:c>
    </x:row>
    <x:row r="334">
      <x:c r="A334" s="17" t="inlineStr">
        <x:is>
          <x:t xml:space="preserve">P028</x:t>
        </x:is>
      </x:c>
      <x:c r="B334" s="17" t="n">
        <x:v>6</x:v>
      </x:c>
      <x:c r="C334" s="17" t="inlineStr">
        <x:is>
          <x:t xml:space="preserve">V03</x:t>
        </x:is>
      </x:c>
      <x:c r="D334" s="17" t="inlineStr">
        <x:is>
          <x:t xml:space="preserve">Fitness</x:t>
        </x:is>
      </x:c>
      <x:c r="E334" s="17" t="inlineStr">
        <x:is>
          <x:t xml:space="preserve">Heavy bionic</x:t>
        </x:is>
      </x:c>
      <x:c r="F334" s="17" t="inlineStr">
        <x:is>
          <x:t xml:space="preserve">Muted</x:t>
        </x:is>
      </x:c>
      <x:c r="G334" s="24" t="n">
        <x:v>18</x:v>
      </x:c>
      <x:c r="H334" s="24" t="inlineStr">
        <x:is>
          <x:t xml:space="preserve"/>
        </x:is>
      </x:c>
      <x:c r="I334" s="24" t="inlineStr">
        <x:is>
          <x:t xml:space="preserve"/>
        </x:is>
      </x:c>
      <x:c r="J334" s="24" t="inlineStr">
        <x:is>
          <x:t xml:space="preserve"/>
        </x:is>
      </x:c>
      <x:c r="K334" s="24" t="inlineStr">
        <x:is>
          <x:t xml:space="preserve"/>
        </x:is>
      </x:c>
      <x:c r="L334" s="24" t="inlineStr">
        <x:is>
          <x:t xml:space="preserve"/>
        </x:is>
      </x:c>
      <x:c r="M334" s="24" t="inlineStr">
        <x:is>
          <x:t xml:space="preserve"/>
        </x:is>
      </x:c>
      <x:c r="N334" s="24" t="inlineStr">
        <x:is>
          <x:t xml:space="preserve"/>
        </x:is>
      </x:c>
      <x:c r="O334" s="24" t="inlineStr">
        <x:is>
          <x:t xml:space="preserve"/>
        </x:is>
      </x:c>
      <x:c r="P334" s="24" t="inlineStr">
        <x:is>
          <x:t xml:space="preserve"/>
        </x:is>
      </x:c>
      <x:c r="Q334" s="24" t="inlineStr">
        <x:is>
          <x:t xml:space="preserve"/>
        </x:is>
      </x:c>
      <x:c r="R334" s="24" t="inlineStr">
        <x:is>
          <x:t xml:space="preserve"/>
        </x:is>
      </x:c>
      <x:c r="S334" s="25">
        <x:f>IF(H334="","",IFERROR(H334/G334,""))</x:f>
      </x:c>
      <x:c r="T334" s="26">
        <x:f>IF(H334="","",IFERROR((J334+K334+L334+N334)/H334,""))</x:f>
      </x:c>
      <x:c r="U334" s="25">
        <x:f>IF(COUNTA(J334:L334,N334)=0,"",IFERROR(AVERAGE(J334:L334,N334),""))</x:f>
      </x:c>
      <x:c r="V334" s="17" t="inlineStr">
        <x:is>
          <x:t xml:space="preserve"/>
        </x:is>
      </x:c>
    </x:row>
    <x:row r="335">
      <x:c r="A335" s="16" t="inlineStr">
        <x:is>
          <x:t xml:space="preserve">P028</x:t>
        </x:is>
      </x:c>
      <x:c r="B335" s="16" t="n">
        <x:v>7</x:v>
      </x:c>
      <x:c r="C335" s="16" t="inlineStr">
        <x:is>
          <x:t xml:space="preserve">V12</x:t>
        </x:is>
      </x:c>
      <x:c r="D335" s="16" t="inlineStr">
        <x:is>
          <x:t xml:space="preserve">Time management</x:t>
        </x:is>
      </x:c>
      <x:c r="E335" s="16" t="inlineStr">
        <x:is>
          <x:t xml:space="preserve">Semantic compression</x:t>
        </x:is>
      </x:c>
      <x:c r="F335" s="16" t="inlineStr">
        <x:is>
          <x:t xml:space="preserve">Muted</x:t>
        </x:is>
      </x:c>
      <x:c r="G335" s="21" t="n">
        <x:v>21</x:v>
      </x:c>
      <x:c r="H335" s="21" t="inlineStr">
        <x:is>
          <x:t xml:space="preserve"/>
        </x:is>
      </x:c>
      <x:c r="I335" s="21" t="inlineStr">
        <x:is>
          <x:t xml:space="preserve"/>
        </x:is>
      </x:c>
      <x:c r="J335" s="21" t="inlineStr">
        <x:is>
          <x:t xml:space="preserve"/>
        </x:is>
      </x:c>
      <x:c r="K335" s="21" t="inlineStr">
        <x:is>
          <x:t xml:space="preserve"/>
        </x:is>
      </x:c>
      <x:c r="L335" s="21" t="inlineStr">
        <x:is>
          <x:t xml:space="preserve"/>
        </x:is>
      </x:c>
      <x:c r="M335" s="21" t="inlineStr">
        <x:is>
          <x:t xml:space="preserve"/>
        </x:is>
      </x:c>
      <x:c r="N335" s="21" t="inlineStr">
        <x:is>
          <x:t xml:space="preserve"/>
        </x:is>
      </x:c>
      <x:c r="O335" s="21" t="inlineStr">
        <x:is>
          <x:t xml:space="preserve"/>
        </x:is>
      </x:c>
      <x:c r="P335" s="21" t="inlineStr">
        <x:is>
          <x:t xml:space="preserve"/>
        </x:is>
      </x:c>
      <x:c r="Q335" s="21" t="inlineStr">
        <x:is>
          <x:t xml:space="preserve"/>
        </x:is>
      </x:c>
      <x:c r="R335" s="21" t="inlineStr">
        <x:is>
          <x:t xml:space="preserve"/>
        </x:is>
      </x:c>
      <x:c r="S335" s="22">
        <x:f>IF(H335="","",IFERROR(H335/G335,""))</x:f>
      </x:c>
      <x:c r="T335" s="23">
        <x:f>IF(H335="","",IFERROR((J335+K335+L335+N335)/H335,""))</x:f>
      </x:c>
      <x:c r="U335" s="22">
        <x:f>IF(COUNTA(J335:L335,N335)=0,"",IFERROR(AVERAGE(J335:L335,N335),""))</x:f>
      </x:c>
      <x:c r="V335" s="16" t="inlineStr">
        <x:is>
          <x:t xml:space="preserve"/>
        </x:is>
      </x:c>
    </x:row>
    <x:row r="336">
      <x:c r="A336" s="17" t="inlineStr">
        <x:is>
          <x:t xml:space="preserve">P028</x:t>
        </x:is>
      </x:c>
      <x:c r="B336" s="17" t="n">
        <x:v>8</x:v>
      </x:c>
      <x:c r="C336" s="17" t="inlineStr">
        <x:is>
          <x:t xml:space="preserve">V04</x:t>
        </x:is>
      </x:c>
      <x:c r="D336" s="17" t="inlineStr">
        <x:is>
          <x:t xml:space="preserve">Finance</x:t>
        </x:is>
      </x:c>
      <x:c r="E336" s="17" t="inlineStr">
        <x:is>
          <x:t xml:space="preserve">Full transcript</x:t>
        </x:is>
      </x:c>
      <x:c r="F336" s="17" t="inlineStr">
        <x:is>
          <x:t xml:space="preserve">Muted</x:t>
        </x:is>
      </x:c>
      <x:c r="G336" s="24" t="n">
        <x:v>20</x:v>
      </x:c>
      <x:c r="H336" s="24" t="inlineStr">
        <x:is>
          <x:t xml:space="preserve"/>
        </x:is>
      </x:c>
      <x:c r="I336" s="24" t="inlineStr">
        <x:is>
          <x:t xml:space="preserve"/>
        </x:is>
      </x:c>
      <x:c r="J336" s="24" t="inlineStr">
        <x:is>
          <x:t xml:space="preserve"/>
        </x:is>
      </x:c>
      <x:c r="K336" s="24" t="inlineStr">
        <x:is>
          <x:t xml:space="preserve"/>
        </x:is>
      </x:c>
      <x:c r="L336" s="24" t="inlineStr">
        <x:is>
          <x:t xml:space="preserve"/>
        </x:is>
      </x:c>
      <x:c r="M336" s="24" t="inlineStr">
        <x:is>
          <x:t xml:space="preserve"/>
        </x:is>
      </x:c>
      <x:c r="N336" s="24" t="inlineStr">
        <x:is>
          <x:t xml:space="preserve"/>
        </x:is>
      </x:c>
      <x:c r="O336" s="24" t="inlineStr">
        <x:is>
          <x:t xml:space="preserve"/>
        </x:is>
      </x:c>
      <x:c r="P336" s="24" t="inlineStr">
        <x:is>
          <x:t xml:space="preserve"/>
        </x:is>
      </x:c>
      <x:c r="Q336" s="24" t="inlineStr">
        <x:is>
          <x:t xml:space="preserve"/>
        </x:is>
      </x:c>
      <x:c r="R336" s="24" t="inlineStr">
        <x:is>
          <x:t xml:space="preserve"/>
        </x:is>
      </x:c>
      <x:c r="S336" s="25">
        <x:f>IF(H336="","",IFERROR(H336/G336,""))</x:f>
      </x:c>
      <x:c r="T336" s="26">
        <x:f>IF(H336="","",IFERROR((J336+K336+L336+N336)/H336,""))</x:f>
      </x:c>
      <x:c r="U336" s="25">
        <x:f>IF(COUNTA(J336:L336,N336)=0,"",IFERROR(AVERAGE(J336:L336,N336),""))</x:f>
      </x:c>
      <x:c r="V336" s="17" t="inlineStr">
        <x:is>
          <x:t xml:space="preserve"/>
        </x:is>
      </x:c>
    </x:row>
    <x:row r="337">
      <x:c r="A337" s="16" t="inlineStr">
        <x:is>
          <x:t xml:space="preserve">P028</x:t>
        </x:is>
      </x:c>
      <x:c r="B337" s="16" t="n">
        <x:v>9</x:v>
      </x:c>
      <x:c r="C337" s="16" t="inlineStr">
        <x:is>
          <x:t xml:space="preserve">V05</x:t>
        </x:is>
      </x:c>
      <x:c r="D337" s="16" t="inlineStr">
        <x:is>
          <x:t xml:space="preserve">Tutorial</x:t>
        </x:is>
      </x:c>
      <x:c r="E337" s="16" t="inlineStr">
        <x:is>
          <x:t xml:space="preserve">Keyword highlight</x:t>
        </x:is>
      </x:c>
      <x:c r="F337" s="16" t="inlineStr">
        <x:is>
          <x:t xml:space="preserve">Muted</x:t>
        </x:is>
      </x:c>
      <x:c r="G337" s="21" t="n">
        <x:v>20</x:v>
      </x:c>
      <x:c r="H337" s="21" t="inlineStr">
        <x:is>
          <x:t xml:space="preserve"/>
        </x:is>
      </x:c>
      <x:c r="I337" s="21" t="inlineStr">
        <x:is>
          <x:t xml:space="preserve"/>
        </x:is>
      </x:c>
      <x:c r="J337" s="21" t="inlineStr">
        <x:is>
          <x:t xml:space="preserve"/>
        </x:is>
      </x:c>
      <x:c r="K337" s="21" t="inlineStr">
        <x:is>
          <x:t xml:space="preserve"/>
        </x:is>
      </x:c>
      <x:c r="L337" s="21" t="inlineStr">
        <x:is>
          <x:t xml:space="preserve"/>
        </x:is>
      </x:c>
      <x:c r="M337" s="21" t="inlineStr">
        <x:is>
          <x:t xml:space="preserve"/>
        </x:is>
      </x:c>
      <x:c r="N337" s="21" t="inlineStr">
        <x:is>
          <x:t xml:space="preserve"/>
        </x:is>
      </x:c>
      <x:c r="O337" s="21" t="inlineStr">
        <x:is>
          <x:t xml:space="preserve"/>
        </x:is>
      </x:c>
      <x:c r="P337" s="21" t="inlineStr">
        <x:is>
          <x:t xml:space="preserve"/>
        </x:is>
      </x:c>
      <x:c r="Q337" s="21" t="inlineStr">
        <x:is>
          <x:t xml:space="preserve"/>
        </x:is>
      </x:c>
      <x:c r="R337" s="21" t="inlineStr">
        <x:is>
          <x:t xml:space="preserve"/>
        </x:is>
      </x:c>
      <x:c r="S337" s="22">
        <x:f>IF(H337="","",IFERROR(H337/G337,""))</x:f>
      </x:c>
      <x:c r="T337" s="23">
        <x:f>IF(H337="","",IFERROR((J337+K337+L337+N337)/H337,""))</x:f>
      </x:c>
      <x:c r="U337" s="22">
        <x:f>IF(COUNTA(J337:L337,N337)=0,"",IFERROR(AVERAGE(J337:L337,N337),""))</x:f>
      </x:c>
      <x:c r="V337" s="16" t="inlineStr">
        <x:is>
          <x:t xml:space="preserve"/>
        </x:is>
      </x:c>
    </x:row>
    <x:row r="338">
      <x:c r="A338" s="17" t="inlineStr">
        <x:is>
          <x:t xml:space="preserve">P028</x:t>
        </x:is>
      </x:c>
      <x:c r="B338" s="17" t="n">
        <x:v>10</x:v>
      </x:c>
      <x:c r="C338" s="17" t="inlineStr">
        <x:is>
          <x:t xml:space="preserve">V07</x:t>
        </x:is>
      </x:c>
      <x:c r="D338" s="17" t="inlineStr">
        <x:is>
          <x:t xml:space="preserve">Business</x:t>
        </x:is>
      </x:c>
      <x:c r="E338" s="17" t="inlineStr">
        <x:is>
          <x:t xml:space="preserve">BCC</x:t>
        </x:is>
      </x:c>
      <x:c r="F338" s="17" t="inlineStr">
        <x:is>
          <x:t xml:space="preserve">Muted</x:t>
        </x:is>
      </x:c>
      <x:c r="G338" s="24" t="n">
        <x:v>18</x:v>
      </x:c>
      <x:c r="H338" s="24" t="inlineStr">
        <x:is>
          <x:t xml:space="preserve"/>
        </x:is>
      </x:c>
      <x:c r="I338" s="24" t="inlineStr">
        <x:is>
          <x:t xml:space="preserve"/>
        </x:is>
      </x:c>
      <x:c r="J338" s="24" t="inlineStr">
        <x:is>
          <x:t xml:space="preserve"/>
        </x:is>
      </x:c>
      <x:c r="K338" s="24" t="inlineStr">
        <x:is>
          <x:t xml:space="preserve"/>
        </x:is>
      </x:c>
      <x:c r="L338" s="24" t="inlineStr">
        <x:is>
          <x:t xml:space="preserve"/>
        </x:is>
      </x:c>
      <x:c r="M338" s="24" t="inlineStr">
        <x:is>
          <x:t xml:space="preserve"/>
        </x:is>
      </x:c>
      <x:c r="N338" s="24" t="inlineStr">
        <x:is>
          <x:t xml:space="preserve"/>
        </x:is>
      </x:c>
      <x:c r="O338" s="24" t="inlineStr">
        <x:is>
          <x:t xml:space="preserve"/>
        </x:is>
      </x:c>
      <x:c r="P338" s="24" t="inlineStr">
        <x:is>
          <x:t xml:space="preserve"/>
        </x:is>
      </x:c>
      <x:c r="Q338" s="24" t="inlineStr">
        <x:is>
          <x:t xml:space="preserve"/>
        </x:is>
      </x:c>
      <x:c r="R338" s="24" t="inlineStr">
        <x:is>
          <x:t xml:space="preserve"/>
        </x:is>
      </x:c>
      <x:c r="S338" s="25">
        <x:f>IF(H338="","",IFERROR(H338/G338,""))</x:f>
      </x:c>
      <x:c r="T338" s="26">
        <x:f>IF(H338="","",IFERROR((J338+K338+L338+N338)/H338,""))</x:f>
      </x:c>
      <x:c r="U338" s="25">
        <x:f>IF(COUNTA(J338:L338,N338)=0,"",IFERROR(AVERAGE(J338:L338,N338),""))</x:f>
      </x:c>
      <x:c r="V338" s="17" t="inlineStr">
        <x:is>
          <x:t xml:space="preserve"/>
        </x:is>
      </x:c>
    </x:row>
    <x:row r="339">
      <x:c r="A339" s="16" t="inlineStr">
        <x:is>
          <x:t xml:space="preserve">P028</x:t>
        </x:is>
      </x:c>
      <x:c r="B339" s="16" t="n">
        <x:v>11</x:v>
      </x:c>
      <x:c r="C339" s="16" t="inlineStr">
        <x:is>
          <x:t xml:space="preserve">V10</x:t>
        </x:is>
      </x:c>
      <x:c r="D339" s="16" t="inlineStr">
        <x:is>
          <x:t xml:space="preserve">Product demo</x:t>
        </x:is>
      </x:c>
      <x:c r="E339" s="16" t="inlineStr">
        <x:is>
          <x:t xml:space="preserve">Full transcript</x:t>
        </x:is>
      </x:c>
      <x:c r="F339" s="16" t="inlineStr">
        <x:is>
          <x:t xml:space="preserve">Muted</x:t>
        </x:is>
      </x:c>
      <x:c r="G339" s="21" t="n">
        <x:v>15</x:v>
      </x:c>
      <x:c r="H339" s="21" t="inlineStr">
        <x:is>
          <x:t xml:space="preserve"/>
        </x:is>
      </x:c>
      <x:c r="I339" s="21" t="inlineStr">
        <x:is>
          <x:t xml:space="preserve"/>
        </x:is>
      </x:c>
      <x:c r="J339" s="21" t="inlineStr">
        <x:is>
          <x:t xml:space="preserve"/>
        </x:is>
      </x:c>
      <x:c r="K339" s="21" t="inlineStr">
        <x:is>
          <x:t xml:space="preserve"/>
        </x:is>
      </x:c>
      <x:c r="L339" s="21" t="inlineStr">
        <x:is>
          <x:t xml:space="preserve"/>
        </x:is>
      </x:c>
      <x:c r="M339" s="21" t="inlineStr">
        <x:is>
          <x:t xml:space="preserve"/>
        </x:is>
      </x:c>
      <x:c r="N339" s="21" t="inlineStr">
        <x:is>
          <x:t xml:space="preserve"/>
        </x:is>
      </x:c>
      <x:c r="O339" s="21" t="inlineStr">
        <x:is>
          <x:t xml:space="preserve"/>
        </x:is>
      </x:c>
      <x:c r="P339" s="21" t="inlineStr">
        <x:is>
          <x:t xml:space="preserve"/>
        </x:is>
      </x:c>
      <x:c r="Q339" s="21" t="inlineStr">
        <x:is>
          <x:t xml:space="preserve"/>
        </x:is>
      </x:c>
      <x:c r="R339" s="21" t="inlineStr">
        <x:is>
          <x:t xml:space="preserve"/>
        </x:is>
      </x:c>
      <x:c r="S339" s="22">
        <x:f>IF(H339="","",IFERROR(H339/G339,""))</x:f>
      </x:c>
      <x:c r="T339" s="23">
        <x:f>IF(H339="","",IFERROR((J339+K339+L339+N339)/H339,""))</x:f>
      </x:c>
      <x:c r="U339" s="22">
        <x:f>IF(COUNTA(J339:L339,N339)=0,"",IFERROR(AVERAGE(J339:L339,N339),""))</x:f>
      </x:c>
      <x:c r="V339" s="16" t="inlineStr">
        <x:is>
          <x:t xml:space="preserve"/>
        </x:is>
      </x:c>
    </x:row>
    <x:row r="340">
      <x:c r="A340" s="17" t="inlineStr">
        <x:is>
          <x:t xml:space="preserve">P028</x:t>
        </x:is>
      </x:c>
      <x:c r="B340" s="17" t="n">
        <x:v>12</x:v>
      </x:c>
      <x:c r="C340" s="17" t="inlineStr">
        <x:is>
          <x:t xml:space="preserve">V08</x:t>
        </x:is>
      </x:c>
      <x:c r="D340" s="17" t="inlineStr">
        <x:is>
          <x:t xml:space="preserve">Coding</x:t>
        </x:is>
      </x:c>
      <x:c r="E340" s="17" t="inlineStr">
        <x:is>
          <x:t xml:space="preserve">BCC+</x:t>
        </x:is>
      </x:c>
      <x:c r="F340" s="17" t="inlineStr">
        <x:is>
          <x:t xml:space="preserve">Muted</x:t>
        </x:is>
      </x:c>
      <x:c r="G340" s="24" t="n">
        <x:v>24</x:v>
      </x:c>
      <x:c r="H340" s="24" t="inlineStr">
        <x:is>
          <x:t xml:space="preserve"/>
        </x:is>
      </x:c>
      <x:c r="I340" s="24" t="inlineStr">
        <x:is>
          <x:t xml:space="preserve"/>
        </x:is>
      </x:c>
      <x:c r="J340" s="24" t="inlineStr">
        <x:is>
          <x:t xml:space="preserve"/>
        </x:is>
      </x:c>
      <x:c r="K340" s="24" t="inlineStr">
        <x:is>
          <x:t xml:space="preserve"/>
        </x:is>
      </x:c>
      <x:c r="L340" s="24" t="inlineStr">
        <x:is>
          <x:t xml:space="preserve"/>
        </x:is>
      </x:c>
      <x:c r="M340" s="24" t="inlineStr">
        <x:is>
          <x:t xml:space="preserve"/>
        </x:is>
      </x:c>
      <x:c r="N340" s="24" t="inlineStr">
        <x:is>
          <x:t xml:space="preserve"/>
        </x:is>
      </x:c>
      <x:c r="O340" s="24" t="inlineStr">
        <x:is>
          <x:t xml:space="preserve"/>
        </x:is>
      </x:c>
      <x:c r="P340" s="24" t="inlineStr">
        <x:is>
          <x:t xml:space="preserve"/>
        </x:is>
      </x:c>
      <x:c r="Q340" s="24" t="inlineStr">
        <x:is>
          <x:t xml:space="preserve"/>
        </x:is>
      </x:c>
      <x:c r="R340" s="24" t="inlineStr">
        <x:is>
          <x:t xml:space="preserve"/>
        </x:is>
      </x:c>
      <x:c r="S340" s="25">
        <x:f>IF(H340="","",IFERROR(H340/G340,""))</x:f>
      </x:c>
      <x:c r="T340" s="26">
        <x:f>IF(H340="","",IFERROR((J340+K340+L340+N340)/H340,""))</x:f>
      </x:c>
      <x:c r="U340" s="25">
        <x:f>IF(COUNTA(J340:L340,N340)=0,"",IFERROR(AVERAGE(J340:L340,N340),""))</x:f>
      </x:c>
      <x:c r="V340" s="17" t="inlineStr">
        <x:is>
          <x:t xml:space="preserve"/>
        </x:is>
      </x:c>
    </x:row>
    <x:row r="341">
      <x:c r="A341" s="16" t="inlineStr">
        <x:is>
          <x:t xml:space="preserve">P029</x:t>
        </x:is>
      </x:c>
      <x:c r="B341" s="16" t="n">
        <x:v>1</x:v>
      </x:c>
      <x:c r="C341" s="16" t="inlineStr">
        <x:is>
          <x:t xml:space="preserve">V01</x:t>
        </x:is>
      </x:c>
      <x:c r="D341" s="16" t="inlineStr">
        <x:is>
          <x:t xml:space="preserve">Productivity</x:t>
        </x:is>
      </x:c>
      <x:c r="E341" s="16" t="inlineStr">
        <x:is>
          <x:t xml:space="preserve">BCC+</x:t>
        </x:is>
      </x:c>
      <x:c r="F341" s="16" t="inlineStr">
        <x:is>
          <x:t xml:space="preserve">Muted</x:t>
        </x:is>
      </x:c>
      <x:c r="G341" s="21" t="n">
        <x:v>25</x:v>
      </x:c>
      <x:c r="H341" s="21" t="inlineStr">
        <x:is>
          <x:t xml:space="preserve"/>
        </x:is>
      </x:c>
      <x:c r="I341" s="21" t="inlineStr">
        <x:is>
          <x:t xml:space="preserve"/>
        </x:is>
      </x:c>
      <x:c r="J341" s="21" t="inlineStr">
        <x:is>
          <x:t xml:space="preserve"/>
        </x:is>
      </x:c>
      <x:c r="K341" s="21" t="inlineStr">
        <x:is>
          <x:t xml:space="preserve"/>
        </x:is>
      </x:c>
      <x:c r="L341" s="21" t="inlineStr">
        <x:is>
          <x:t xml:space="preserve"/>
        </x:is>
      </x:c>
      <x:c r="M341" s="21" t="inlineStr">
        <x:is>
          <x:t xml:space="preserve"/>
        </x:is>
      </x:c>
      <x:c r="N341" s="21" t="inlineStr">
        <x:is>
          <x:t xml:space="preserve"/>
        </x:is>
      </x:c>
      <x:c r="O341" s="21" t="inlineStr">
        <x:is>
          <x:t xml:space="preserve"/>
        </x:is>
      </x:c>
      <x:c r="P341" s="21" t="inlineStr">
        <x:is>
          <x:t xml:space="preserve"/>
        </x:is>
      </x:c>
      <x:c r="Q341" s="21" t="inlineStr">
        <x:is>
          <x:t xml:space="preserve"/>
        </x:is>
      </x:c>
      <x:c r="R341" s="21" t="inlineStr">
        <x:is>
          <x:t xml:space="preserve"/>
        </x:is>
      </x:c>
      <x:c r="S341" s="22">
        <x:f>IF(H341="","",IFERROR(H341/G341,""))</x:f>
      </x:c>
      <x:c r="T341" s="23">
        <x:f>IF(H341="","",IFERROR((J341+K341+L341+N341)/H341,""))</x:f>
      </x:c>
      <x:c r="U341" s="22">
        <x:f>IF(COUNTA(J341:L341,N341)=0,"",IFERROR(AVERAGE(J341:L341,N341),""))</x:f>
      </x:c>
      <x:c r="V341" s="16" t="inlineStr">
        <x:is>
          <x:t xml:space="preserve"/>
        </x:is>
      </x:c>
    </x:row>
    <x:row r="342">
      <x:c r="A342" s="17" t="inlineStr">
        <x:is>
          <x:t xml:space="preserve">P029</x:t>
        </x:is>
      </x:c>
      <x:c r="B342" s="17" t="n">
        <x:v>2</x:v>
      </x:c>
      <x:c r="C342" s="17" t="inlineStr">
        <x:is>
          <x:t xml:space="preserve">V08</x:t>
        </x:is>
      </x:c>
      <x:c r="D342" s="17" t="inlineStr">
        <x:is>
          <x:t xml:space="preserve">Coding</x:t>
        </x:is>
      </x:c>
      <x:c r="E342" s="17" t="inlineStr">
        <x:is>
          <x:t xml:space="preserve">Heavy bionic</x:t>
        </x:is>
      </x:c>
      <x:c r="F342" s="17" t="inlineStr">
        <x:is>
          <x:t xml:space="preserve">Muted</x:t>
        </x:is>
      </x:c>
      <x:c r="G342" s="24" t="n">
        <x:v>24</x:v>
      </x:c>
      <x:c r="H342" s="24" t="inlineStr">
        <x:is>
          <x:t xml:space="preserve"/>
        </x:is>
      </x:c>
      <x:c r="I342" s="24" t="inlineStr">
        <x:is>
          <x:t xml:space="preserve"/>
        </x:is>
      </x:c>
      <x:c r="J342" s="24" t="inlineStr">
        <x:is>
          <x:t xml:space="preserve"/>
        </x:is>
      </x:c>
      <x:c r="K342" s="24" t="inlineStr">
        <x:is>
          <x:t xml:space="preserve"/>
        </x:is>
      </x:c>
      <x:c r="L342" s="24" t="inlineStr">
        <x:is>
          <x:t xml:space="preserve"/>
        </x:is>
      </x:c>
      <x:c r="M342" s="24" t="inlineStr">
        <x:is>
          <x:t xml:space="preserve"/>
        </x:is>
      </x:c>
      <x:c r="N342" s="24" t="inlineStr">
        <x:is>
          <x:t xml:space="preserve"/>
        </x:is>
      </x:c>
      <x:c r="O342" s="24" t="inlineStr">
        <x:is>
          <x:t xml:space="preserve"/>
        </x:is>
      </x:c>
      <x:c r="P342" s="24" t="inlineStr">
        <x:is>
          <x:t xml:space="preserve"/>
        </x:is>
      </x:c>
      <x:c r="Q342" s="24" t="inlineStr">
        <x:is>
          <x:t xml:space="preserve"/>
        </x:is>
      </x:c>
      <x:c r="R342" s="24" t="inlineStr">
        <x:is>
          <x:t xml:space="preserve"/>
        </x:is>
      </x:c>
      <x:c r="S342" s="25">
        <x:f>IF(H342="","",IFERROR(H342/G342,""))</x:f>
      </x:c>
      <x:c r="T342" s="26">
        <x:f>IF(H342="","",IFERROR((J342+K342+L342+N342)/H342,""))</x:f>
      </x:c>
      <x:c r="U342" s="25">
        <x:f>IF(COUNTA(J342:L342,N342)=0,"",IFERROR(AVERAGE(J342:L342,N342),""))</x:f>
      </x:c>
      <x:c r="V342" s="17" t="inlineStr">
        <x:is>
          <x:t xml:space="preserve"/>
        </x:is>
      </x:c>
    </x:row>
    <x:row r="343">
      <x:c r="A343" s="16" t="inlineStr">
        <x:is>
          <x:t xml:space="preserve">P029</x:t>
        </x:is>
      </x:c>
      <x:c r="B343" s="16" t="n">
        <x:v>3</x:v>
      </x:c>
      <x:c r="C343" s="16" t="inlineStr">
        <x:is>
          <x:t xml:space="preserve">V02</x:t>
        </x:is>
      </x:c>
      <x:c r="D343" s="16" t="inlineStr">
        <x:is>
          <x:t xml:space="preserve">Study</x:t>
        </x:is>
      </x:c>
      <x:c r="E343" s="16" t="inlineStr">
        <x:is>
          <x:t xml:space="preserve">Heavy bionic</x:t>
        </x:is>
      </x:c>
      <x:c r="F343" s="16" t="inlineStr">
        <x:is>
          <x:t xml:space="preserve">Muted</x:t>
        </x:is>
      </x:c>
      <x:c r="G343" s="21" t="n">
        <x:v>18</x:v>
      </x:c>
      <x:c r="H343" s="21" t="inlineStr">
        <x:is>
          <x:t xml:space="preserve"/>
        </x:is>
      </x:c>
      <x:c r="I343" s="21" t="inlineStr">
        <x:is>
          <x:t xml:space="preserve"/>
        </x:is>
      </x:c>
      <x:c r="J343" s="21" t="inlineStr">
        <x:is>
          <x:t xml:space="preserve"/>
        </x:is>
      </x:c>
      <x:c r="K343" s="21" t="inlineStr">
        <x:is>
          <x:t xml:space="preserve"/>
        </x:is>
      </x:c>
      <x:c r="L343" s="21" t="inlineStr">
        <x:is>
          <x:t xml:space="preserve"/>
        </x:is>
      </x:c>
      <x:c r="M343" s="21" t="inlineStr">
        <x:is>
          <x:t xml:space="preserve"/>
        </x:is>
      </x:c>
      <x:c r="N343" s="21" t="inlineStr">
        <x:is>
          <x:t xml:space="preserve"/>
        </x:is>
      </x:c>
      <x:c r="O343" s="21" t="inlineStr">
        <x:is>
          <x:t xml:space="preserve"/>
        </x:is>
      </x:c>
      <x:c r="P343" s="21" t="inlineStr">
        <x:is>
          <x:t xml:space="preserve"/>
        </x:is>
      </x:c>
      <x:c r="Q343" s="21" t="inlineStr">
        <x:is>
          <x:t xml:space="preserve"/>
        </x:is>
      </x:c>
      <x:c r="R343" s="21" t="inlineStr">
        <x:is>
          <x:t xml:space="preserve"/>
        </x:is>
      </x:c>
      <x:c r="S343" s="22">
        <x:f>IF(H343="","",IFERROR(H343/G343,""))</x:f>
      </x:c>
      <x:c r="T343" s="23">
        <x:f>IF(H343="","",IFERROR((J343+K343+L343+N343)/H343,""))</x:f>
      </x:c>
      <x:c r="U343" s="22">
        <x:f>IF(COUNTA(J343:L343,N343)=0,"",IFERROR(AVERAGE(J343:L343,N343),""))</x:f>
      </x:c>
      <x:c r="V343" s="16" t="inlineStr">
        <x:is>
          <x:t xml:space="preserve"/>
        </x:is>
      </x:c>
    </x:row>
    <x:row r="344">
      <x:c r="A344" s="17" t="inlineStr">
        <x:is>
          <x:t xml:space="preserve">P029</x:t>
        </x:is>
      </x:c>
      <x:c r="B344" s="17" t="n">
        <x:v>4</x:v>
      </x:c>
      <x:c r="C344" s="17" t="inlineStr">
        <x:is>
          <x:t xml:space="preserve">V04</x:t>
        </x:is>
      </x:c>
      <x:c r="D344" s="17" t="inlineStr">
        <x:is>
          <x:t xml:space="preserve">Finance</x:t>
        </x:is>
      </x:c>
      <x:c r="E344" s="17" t="inlineStr">
        <x:is>
          <x:t xml:space="preserve">Keyword highlight</x:t>
        </x:is>
      </x:c>
      <x:c r="F344" s="17" t="inlineStr">
        <x:is>
          <x:t xml:space="preserve">Muted</x:t>
        </x:is>
      </x:c>
      <x:c r="G344" s="24" t="n">
        <x:v>20</x:v>
      </x:c>
      <x:c r="H344" s="24" t="inlineStr">
        <x:is>
          <x:t xml:space="preserve"/>
        </x:is>
      </x:c>
      <x:c r="I344" s="24" t="inlineStr">
        <x:is>
          <x:t xml:space="preserve"/>
        </x:is>
      </x:c>
      <x:c r="J344" s="24" t="inlineStr">
        <x:is>
          <x:t xml:space="preserve"/>
        </x:is>
      </x:c>
      <x:c r="K344" s="24" t="inlineStr">
        <x:is>
          <x:t xml:space="preserve"/>
        </x:is>
      </x:c>
      <x:c r="L344" s="24" t="inlineStr">
        <x:is>
          <x:t xml:space="preserve"/>
        </x:is>
      </x:c>
      <x:c r="M344" s="24" t="inlineStr">
        <x:is>
          <x:t xml:space="preserve"/>
        </x:is>
      </x:c>
      <x:c r="N344" s="24" t="inlineStr">
        <x:is>
          <x:t xml:space="preserve"/>
        </x:is>
      </x:c>
      <x:c r="O344" s="24" t="inlineStr">
        <x:is>
          <x:t xml:space="preserve"/>
        </x:is>
      </x:c>
      <x:c r="P344" s="24" t="inlineStr">
        <x:is>
          <x:t xml:space="preserve"/>
        </x:is>
      </x:c>
      <x:c r="Q344" s="24" t="inlineStr">
        <x:is>
          <x:t xml:space="preserve"/>
        </x:is>
      </x:c>
      <x:c r="R344" s="24" t="inlineStr">
        <x:is>
          <x:t xml:space="preserve"/>
        </x:is>
      </x:c>
      <x:c r="S344" s="25">
        <x:f>IF(H344="","",IFERROR(H344/G344,""))</x:f>
      </x:c>
      <x:c r="T344" s="26">
        <x:f>IF(H344="","",IFERROR((J344+K344+L344+N344)/H344,""))</x:f>
      </x:c>
      <x:c r="U344" s="25">
        <x:f>IF(COUNTA(J344:L344,N344)=0,"",IFERROR(AVERAGE(J344:L344,N344),""))</x:f>
      </x:c>
      <x:c r="V344" s="17" t="inlineStr">
        <x:is>
          <x:t xml:space="preserve"/>
        </x:is>
      </x:c>
    </x:row>
    <x:row r="345">
      <x:c r="A345" s="16" t="inlineStr">
        <x:is>
          <x:t xml:space="preserve">P029</x:t>
        </x:is>
      </x:c>
      <x:c r="B345" s="16" t="n">
        <x:v>5</x:v>
      </x:c>
      <x:c r="C345" s="16" t="inlineStr">
        <x:is>
          <x:t xml:space="preserve">V07</x:t>
        </x:is>
      </x:c>
      <x:c r="D345" s="16" t="inlineStr">
        <x:is>
          <x:t xml:space="preserve">Business</x:t>
        </x:is>
      </x:c>
      <x:c r="E345" s="16" t="inlineStr">
        <x:is>
          <x:t xml:space="preserve">BCC+</x:t>
        </x:is>
      </x:c>
      <x:c r="F345" s="16" t="inlineStr">
        <x:is>
          <x:t xml:space="preserve">Muted</x:t>
        </x:is>
      </x:c>
      <x:c r="G345" s="21" t="n">
        <x:v>18</x:v>
      </x:c>
      <x:c r="H345" s="21" t="inlineStr">
        <x:is>
          <x:t xml:space="preserve"/>
        </x:is>
      </x:c>
      <x:c r="I345" s="21" t="inlineStr">
        <x:is>
          <x:t xml:space="preserve"/>
        </x:is>
      </x:c>
      <x:c r="J345" s="21" t="inlineStr">
        <x:is>
          <x:t xml:space="preserve"/>
        </x:is>
      </x:c>
      <x:c r="K345" s="21" t="inlineStr">
        <x:is>
          <x:t xml:space="preserve"/>
        </x:is>
      </x:c>
      <x:c r="L345" s="21" t="inlineStr">
        <x:is>
          <x:t xml:space="preserve"/>
        </x:is>
      </x:c>
      <x:c r="M345" s="21" t="inlineStr">
        <x:is>
          <x:t xml:space="preserve"/>
        </x:is>
      </x:c>
      <x:c r="N345" s="21" t="inlineStr">
        <x:is>
          <x:t xml:space="preserve"/>
        </x:is>
      </x:c>
      <x:c r="O345" s="21" t="inlineStr">
        <x:is>
          <x:t xml:space="preserve"/>
        </x:is>
      </x:c>
      <x:c r="P345" s="21" t="inlineStr">
        <x:is>
          <x:t xml:space="preserve"/>
        </x:is>
      </x:c>
      <x:c r="Q345" s="21" t="inlineStr">
        <x:is>
          <x:t xml:space="preserve"/>
        </x:is>
      </x:c>
      <x:c r="R345" s="21" t="inlineStr">
        <x:is>
          <x:t xml:space="preserve"/>
        </x:is>
      </x:c>
      <x:c r="S345" s="22">
        <x:f>IF(H345="","",IFERROR(H345/G345,""))</x:f>
      </x:c>
      <x:c r="T345" s="23">
        <x:f>IF(H345="","",IFERROR((J345+K345+L345+N345)/H345,""))</x:f>
      </x:c>
      <x:c r="U345" s="22">
        <x:f>IF(COUNTA(J345:L345,N345)=0,"",IFERROR(AVERAGE(J345:L345,N345),""))</x:f>
      </x:c>
      <x:c r="V345" s="16" t="inlineStr">
        <x:is>
          <x:t xml:space="preserve"/>
        </x:is>
      </x:c>
    </x:row>
    <x:row r="346">
      <x:c r="A346" s="17" t="inlineStr">
        <x:is>
          <x:t xml:space="preserve">P029</x:t>
        </x:is>
      </x:c>
      <x:c r="B346" s="17" t="n">
        <x:v>6</x:v>
      </x:c>
      <x:c r="C346" s="17" t="inlineStr">
        <x:is>
          <x:t xml:space="preserve">V11</x:t>
        </x:is>
      </x:c>
      <x:c r="D346" s="17" t="inlineStr">
        <x:is>
          <x:t xml:space="preserve">Creator strategy</x:t>
        </x:is>
      </x:c>
      <x:c r="E346" s="17" t="inlineStr">
        <x:is>
          <x:t xml:space="preserve">Semantic compression</x:t>
        </x:is>
      </x:c>
      <x:c r="F346" s="17" t="inlineStr">
        <x:is>
          <x:t xml:space="preserve">Muted</x:t>
        </x:is>
      </x:c>
      <x:c r="G346" s="24" t="n">
        <x:v>17</x:v>
      </x:c>
      <x:c r="H346" s="24" t="inlineStr">
        <x:is>
          <x:t xml:space="preserve"/>
        </x:is>
      </x:c>
      <x:c r="I346" s="24" t="inlineStr">
        <x:is>
          <x:t xml:space="preserve"/>
        </x:is>
      </x:c>
      <x:c r="J346" s="24" t="inlineStr">
        <x:is>
          <x:t xml:space="preserve"/>
        </x:is>
      </x:c>
      <x:c r="K346" s="24" t="inlineStr">
        <x:is>
          <x:t xml:space="preserve"/>
        </x:is>
      </x:c>
      <x:c r="L346" s="24" t="inlineStr">
        <x:is>
          <x:t xml:space="preserve"/>
        </x:is>
      </x:c>
      <x:c r="M346" s="24" t="inlineStr">
        <x:is>
          <x:t xml:space="preserve"/>
        </x:is>
      </x:c>
      <x:c r="N346" s="24" t="inlineStr">
        <x:is>
          <x:t xml:space="preserve"/>
        </x:is>
      </x:c>
      <x:c r="O346" s="24" t="inlineStr">
        <x:is>
          <x:t xml:space="preserve"/>
        </x:is>
      </x:c>
      <x:c r="P346" s="24" t="inlineStr">
        <x:is>
          <x:t xml:space="preserve"/>
        </x:is>
      </x:c>
      <x:c r="Q346" s="24" t="inlineStr">
        <x:is>
          <x:t xml:space="preserve"/>
        </x:is>
      </x:c>
      <x:c r="R346" s="24" t="inlineStr">
        <x:is>
          <x:t xml:space="preserve"/>
        </x:is>
      </x:c>
      <x:c r="S346" s="25">
        <x:f>IF(H346="","",IFERROR(H346/G346,""))</x:f>
      </x:c>
      <x:c r="T346" s="26">
        <x:f>IF(H346="","",IFERROR((J346+K346+L346+N346)/H346,""))</x:f>
      </x:c>
      <x:c r="U346" s="25">
        <x:f>IF(COUNTA(J346:L346,N346)=0,"",IFERROR(AVERAGE(J346:L346,N346),""))</x:f>
      </x:c>
      <x:c r="V346" s="17" t="inlineStr">
        <x:is>
          <x:t xml:space="preserve"/>
        </x:is>
      </x:c>
    </x:row>
    <x:row r="347">
      <x:c r="A347" s="16" t="inlineStr">
        <x:is>
          <x:t xml:space="preserve">P029</x:t>
        </x:is>
      </x:c>
      <x:c r="B347" s="16" t="n">
        <x:v>7</x:v>
      </x:c>
      <x:c r="C347" s="16" t="inlineStr">
        <x:is>
          <x:t xml:space="preserve">V06</x:t>
        </x:is>
      </x:c>
      <x:c r="D347" s="16" t="inlineStr">
        <x:is>
          <x:t xml:space="preserve">Overload</x:t>
        </x:is>
      </x:c>
      <x:c r="E347" s="16" t="inlineStr">
        <x:is>
          <x:t xml:space="preserve">BCC</x:t>
        </x:is>
      </x:c>
      <x:c r="F347" s="16" t="inlineStr">
        <x:is>
          <x:t xml:space="preserve">Muted</x:t>
        </x:is>
      </x:c>
      <x:c r="G347" s="21" t="n">
        <x:v>16</x:v>
      </x:c>
      <x:c r="H347" s="21" t="inlineStr">
        <x:is>
          <x:t xml:space="preserve"/>
        </x:is>
      </x:c>
      <x:c r="I347" s="21" t="inlineStr">
        <x:is>
          <x:t xml:space="preserve"/>
        </x:is>
      </x:c>
      <x:c r="J347" s="21" t="inlineStr">
        <x:is>
          <x:t xml:space="preserve"/>
        </x:is>
      </x:c>
      <x:c r="K347" s="21" t="inlineStr">
        <x:is>
          <x:t xml:space="preserve"/>
        </x:is>
      </x:c>
      <x:c r="L347" s="21" t="inlineStr">
        <x:is>
          <x:t xml:space="preserve"/>
        </x:is>
      </x:c>
      <x:c r="M347" s="21" t="inlineStr">
        <x:is>
          <x:t xml:space="preserve"/>
        </x:is>
      </x:c>
      <x:c r="N347" s="21" t="inlineStr">
        <x:is>
          <x:t xml:space="preserve"/>
        </x:is>
      </x:c>
      <x:c r="O347" s="21" t="inlineStr">
        <x:is>
          <x:t xml:space="preserve"/>
        </x:is>
      </x:c>
      <x:c r="P347" s="21" t="inlineStr">
        <x:is>
          <x:t xml:space="preserve"/>
        </x:is>
      </x:c>
      <x:c r="Q347" s="21" t="inlineStr">
        <x:is>
          <x:t xml:space="preserve"/>
        </x:is>
      </x:c>
      <x:c r="R347" s="21" t="inlineStr">
        <x:is>
          <x:t xml:space="preserve"/>
        </x:is>
      </x:c>
      <x:c r="S347" s="22">
        <x:f>IF(H347="","",IFERROR(H347/G347,""))</x:f>
      </x:c>
      <x:c r="T347" s="23">
        <x:f>IF(H347="","",IFERROR((J347+K347+L347+N347)/H347,""))</x:f>
      </x:c>
      <x:c r="U347" s="22">
        <x:f>IF(COUNTA(J347:L347,N347)=0,"",IFERROR(AVERAGE(J347:L347,N347),""))</x:f>
      </x:c>
      <x:c r="V347" s="16" t="inlineStr">
        <x:is>
          <x:t xml:space="preserve"/>
        </x:is>
      </x:c>
    </x:row>
    <x:row r="348">
      <x:c r="A348" s="17" t="inlineStr">
        <x:is>
          <x:t xml:space="preserve">P029</x:t>
        </x:is>
      </x:c>
      <x:c r="B348" s="17" t="n">
        <x:v>8</x:v>
      </x:c>
      <x:c r="C348" s="17" t="inlineStr">
        <x:is>
          <x:t xml:space="preserve">V03</x:t>
        </x:is>
      </x:c>
      <x:c r="D348" s="17" t="inlineStr">
        <x:is>
          <x:t xml:space="preserve">Fitness</x:t>
        </x:is>
      </x:c>
      <x:c r="E348" s="17" t="inlineStr">
        <x:is>
          <x:t xml:space="preserve">Full transcript</x:t>
        </x:is>
      </x:c>
      <x:c r="F348" s="17" t="inlineStr">
        <x:is>
          <x:t xml:space="preserve">Muted</x:t>
        </x:is>
      </x:c>
      <x:c r="G348" s="24" t="n">
        <x:v>18</x:v>
      </x:c>
      <x:c r="H348" s="24" t="inlineStr">
        <x:is>
          <x:t xml:space="preserve"/>
        </x:is>
      </x:c>
      <x:c r="I348" s="24" t="inlineStr">
        <x:is>
          <x:t xml:space="preserve"/>
        </x:is>
      </x:c>
      <x:c r="J348" s="24" t="inlineStr">
        <x:is>
          <x:t xml:space="preserve"/>
        </x:is>
      </x:c>
      <x:c r="K348" s="24" t="inlineStr">
        <x:is>
          <x:t xml:space="preserve"/>
        </x:is>
      </x:c>
      <x:c r="L348" s="24" t="inlineStr">
        <x:is>
          <x:t xml:space="preserve"/>
        </x:is>
      </x:c>
      <x:c r="M348" s="24" t="inlineStr">
        <x:is>
          <x:t xml:space="preserve"/>
        </x:is>
      </x:c>
      <x:c r="N348" s="24" t="inlineStr">
        <x:is>
          <x:t xml:space="preserve"/>
        </x:is>
      </x:c>
      <x:c r="O348" s="24" t="inlineStr">
        <x:is>
          <x:t xml:space="preserve"/>
        </x:is>
      </x:c>
      <x:c r="P348" s="24" t="inlineStr">
        <x:is>
          <x:t xml:space="preserve"/>
        </x:is>
      </x:c>
      <x:c r="Q348" s="24" t="inlineStr">
        <x:is>
          <x:t xml:space="preserve"/>
        </x:is>
      </x:c>
      <x:c r="R348" s="24" t="inlineStr">
        <x:is>
          <x:t xml:space="preserve"/>
        </x:is>
      </x:c>
      <x:c r="S348" s="25">
        <x:f>IF(H348="","",IFERROR(H348/G348,""))</x:f>
      </x:c>
      <x:c r="T348" s="26">
        <x:f>IF(H348="","",IFERROR((J348+K348+L348+N348)/H348,""))</x:f>
      </x:c>
      <x:c r="U348" s="25">
        <x:f>IF(COUNTA(J348:L348,N348)=0,"",IFERROR(AVERAGE(J348:L348,N348),""))</x:f>
      </x:c>
      <x:c r="V348" s="17" t="inlineStr">
        <x:is>
          <x:t xml:space="preserve"/>
        </x:is>
      </x:c>
    </x:row>
    <x:row r="349">
      <x:c r="A349" s="16" t="inlineStr">
        <x:is>
          <x:t xml:space="preserve">P029</x:t>
        </x:is>
      </x:c>
      <x:c r="B349" s="16" t="n">
        <x:v>9</x:v>
      </x:c>
      <x:c r="C349" s="16" t="inlineStr">
        <x:is>
          <x:t xml:space="preserve">V09</x:t>
        </x:is>
      </x:c>
      <x:c r="D349" s="16" t="inlineStr">
        <x:is>
          <x:t xml:space="preserve">Sleep habit</x:t>
        </x:is>
      </x:c>
      <x:c r="E349" s="16" t="inlineStr">
        <x:is>
          <x:t xml:space="preserve">Full transcript</x:t>
        </x:is>
      </x:c>
      <x:c r="F349" s="16" t="inlineStr">
        <x:is>
          <x:t xml:space="preserve">Muted</x:t>
        </x:is>
      </x:c>
      <x:c r="G349" s="21" t="n">
        <x:v>19</x:v>
      </x:c>
      <x:c r="H349" s="21" t="inlineStr">
        <x:is>
          <x:t xml:space="preserve"/>
        </x:is>
      </x:c>
      <x:c r="I349" s="21" t="inlineStr">
        <x:is>
          <x:t xml:space="preserve"/>
        </x:is>
      </x:c>
      <x:c r="J349" s="21" t="inlineStr">
        <x:is>
          <x:t xml:space="preserve"/>
        </x:is>
      </x:c>
      <x:c r="K349" s="21" t="inlineStr">
        <x:is>
          <x:t xml:space="preserve"/>
        </x:is>
      </x:c>
      <x:c r="L349" s="21" t="inlineStr">
        <x:is>
          <x:t xml:space="preserve"/>
        </x:is>
      </x:c>
      <x:c r="M349" s="21" t="inlineStr">
        <x:is>
          <x:t xml:space="preserve"/>
        </x:is>
      </x:c>
      <x:c r="N349" s="21" t="inlineStr">
        <x:is>
          <x:t xml:space="preserve"/>
        </x:is>
      </x:c>
      <x:c r="O349" s="21" t="inlineStr">
        <x:is>
          <x:t xml:space="preserve"/>
        </x:is>
      </x:c>
      <x:c r="P349" s="21" t="inlineStr">
        <x:is>
          <x:t xml:space="preserve"/>
        </x:is>
      </x:c>
      <x:c r="Q349" s="21" t="inlineStr">
        <x:is>
          <x:t xml:space="preserve"/>
        </x:is>
      </x:c>
      <x:c r="R349" s="21" t="inlineStr">
        <x:is>
          <x:t xml:space="preserve"/>
        </x:is>
      </x:c>
      <x:c r="S349" s="22">
        <x:f>IF(H349="","",IFERROR(H349/G349,""))</x:f>
      </x:c>
      <x:c r="T349" s="23">
        <x:f>IF(H349="","",IFERROR((J349+K349+L349+N349)/H349,""))</x:f>
      </x:c>
      <x:c r="U349" s="22">
        <x:f>IF(COUNTA(J349:L349,N349)=0,"",IFERROR(AVERAGE(J349:L349,N349),""))</x:f>
      </x:c>
      <x:c r="V349" s="16" t="inlineStr">
        <x:is>
          <x:t xml:space="preserve"/>
        </x:is>
      </x:c>
    </x:row>
    <x:row r="350">
      <x:c r="A350" s="17" t="inlineStr">
        <x:is>
          <x:t xml:space="preserve">P029</x:t>
        </x:is>
      </x:c>
      <x:c r="B350" s="17" t="n">
        <x:v>10</x:v>
      </x:c>
      <x:c r="C350" s="17" t="inlineStr">
        <x:is>
          <x:t xml:space="preserve">V12</x:t>
        </x:is>
      </x:c>
      <x:c r="D350" s="17" t="inlineStr">
        <x:is>
          <x:t xml:space="preserve">Time management</x:t>
        </x:is>
      </x:c>
      <x:c r="E350" s="17" t="inlineStr">
        <x:is>
          <x:t xml:space="preserve">BCC</x:t>
        </x:is>
      </x:c>
      <x:c r="F350" s="17" t="inlineStr">
        <x:is>
          <x:t xml:space="preserve">Muted</x:t>
        </x:is>
      </x:c>
      <x:c r="G350" s="24" t="n">
        <x:v>21</x:v>
      </x:c>
      <x:c r="H350" s="24" t="inlineStr">
        <x:is>
          <x:t xml:space="preserve"/>
        </x:is>
      </x:c>
      <x:c r="I350" s="24" t="inlineStr">
        <x:is>
          <x:t xml:space="preserve"/>
        </x:is>
      </x:c>
      <x:c r="J350" s="24" t="inlineStr">
        <x:is>
          <x:t xml:space="preserve"/>
        </x:is>
      </x:c>
      <x:c r="K350" s="24" t="inlineStr">
        <x:is>
          <x:t xml:space="preserve"/>
        </x:is>
      </x:c>
      <x:c r="L350" s="24" t="inlineStr">
        <x:is>
          <x:t xml:space="preserve"/>
        </x:is>
      </x:c>
      <x:c r="M350" s="24" t="inlineStr">
        <x:is>
          <x:t xml:space="preserve"/>
        </x:is>
      </x:c>
      <x:c r="N350" s="24" t="inlineStr">
        <x:is>
          <x:t xml:space="preserve"/>
        </x:is>
      </x:c>
      <x:c r="O350" s="24" t="inlineStr">
        <x:is>
          <x:t xml:space="preserve"/>
        </x:is>
      </x:c>
      <x:c r="P350" s="24" t="inlineStr">
        <x:is>
          <x:t xml:space="preserve"/>
        </x:is>
      </x:c>
      <x:c r="Q350" s="24" t="inlineStr">
        <x:is>
          <x:t xml:space="preserve"/>
        </x:is>
      </x:c>
      <x:c r="R350" s="24" t="inlineStr">
        <x:is>
          <x:t xml:space="preserve"/>
        </x:is>
      </x:c>
      <x:c r="S350" s="25">
        <x:f>IF(H350="","",IFERROR(H350/G350,""))</x:f>
      </x:c>
      <x:c r="T350" s="26">
        <x:f>IF(H350="","",IFERROR((J350+K350+L350+N350)/H350,""))</x:f>
      </x:c>
      <x:c r="U350" s="25">
        <x:f>IF(COUNTA(J350:L350,N350)=0,"",IFERROR(AVERAGE(J350:L350,N350),""))</x:f>
      </x:c>
      <x:c r="V350" s="17" t="inlineStr">
        <x:is>
          <x:t xml:space="preserve"/>
        </x:is>
      </x:c>
    </x:row>
    <x:row r="351">
      <x:c r="A351" s="16" t="inlineStr">
        <x:is>
          <x:t xml:space="preserve">P029</x:t>
        </x:is>
      </x:c>
      <x:c r="B351" s="16" t="n">
        <x:v>11</x:v>
      </x:c>
      <x:c r="C351" s="16" t="inlineStr">
        <x:is>
          <x:t xml:space="preserve">V05</x:t>
        </x:is>
      </x:c>
      <x:c r="D351" s="16" t="inlineStr">
        <x:is>
          <x:t xml:space="preserve">Tutorial</x:t>
        </x:is>
      </x:c>
      <x:c r="E351" s="16" t="inlineStr">
        <x:is>
          <x:t xml:space="preserve">Semantic compression</x:t>
        </x:is>
      </x:c>
      <x:c r="F351" s="16" t="inlineStr">
        <x:is>
          <x:t xml:space="preserve">Muted</x:t>
        </x:is>
      </x:c>
      <x:c r="G351" s="21" t="n">
        <x:v>20</x:v>
      </x:c>
      <x:c r="H351" s="21" t="inlineStr">
        <x:is>
          <x:t xml:space="preserve"/>
        </x:is>
      </x:c>
      <x:c r="I351" s="21" t="inlineStr">
        <x:is>
          <x:t xml:space="preserve"/>
        </x:is>
      </x:c>
      <x:c r="J351" s="21" t="inlineStr">
        <x:is>
          <x:t xml:space="preserve"/>
        </x:is>
      </x:c>
      <x:c r="K351" s="21" t="inlineStr">
        <x:is>
          <x:t xml:space="preserve"/>
        </x:is>
      </x:c>
      <x:c r="L351" s="21" t="inlineStr">
        <x:is>
          <x:t xml:space="preserve"/>
        </x:is>
      </x:c>
      <x:c r="M351" s="21" t="inlineStr">
        <x:is>
          <x:t xml:space="preserve"/>
        </x:is>
      </x:c>
      <x:c r="N351" s="21" t="inlineStr">
        <x:is>
          <x:t xml:space="preserve"/>
        </x:is>
      </x:c>
      <x:c r="O351" s="21" t="inlineStr">
        <x:is>
          <x:t xml:space="preserve"/>
        </x:is>
      </x:c>
      <x:c r="P351" s="21" t="inlineStr">
        <x:is>
          <x:t xml:space="preserve"/>
        </x:is>
      </x:c>
      <x:c r="Q351" s="21" t="inlineStr">
        <x:is>
          <x:t xml:space="preserve"/>
        </x:is>
      </x:c>
      <x:c r="R351" s="21" t="inlineStr">
        <x:is>
          <x:t xml:space="preserve"/>
        </x:is>
      </x:c>
      <x:c r="S351" s="22">
        <x:f>IF(H351="","",IFERROR(H351/G351,""))</x:f>
      </x:c>
      <x:c r="T351" s="23">
        <x:f>IF(H351="","",IFERROR((J351+K351+L351+N351)/H351,""))</x:f>
      </x:c>
      <x:c r="U351" s="22">
        <x:f>IF(COUNTA(J351:L351,N351)=0,"",IFERROR(AVERAGE(J351:L351,N351),""))</x:f>
      </x:c>
      <x:c r="V351" s="16" t="inlineStr">
        <x:is>
          <x:t xml:space="preserve"/>
        </x:is>
      </x:c>
    </x:row>
    <x:row r="352">
      <x:c r="A352" s="17" t="inlineStr">
        <x:is>
          <x:t xml:space="preserve">P029</x:t>
        </x:is>
      </x:c>
      <x:c r="B352" s="17" t="n">
        <x:v>12</x:v>
      </x:c>
      <x:c r="C352" s="17" t="inlineStr">
        <x:is>
          <x:t xml:space="preserve">V10</x:t>
        </x:is>
      </x:c>
      <x:c r="D352" s="17" t="inlineStr">
        <x:is>
          <x:t xml:space="preserve">Product demo</x:t>
        </x:is>
      </x:c>
      <x:c r="E352" s="17" t="inlineStr">
        <x:is>
          <x:t xml:space="preserve">Keyword highlight</x:t>
        </x:is>
      </x:c>
      <x:c r="F352" s="17" t="inlineStr">
        <x:is>
          <x:t xml:space="preserve">Muted</x:t>
        </x:is>
      </x:c>
      <x:c r="G352" s="24" t="n">
        <x:v>15</x:v>
      </x:c>
      <x:c r="H352" s="24" t="inlineStr">
        <x:is>
          <x:t xml:space="preserve"/>
        </x:is>
      </x:c>
      <x:c r="I352" s="24" t="inlineStr">
        <x:is>
          <x:t xml:space="preserve"/>
        </x:is>
      </x:c>
      <x:c r="J352" s="24" t="inlineStr">
        <x:is>
          <x:t xml:space="preserve"/>
        </x:is>
      </x:c>
      <x:c r="K352" s="24" t="inlineStr">
        <x:is>
          <x:t xml:space="preserve"/>
        </x:is>
      </x:c>
      <x:c r="L352" s="24" t="inlineStr">
        <x:is>
          <x:t xml:space="preserve"/>
        </x:is>
      </x:c>
      <x:c r="M352" s="24" t="inlineStr">
        <x:is>
          <x:t xml:space="preserve"/>
        </x:is>
      </x:c>
      <x:c r="N352" s="24" t="inlineStr">
        <x:is>
          <x:t xml:space="preserve"/>
        </x:is>
      </x:c>
      <x:c r="O352" s="24" t="inlineStr">
        <x:is>
          <x:t xml:space="preserve"/>
        </x:is>
      </x:c>
      <x:c r="P352" s="24" t="inlineStr">
        <x:is>
          <x:t xml:space="preserve"/>
        </x:is>
      </x:c>
      <x:c r="Q352" s="24" t="inlineStr">
        <x:is>
          <x:t xml:space="preserve"/>
        </x:is>
      </x:c>
      <x:c r="R352" s="24" t="inlineStr">
        <x:is>
          <x:t xml:space="preserve"/>
        </x:is>
      </x:c>
      <x:c r="S352" s="25">
        <x:f>IF(H352="","",IFERROR(H352/G352,""))</x:f>
      </x:c>
      <x:c r="T352" s="26">
        <x:f>IF(H352="","",IFERROR((J352+K352+L352+N352)/H352,""))</x:f>
      </x:c>
      <x:c r="U352" s="25">
        <x:f>IF(COUNTA(J352:L352,N352)=0,"",IFERROR(AVERAGE(J352:L352,N352),""))</x:f>
      </x:c>
      <x:c r="V352" s="17" t="inlineStr">
        <x:is>
          <x:t xml:space="preserve"/>
        </x:is>
      </x:c>
    </x:row>
    <x:row r="353">
      <x:c r="A353" s="16" t="inlineStr">
        <x:is>
          <x:t xml:space="preserve">P030</x:t>
        </x:is>
      </x:c>
      <x:c r="B353" s="16" t="n">
        <x:v>1</x:v>
      </x:c>
      <x:c r="C353" s="16" t="inlineStr">
        <x:is>
          <x:t xml:space="preserve">V09</x:t>
        </x:is>
      </x:c>
      <x:c r="D353" s="16" t="inlineStr">
        <x:is>
          <x:t xml:space="preserve">Sleep habit</x:t>
        </x:is>
      </x:c>
      <x:c r="E353" s="16" t="inlineStr">
        <x:is>
          <x:t xml:space="preserve">Keyword highlight</x:t>
        </x:is>
      </x:c>
      <x:c r="F353" s="16" t="inlineStr">
        <x:is>
          <x:t xml:space="preserve">Muted</x:t>
        </x:is>
      </x:c>
      <x:c r="G353" s="21" t="n">
        <x:v>19</x:v>
      </x:c>
      <x:c r="H353" s="21" t="inlineStr">
        <x:is>
          <x:t xml:space="preserve"/>
        </x:is>
      </x:c>
      <x:c r="I353" s="21" t="inlineStr">
        <x:is>
          <x:t xml:space="preserve"/>
        </x:is>
      </x:c>
      <x:c r="J353" s="21" t="inlineStr">
        <x:is>
          <x:t xml:space="preserve"/>
        </x:is>
      </x:c>
      <x:c r="K353" s="21" t="inlineStr">
        <x:is>
          <x:t xml:space="preserve"/>
        </x:is>
      </x:c>
      <x:c r="L353" s="21" t="inlineStr">
        <x:is>
          <x:t xml:space="preserve"/>
        </x:is>
      </x:c>
      <x:c r="M353" s="21" t="inlineStr">
        <x:is>
          <x:t xml:space="preserve"/>
        </x:is>
      </x:c>
      <x:c r="N353" s="21" t="inlineStr">
        <x:is>
          <x:t xml:space="preserve"/>
        </x:is>
      </x:c>
      <x:c r="O353" s="21" t="inlineStr">
        <x:is>
          <x:t xml:space="preserve"/>
        </x:is>
      </x:c>
      <x:c r="P353" s="21" t="inlineStr">
        <x:is>
          <x:t xml:space="preserve"/>
        </x:is>
      </x:c>
      <x:c r="Q353" s="21" t="inlineStr">
        <x:is>
          <x:t xml:space="preserve"/>
        </x:is>
      </x:c>
      <x:c r="R353" s="21" t="inlineStr">
        <x:is>
          <x:t xml:space="preserve"/>
        </x:is>
      </x:c>
      <x:c r="S353" s="22">
        <x:f>IF(H353="","",IFERROR(H353/G353,""))</x:f>
      </x:c>
      <x:c r="T353" s="23">
        <x:f>IF(H353="","",IFERROR((J353+K353+L353+N353)/H353,""))</x:f>
      </x:c>
      <x:c r="U353" s="22">
        <x:f>IF(COUNTA(J353:L353,N353)=0,"",IFERROR(AVERAGE(J353:L353,N353),""))</x:f>
      </x:c>
      <x:c r="V353" s="16" t="inlineStr">
        <x:is>
          <x:t xml:space="preserve"/>
        </x:is>
      </x:c>
    </x:row>
    <x:row r="354">
      <x:c r="A354" s="17" t="inlineStr">
        <x:is>
          <x:t xml:space="preserve">P030</x:t>
        </x:is>
      </x:c>
      <x:c r="B354" s="17" t="n">
        <x:v>2</x:v>
      </x:c>
      <x:c r="C354" s="17" t="inlineStr">
        <x:is>
          <x:t xml:space="preserve">V06</x:t>
        </x:is>
      </x:c>
      <x:c r="D354" s="17" t="inlineStr">
        <x:is>
          <x:t xml:space="preserve">Overload</x:t>
        </x:is>
      </x:c>
      <x:c r="E354" s="17" t="inlineStr">
        <x:is>
          <x:t xml:space="preserve">BCC+</x:t>
        </x:is>
      </x:c>
      <x:c r="F354" s="17" t="inlineStr">
        <x:is>
          <x:t xml:space="preserve">Muted</x:t>
        </x:is>
      </x:c>
      <x:c r="G354" s="24" t="n">
        <x:v>16</x:v>
      </x:c>
      <x:c r="H354" s="24" t="inlineStr">
        <x:is>
          <x:t xml:space="preserve"/>
        </x:is>
      </x:c>
      <x:c r="I354" s="24" t="inlineStr">
        <x:is>
          <x:t xml:space="preserve"/>
        </x:is>
      </x:c>
      <x:c r="J354" s="24" t="inlineStr">
        <x:is>
          <x:t xml:space="preserve"/>
        </x:is>
      </x:c>
      <x:c r="K354" s="24" t="inlineStr">
        <x:is>
          <x:t xml:space="preserve"/>
        </x:is>
      </x:c>
      <x:c r="L354" s="24" t="inlineStr">
        <x:is>
          <x:t xml:space="preserve"/>
        </x:is>
      </x:c>
      <x:c r="M354" s="24" t="inlineStr">
        <x:is>
          <x:t xml:space="preserve"/>
        </x:is>
      </x:c>
      <x:c r="N354" s="24" t="inlineStr">
        <x:is>
          <x:t xml:space="preserve"/>
        </x:is>
      </x:c>
      <x:c r="O354" s="24" t="inlineStr">
        <x:is>
          <x:t xml:space="preserve"/>
        </x:is>
      </x:c>
      <x:c r="P354" s="24" t="inlineStr">
        <x:is>
          <x:t xml:space="preserve"/>
        </x:is>
      </x:c>
      <x:c r="Q354" s="24" t="inlineStr">
        <x:is>
          <x:t xml:space="preserve"/>
        </x:is>
      </x:c>
      <x:c r="R354" s="24" t="inlineStr">
        <x:is>
          <x:t xml:space="preserve"/>
        </x:is>
      </x:c>
      <x:c r="S354" s="25">
        <x:f>IF(H354="","",IFERROR(H354/G354,""))</x:f>
      </x:c>
      <x:c r="T354" s="26">
        <x:f>IF(H354="","",IFERROR((J354+K354+L354+N354)/H354,""))</x:f>
      </x:c>
      <x:c r="U354" s="25">
        <x:f>IF(COUNTA(J354:L354,N354)=0,"",IFERROR(AVERAGE(J354:L354,N354),""))</x:f>
      </x:c>
      <x:c r="V354" s="17" t="inlineStr">
        <x:is>
          <x:t xml:space="preserve"/>
        </x:is>
      </x:c>
    </x:row>
    <x:row r="355">
      <x:c r="A355" s="16" t="inlineStr">
        <x:is>
          <x:t xml:space="preserve">P030</x:t>
        </x:is>
      </x:c>
      <x:c r="B355" s="16" t="n">
        <x:v>3</x:v>
      </x:c>
      <x:c r="C355" s="16" t="inlineStr">
        <x:is>
          <x:t xml:space="preserve">V02</x:t>
        </x:is>
      </x:c>
      <x:c r="D355" s="16" t="inlineStr">
        <x:is>
          <x:t xml:space="preserve">Study</x:t>
        </x:is>
      </x:c>
      <x:c r="E355" s="16" t="inlineStr">
        <x:is>
          <x:t xml:space="preserve">Full transcript</x:t>
        </x:is>
      </x:c>
      <x:c r="F355" s="16" t="inlineStr">
        <x:is>
          <x:t xml:space="preserve">Muted</x:t>
        </x:is>
      </x:c>
      <x:c r="G355" s="21" t="n">
        <x:v>18</x:v>
      </x:c>
      <x:c r="H355" s="21" t="inlineStr">
        <x:is>
          <x:t xml:space="preserve"/>
        </x:is>
      </x:c>
      <x:c r="I355" s="21" t="inlineStr">
        <x:is>
          <x:t xml:space="preserve"/>
        </x:is>
      </x:c>
      <x:c r="J355" s="21" t="inlineStr">
        <x:is>
          <x:t xml:space="preserve"/>
        </x:is>
      </x:c>
      <x:c r="K355" s="21" t="inlineStr">
        <x:is>
          <x:t xml:space="preserve"/>
        </x:is>
      </x:c>
      <x:c r="L355" s="21" t="inlineStr">
        <x:is>
          <x:t xml:space="preserve"/>
        </x:is>
      </x:c>
      <x:c r="M355" s="21" t="inlineStr">
        <x:is>
          <x:t xml:space="preserve"/>
        </x:is>
      </x:c>
      <x:c r="N355" s="21" t="inlineStr">
        <x:is>
          <x:t xml:space="preserve"/>
        </x:is>
      </x:c>
      <x:c r="O355" s="21" t="inlineStr">
        <x:is>
          <x:t xml:space="preserve"/>
        </x:is>
      </x:c>
      <x:c r="P355" s="21" t="inlineStr">
        <x:is>
          <x:t xml:space="preserve"/>
        </x:is>
      </x:c>
      <x:c r="Q355" s="21" t="inlineStr">
        <x:is>
          <x:t xml:space="preserve"/>
        </x:is>
      </x:c>
      <x:c r="R355" s="21" t="inlineStr">
        <x:is>
          <x:t xml:space="preserve"/>
        </x:is>
      </x:c>
      <x:c r="S355" s="22">
        <x:f>IF(H355="","",IFERROR(H355/G355,""))</x:f>
      </x:c>
      <x:c r="T355" s="23">
        <x:f>IF(H355="","",IFERROR((J355+K355+L355+N355)/H355,""))</x:f>
      </x:c>
      <x:c r="U355" s="22">
        <x:f>IF(COUNTA(J355:L355,N355)=0,"",IFERROR(AVERAGE(J355:L355,N355),""))</x:f>
      </x:c>
      <x:c r="V355" s="16" t="inlineStr">
        <x:is>
          <x:t xml:space="preserve"/>
        </x:is>
      </x:c>
    </x:row>
    <x:row r="356">
      <x:c r="A356" s="17" t="inlineStr">
        <x:is>
          <x:t xml:space="preserve">P030</x:t>
        </x:is>
      </x:c>
      <x:c r="B356" s="17" t="n">
        <x:v>4</x:v>
      </x:c>
      <x:c r="C356" s="17" t="inlineStr">
        <x:is>
          <x:t xml:space="preserve">V12</x:t>
        </x:is>
      </x:c>
      <x:c r="D356" s="17" t="inlineStr">
        <x:is>
          <x:t xml:space="preserve">Time management</x:t>
        </x:is>
      </x:c>
      <x:c r="E356" s="17" t="inlineStr">
        <x:is>
          <x:t xml:space="preserve">BCC+</x:t>
        </x:is>
      </x:c>
      <x:c r="F356" s="17" t="inlineStr">
        <x:is>
          <x:t xml:space="preserve">Muted</x:t>
        </x:is>
      </x:c>
      <x:c r="G356" s="24" t="n">
        <x:v>21</x:v>
      </x:c>
      <x:c r="H356" s="24" t="inlineStr">
        <x:is>
          <x:t xml:space="preserve"/>
        </x:is>
      </x:c>
      <x:c r="I356" s="24" t="inlineStr">
        <x:is>
          <x:t xml:space="preserve"/>
        </x:is>
      </x:c>
      <x:c r="J356" s="24" t="inlineStr">
        <x:is>
          <x:t xml:space="preserve"/>
        </x:is>
      </x:c>
      <x:c r="K356" s="24" t="inlineStr">
        <x:is>
          <x:t xml:space="preserve"/>
        </x:is>
      </x:c>
      <x:c r="L356" s="24" t="inlineStr">
        <x:is>
          <x:t xml:space="preserve"/>
        </x:is>
      </x:c>
      <x:c r="M356" s="24" t="inlineStr">
        <x:is>
          <x:t xml:space="preserve"/>
        </x:is>
      </x:c>
      <x:c r="N356" s="24" t="inlineStr">
        <x:is>
          <x:t xml:space="preserve"/>
        </x:is>
      </x:c>
      <x:c r="O356" s="24" t="inlineStr">
        <x:is>
          <x:t xml:space="preserve"/>
        </x:is>
      </x:c>
      <x:c r="P356" s="24" t="inlineStr">
        <x:is>
          <x:t xml:space="preserve"/>
        </x:is>
      </x:c>
      <x:c r="Q356" s="24" t="inlineStr">
        <x:is>
          <x:t xml:space="preserve"/>
        </x:is>
      </x:c>
      <x:c r="R356" s="24" t="inlineStr">
        <x:is>
          <x:t xml:space="preserve"/>
        </x:is>
      </x:c>
      <x:c r="S356" s="25">
        <x:f>IF(H356="","",IFERROR(H356/G356,""))</x:f>
      </x:c>
      <x:c r="T356" s="26">
        <x:f>IF(H356="","",IFERROR((J356+K356+L356+N356)/H356,""))</x:f>
      </x:c>
      <x:c r="U356" s="25">
        <x:f>IF(COUNTA(J356:L356,N356)=0,"",IFERROR(AVERAGE(J356:L356,N356),""))</x:f>
      </x:c>
      <x:c r="V356" s="17" t="inlineStr">
        <x:is>
          <x:t xml:space="preserve"/>
        </x:is>
      </x:c>
    </x:row>
    <x:row r="357">
      <x:c r="A357" s="16" t="inlineStr">
        <x:is>
          <x:t xml:space="preserve">P030</x:t>
        </x:is>
      </x:c>
      <x:c r="B357" s="16" t="n">
        <x:v>5</x:v>
      </x:c>
      <x:c r="C357" s="16" t="inlineStr">
        <x:is>
          <x:t xml:space="preserve">V11</x:t>
        </x:is>
      </x:c>
      <x:c r="D357" s="16" t="inlineStr">
        <x:is>
          <x:t xml:space="preserve">Creator strategy</x:t>
        </x:is>
      </x:c>
      <x:c r="E357" s="16" t="inlineStr">
        <x:is>
          <x:t xml:space="preserve">BCC</x:t>
        </x:is>
      </x:c>
      <x:c r="F357" s="16" t="inlineStr">
        <x:is>
          <x:t xml:space="preserve">Muted</x:t>
        </x:is>
      </x:c>
      <x:c r="G357" s="21" t="n">
        <x:v>17</x:v>
      </x:c>
      <x:c r="H357" s="21" t="inlineStr">
        <x:is>
          <x:t xml:space="preserve"/>
        </x:is>
      </x:c>
      <x:c r="I357" s="21" t="inlineStr">
        <x:is>
          <x:t xml:space="preserve"/>
        </x:is>
      </x:c>
      <x:c r="J357" s="21" t="inlineStr">
        <x:is>
          <x:t xml:space="preserve"/>
        </x:is>
      </x:c>
      <x:c r="K357" s="21" t="inlineStr">
        <x:is>
          <x:t xml:space="preserve"/>
        </x:is>
      </x:c>
      <x:c r="L357" s="21" t="inlineStr">
        <x:is>
          <x:t xml:space="preserve"/>
        </x:is>
      </x:c>
      <x:c r="M357" s="21" t="inlineStr">
        <x:is>
          <x:t xml:space="preserve"/>
        </x:is>
      </x:c>
      <x:c r="N357" s="21" t="inlineStr">
        <x:is>
          <x:t xml:space="preserve"/>
        </x:is>
      </x:c>
      <x:c r="O357" s="21" t="inlineStr">
        <x:is>
          <x:t xml:space="preserve"/>
        </x:is>
      </x:c>
      <x:c r="P357" s="21" t="inlineStr">
        <x:is>
          <x:t xml:space="preserve"/>
        </x:is>
      </x:c>
      <x:c r="Q357" s="21" t="inlineStr">
        <x:is>
          <x:t xml:space="preserve"/>
        </x:is>
      </x:c>
      <x:c r="R357" s="21" t="inlineStr">
        <x:is>
          <x:t xml:space="preserve"/>
        </x:is>
      </x:c>
      <x:c r="S357" s="22">
        <x:f>IF(H357="","",IFERROR(H357/G357,""))</x:f>
      </x:c>
      <x:c r="T357" s="23">
        <x:f>IF(H357="","",IFERROR((J357+K357+L357+N357)/H357,""))</x:f>
      </x:c>
      <x:c r="U357" s="22">
        <x:f>IF(COUNTA(J357:L357,N357)=0,"",IFERROR(AVERAGE(J357:L357,N357),""))</x:f>
      </x:c>
      <x:c r="V357" s="16" t="inlineStr">
        <x:is>
          <x:t xml:space="preserve"/>
        </x:is>
      </x:c>
    </x:row>
    <x:row r="358">
      <x:c r="A358" s="17" t="inlineStr">
        <x:is>
          <x:t xml:space="preserve">P030</x:t>
        </x:is>
      </x:c>
      <x:c r="B358" s="17" t="n">
        <x:v>6</x:v>
      </x:c>
      <x:c r="C358" s="17" t="inlineStr">
        <x:is>
          <x:t xml:space="preserve">V05</x:t>
        </x:is>
      </x:c>
      <x:c r="D358" s="17" t="inlineStr">
        <x:is>
          <x:t xml:space="preserve">Tutorial</x:t>
        </x:is>
      </x:c>
      <x:c r="E358" s="17" t="inlineStr">
        <x:is>
          <x:t xml:space="preserve">BCC</x:t>
        </x:is>
      </x:c>
      <x:c r="F358" s="17" t="inlineStr">
        <x:is>
          <x:t xml:space="preserve">Muted</x:t>
        </x:is>
      </x:c>
      <x:c r="G358" s="24" t="n">
        <x:v>20</x:v>
      </x:c>
      <x:c r="H358" s="24" t="inlineStr">
        <x:is>
          <x:t xml:space="preserve"/>
        </x:is>
      </x:c>
      <x:c r="I358" s="24" t="inlineStr">
        <x:is>
          <x:t xml:space="preserve"/>
        </x:is>
      </x:c>
      <x:c r="J358" s="24" t="inlineStr">
        <x:is>
          <x:t xml:space="preserve"/>
        </x:is>
      </x:c>
      <x:c r="K358" s="24" t="inlineStr">
        <x:is>
          <x:t xml:space="preserve"/>
        </x:is>
      </x:c>
      <x:c r="L358" s="24" t="inlineStr">
        <x:is>
          <x:t xml:space="preserve"/>
        </x:is>
      </x:c>
      <x:c r="M358" s="24" t="inlineStr">
        <x:is>
          <x:t xml:space="preserve"/>
        </x:is>
      </x:c>
      <x:c r="N358" s="24" t="inlineStr">
        <x:is>
          <x:t xml:space="preserve"/>
        </x:is>
      </x:c>
      <x:c r="O358" s="24" t="inlineStr">
        <x:is>
          <x:t xml:space="preserve"/>
        </x:is>
      </x:c>
      <x:c r="P358" s="24" t="inlineStr">
        <x:is>
          <x:t xml:space="preserve"/>
        </x:is>
      </x:c>
      <x:c r="Q358" s="24" t="inlineStr">
        <x:is>
          <x:t xml:space="preserve"/>
        </x:is>
      </x:c>
      <x:c r="R358" s="24" t="inlineStr">
        <x:is>
          <x:t xml:space="preserve"/>
        </x:is>
      </x:c>
      <x:c r="S358" s="25">
        <x:f>IF(H358="","",IFERROR(H358/G358,""))</x:f>
      </x:c>
      <x:c r="T358" s="26">
        <x:f>IF(H358="","",IFERROR((J358+K358+L358+N358)/H358,""))</x:f>
      </x:c>
      <x:c r="U358" s="25">
        <x:f>IF(COUNTA(J358:L358,N358)=0,"",IFERROR(AVERAGE(J358:L358,N358),""))</x:f>
      </x:c>
      <x:c r="V358" s="17" t="inlineStr">
        <x:is>
          <x:t xml:space="preserve"/>
        </x:is>
      </x:c>
    </x:row>
    <x:row r="359">
      <x:c r="A359" s="16" t="inlineStr">
        <x:is>
          <x:t xml:space="preserve">P030</x:t>
        </x:is>
      </x:c>
      <x:c r="B359" s="16" t="n">
        <x:v>7</x:v>
      </x:c>
      <x:c r="C359" s="16" t="inlineStr">
        <x:is>
          <x:t xml:space="preserve">V08</x:t>
        </x:is>
      </x:c>
      <x:c r="D359" s="16" t="inlineStr">
        <x:is>
          <x:t xml:space="preserve">Coding</x:t>
        </x:is>
      </x:c>
      <x:c r="E359" s="16" t="inlineStr">
        <x:is>
          <x:t xml:space="preserve">Full transcript</x:t>
        </x:is>
      </x:c>
      <x:c r="F359" s="16" t="inlineStr">
        <x:is>
          <x:t xml:space="preserve">Muted</x:t>
        </x:is>
      </x:c>
      <x:c r="G359" s="21" t="n">
        <x:v>24</x:v>
      </x:c>
      <x:c r="H359" s="21" t="inlineStr">
        <x:is>
          <x:t xml:space="preserve"/>
        </x:is>
      </x:c>
      <x:c r="I359" s="21" t="inlineStr">
        <x:is>
          <x:t xml:space="preserve"/>
        </x:is>
      </x:c>
      <x:c r="J359" s="21" t="inlineStr">
        <x:is>
          <x:t xml:space="preserve"/>
        </x:is>
      </x:c>
      <x:c r="K359" s="21" t="inlineStr">
        <x:is>
          <x:t xml:space="preserve"/>
        </x:is>
      </x:c>
      <x:c r="L359" s="21" t="inlineStr">
        <x:is>
          <x:t xml:space="preserve"/>
        </x:is>
      </x:c>
      <x:c r="M359" s="21" t="inlineStr">
        <x:is>
          <x:t xml:space="preserve"/>
        </x:is>
      </x:c>
      <x:c r="N359" s="21" t="inlineStr">
        <x:is>
          <x:t xml:space="preserve"/>
        </x:is>
      </x:c>
      <x:c r="O359" s="21" t="inlineStr">
        <x:is>
          <x:t xml:space="preserve"/>
        </x:is>
      </x:c>
      <x:c r="P359" s="21" t="inlineStr">
        <x:is>
          <x:t xml:space="preserve"/>
        </x:is>
      </x:c>
      <x:c r="Q359" s="21" t="inlineStr">
        <x:is>
          <x:t xml:space="preserve"/>
        </x:is>
      </x:c>
      <x:c r="R359" s="21" t="inlineStr">
        <x:is>
          <x:t xml:space="preserve"/>
        </x:is>
      </x:c>
      <x:c r="S359" s="22">
        <x:f>IF(H359="","",IFERROR(H359/G359,""))</x:f>
      </x:c>
      <x:c r="T359" s="23">
        <x:f>IF(H359="","",IFERROR((J359+K359+L359+N359)/H359,""))</x:f>
      </x:c>
      <x:c r="U359" s="22">
        <x:f>IF(COUNTA(J359:L359,N359)=0,"",IFERROR(AVERAGE(J359:L359,N359),""))</x:f>
      </x:c>
      <x:c r="V359" s="16" t="inlineStr">
        <x:is>
          <x:t xml:space="preserve"/>
        </x:is>
      </x:c>
    </x:row>
    <x:row r="360">
      <x:c r="A360" s="17" t="inlineStr">
        <x:is>
          <x:t xml:space="preserve">P030</x:t>
        </x:is>
      </x:c>
      <x:c r="B360" s="17" t="n">
        <x:v>8</x:v>
      </x:c>
      <x:c r="C360" s="17" t="inlineStr">
        <x:is>
          <x:t xml:space="preserve">V04</x:t>
        </x:is>
      </x:c>
      <x:c r="D360" s="17" t="inlineStr">
        <x:is>
          <x:t xml:space="preserve">Finance</x:t>
        </x:is>
      </x:c>
      <x:c r="E360" s="17" t="inlineStr">
        <x:is>
          <x:t xml:space="preserve">Semantic compression</x:t>
        </x:is>
      </x:c>
      <x:c r="F360" s="17" t="inlineStr">
        <x:is>
          <x:t xml:space="preserve">Muted</x:t>
        </x:is>
      </x:c>
      <x:c r="G360" s="24" t="n">
        <x:v>20</x:v>
      </x:c>
      <x:c r="H360" s="24" t="inlineStr">
        <x:is>
          <x:t xml:space="preserve"/>
        </x:is>
      </x:c>
      <x:c r="I360" s="24" t="inlineStr">
        <x:is>
          <x:t xml:space="preserve"/>
        </x:is>
      </x:c>
      <x:c r="J360" s="24" t="inlineStr">
        <x:is>
          <x:t xml:space="preserve"/>
        </x:is>
      </x:c>
      <x:c r="K360" s="24" t="inlineStr">
        <x:is>
          <x:t xml:space="preserve"/>
        </x:is>
      </x:c>
      <x:c r="L360" s="24" t="inlineStr">
        <x:is>
          <x:t xml:space="preserve"/>
        </x:is>
      </x:c>
      <x:c r="M360" s="24" t="inlineStr">
        <x:is>
          <x:t xml:space="preserve"/>
        </x:is>
      </x:c>
      <x:c r="N360" s="24" t="inlineStr">
        <x:is>
          <x:t xml:space="preserve"/>
        </x:is>
      </x:c>
      <x:c r="O360" s="24" t="inlineStr">
        <x:is>
          <x:t xml:space="preserve"/>
        </x:is>
      </x:c>
      <x:c r="P360" s="24" t="inlineStr">
        <x:is>
          <x:t xml:space="preserve"/>
        </x:is>
      </x:c>
      <x:c r="Q360" s="24" t="inlineStr">
        <x:is>
          <x:t xml:space="preserve"/>
        </x:is>
      </x:c>
      <x:c r="R360" s="24" t="inlineStr">
        <x:is>
          <x:t xml:space="preserve"/>
        </x:is>
      </x:c>
      <x:c r="S360" s="25">
        <x:f>IF(H360="","",IFERROR(H360/G360,""))</x:f>
      </x:c>
      <x:c r="T360" s="26">
        <x:f>IF(H360="","",IFERROR((J360+K360+L360+N360)/H360,""))</x:f>
      </x:c>
      <x:c r="U360" s="25">
        <x:f>IF(COUNTA(J360:L360,N360)=0,"",IFERROR(AVERAGE(J360:L360,N360),""))</x:f>
      </x:c>
      <x:c r="V360" s="17" t="inlineStr">
        <x:is>
          <x:t xml:space="preserve"/>
        </x:is>
      </x:c>
    </x:row>
    <x:row r="361">
      <x:c r="A361" s="16" t="inlineStr">
        <x:is>
          <x:t xml:space="preserve">P030</x:t>
        </x:is>
      </x:c>
      <x:c r="B361" s="16" t="n">
        <x:v>9</x:v>
      </x:c>
      <x:c r="C361" s="16" t="inlineStr">
        <x:is>
          <x:t xml:space="preserve">V03</x:t>
        </x:is>
      </x:c>
      <x:c r="D361" s="16" t="inlineStr">
        <x:is>
          <x:t xml:space="preserve">Fitness</x:t>
        </x:is>
      </x:c>
      <x:c r="E361" s="16" t="inlineStr">
        <x:is>
          <x:t xml:space="preserve">Keyword highlight</x:t>
        </x:is>
      </x:c>
      <x:c r="F361" s="16" t="inlineStr">
        <x:is>
          <x:t xml:space="preserve">Muted</x:t>
        </x:is>
      </x:c>
      <x:c r="G361" s="21" t="n">
        <x:v>18</x:v>
      </x:c>
      <x:c r="H361" s="21" t="inlineStr">
        <x:is>
          <x:t xml:space="preserve"/>
        </x:is>
      </x:c>
      <x:c r="I361" s="21" t="inlineStr">
        <x:is>
          <x:t xml:space="preserve"/>
        </x:is>
      </x:c>
      <x:c r="J361" s="21" t="inlineStr">
        <x:is>
          <x:t xml:space="preserve"/>
        </x:is>
      </x:c>
      <x:c r="K361" s="21" t="inlineStr">
        <x:is>
          <x:t xml:space="preserve"/>
        </x:is>
      </x:c>
      <x:c r="L361" s="21" t="inlineStr">
        <x:is>
          <x:t xml:space="preserve"/>
        </x:is>
      </x:c>
      <x:c r="M361" s="21" t="inlineStr">
        <x:is>
          <x:t xml:space="preserve"/>
        </x:is>
      </x:c>
      <x:c r="N361" s="21" t="inlineStr">
        <x:is>
          <x:t xml:space="preserve"/>
        </x:is>
      </x:c>
      <x:c r="O361" s="21" t="inlineStr">
        <x:is>
          <x:t xml:space="preserve"/>
        </x:is>
      </x:c>
      <x:c r="P361" s="21" t="inlineStr">
        <x:is>
          <x:t xml:space="preserve"/>
        </x:is>
      </x:c>
      <x:c r="Q361" s="21" t="inlineStr">
        <x:is>
          <x:t xml:space="preserve"/>
        </x:is>
      </x:c>
      <x:c r="R361" s="21" t="inlineStr">
        <x:is>
          <x:t xml:space="preserve"/>
        </x:is>
      </x:c>
      <x:c r="S361" s="22">
        <x:f>IF(H361="","",IFERROR(H361/G361,""))</x:f>
      </x:c>
      <x:c r="T361" s="23">
        <x:f>IF(H361="","",IFERROR((J361+K361+L361+N361)/H361,""))</x:f>
      </x:c>
      <x:c r="U361" s="22">
        <x:f>IF(COUNTA(J361:L361,N361)=0,"",IFERROR(AVERAGE(J361:L361,N361),""))</x:f>
      </x:c>
      <x:c r="V361" s="16" t="inlineStr">
        <x:is>
          <x:t xml:space="preserve"/>
        </x:is>
      </x:c>
    </x:row>
    <x:row r="362">
      <x:c r="A362" s="17" t="inlineStr">
        <x:is>
          <x:t xml:space="preserve">P030</x:t>
        </x:is>
      </x:c>
      <x:c r="B362" s="17" t="n">
        <x:v>10</x:v>
      </x:c>
      <x:c r="C362" s="17" t="inlineStr">
        <x:is>
          <x:t xml:space="preserve">V10</x:t>
        </x:is>
      </x:c>
      <x:c r="D362" s="17" t="inlineStr">
        <x:is>
          <x:t xml:space="preserve">Product demo</x:t>
        </x:is>
      </x:c>
      <x:c r="E362" s="17" t="inlineStr">
        <x:is>
          <x:t xml:space="preserve">Semantic compression</x:t>
        </x:is>
      </x:c>
      <x:c r="F362" s="17" t="inlineStr">
        <x:is>
          <x:t xml:space="preserve">Muted</x:t>
        </x:is>
      </x:c>
      <x:c r="G362" s="24" t="n">
        <x:v>15</x:v>
      </x:c>
      <x:c r="H362" s="24" t="inlineStr">
        <x:is>
          <x:t xml:space="preserve"/>
        </x:is>
      </x:c>
      <x:c r="I362" s="24" t="inlineStr">
        <x:is>
          <x:t xml:space="preserve"/>
        </x:is>
      </x:c>
      <x:c r="J362" s="24" t="inlineStr">
        <x:is>
          <x:t xml:space="preserve"/>
        </x:is>
      </x:c>
      <x:c r="K362" s="24" t="inlineStr">
        <x:is>
          <x:t xml:space="preserve"/>
        </x:is>
      </x:c>
      <x:c r="L362" s="24" t="inlineStr">
        <x:is>
          <x:t xml:space="preserve"/>
        </x:is>
      </x:c>
      <x:c r="M362" s="24" t="inlineStr">
        <x:is>
          <x:t xml:space="preserve"/>
        </x:is>
      </x:c>
      <x:c r="N362" s="24" t="inlineStr">
        <x:is>
          <x:t xml:space="preserve"/>
        </x:is>
      </x:c>
      <x:c r="O362" s="24" t="inlineStr">
        <x:is>
          <x:t xml:space="preserve"/>
        </x:is>
      </x:c>
      <x:c r="P362" s="24" t="inlineStr">
        <x:is>
          <x:t xml:space="preserve"/>
        </x:is>
      </x:c>
      <x:c r="Q362" s="24" t="inlineStr">
        <x:is>
          <x:t xml:space="preserve"/>
        </x:is>
      </x:c>
      <x:c r="R362" s="24" t="inlineStr">
        <x:is>
          <x:t xml:space="preserve"/>
        </x:is>
      </x:c>
      <x:c r="S362" s="25">
        <x:f>IF(H362="","",IFERROR(H362/G362,""))</x:f>
      </x:c>
      <x:c r="T362" s="26">
        <x:f>IF(H362="","",IFERROR((J362+K362+L362+N362)/H362,""))</x:f>
      </x:c>
      <x:c r="U362" s="25">
        <x:f>IF(COUNTA(J362:L362,N362)=0,"",IFERROR(AVERAGE(J362:L362,N362),""))</x:f>
      </x:c>
      <x:c r="V362" s="17" t="inlineStr">
        <x:is>
          <x:t xml:space="preserve"/>
        </x:is>
      </x:c>
    </x:row>
    <x:row r="363">
      <x:c r="A363" s="16" t="inlineStr">
        <x:is>
          <x:t xml:space="preserve">P030</x:t>
        </x:is>
      </x:c>
      <x:c r="B363" s="16" t="n">
        <x:v>11</x:v>
      </x:c>
      <x:c r="C363" s="16" t="inlineStr">
        <x:is>
          <x:t xml:space="preserve">V07</x:t>
        </x:is>
      </x:c>
      <x:c r="D363" s="16" t="inlineStr">
        <x:is>
          <x:t xml:space="preserve">Business</x:t>
        </x:is>
      </x:c>
      <x:c r="E363" s="16" t="inlineStr">
        <x:is>
          <x:t xml:space="preserve">Heavy bionic</x:t>
        </x:is>
      </x:c>
      <x:c r="F363" s="16" t="inlineStr">
        <x:is>
          <x:t xml:space="preserve">Muted</x:t>
        </x:is>
      </x:c>
      <x:c r="G363" s="21" t="n">
        <x:v>18</x:v>
      </x:c>
      <x:c r="H363" s="21" t="inlineStr">
        <x:is>
          <x:t xml:space="preserve"/>
        </x:is>
      </x:c>
      <x:c r="I363" s="21" t="inlineStr">
        <x:is>
          <x:t xml:space="preserve"/>
        </x:is>
      </x:c>
      <x:c r="J363" s="21" t="inlineStr">
        <x:is>
          <x:t xml:space="preserve"/>
        </x:is>
      </x:c>
      <x:c r="K363" s="21" t="inlineStr">
        <x:is>
          <x:t xml:space="preserve"/>
        </x:is>
      </x:c>
      <x:c r="L363" s="21" t="inlineStr">
        <x:is>
          <x:t xml:space="preserve"/>
        </x:is>
      </x:c>
      <x:c r="M363" s="21" t="inlineStr">
        <x:is>
          <x:t xml:space="preserve"/>
        </x:is>
      </x:c>
      <x:c r="N363" s="21" t="inlineStr">
        <x:is>
          <x:t xml:space="preserve"/>
        </x:is>
      </x:c>
      <x:c r="O363" s="21" t="inlineStr">
        <x:is>
          <x:t xml:space="preserve"/>
        </x:is>
      </x:c>
      <x:c r="P363" s="21" t="inlineStr">
        <x:is>
          <x:t xml:space="preserve"/>
        </x:is>
      </x:c>
      <x:c r="Q363" s="21" t="inlineStr">
        <x:is>
          <x:t xml:space="preserve"/>
        </x:is>
      </x:c>
      <x:c r="R363" s="21" t="inlineStr">
        <x:is>
          <x:t xml:space="preserve"/>
        </x:is>
      </x:c>
      <x:c r="S363" s="22">
        <x:f>IF(H363="","",IFERROR(H363/G363,""))</x:f>
      </x:c>
      <x:c r="T363" s="23">
        <x:f>IF(H363="","",IFERROR((J363+K363+L363+N363)/H363,""))</x:f>
      </x:c>
      <x:c r="U363" s="22">
        <x:f>IF(COUNTA(J363:L363,N363)=0,"",IFERROR(AVERAGE(J363:L363,N363),""))</x:f>
      </x:c>
      <x:c r="V363" s="16" t="inlineStr">
        <x:is>
          <x:t xml:space="preserve"/>
        </x:is>
      </x:c>
    </x:row>
    <x:row r="364">
      <x:c r="A364" s="17" t="inlineStr">
        <x:is>
          <x:t xml:space="preserve">P030</x:t>
        </x:is>
      </x:c>
      <x:c r="B364" s="17" t="n">
        <x:v>12</x:v>
      </x:c>
      <x:c r="C364" s="17" t="inlineStr">
        <x:is>
          <x:t xml:space="preserve">V01</x:t>
        </x:is>
      </x:c>
      <x:c r="D364" s="17" t="inlineStr">
        <x:is>
          <x:t xml:space="preserve">Productivity</x:t>
        </x:is>
      </x:c>
      <x:c r="E364" s="17" t="inlineStr">
        <x:is>
          <x:t xml:space="preserve">Heavy bionic</x:t>
        </x:is>
      </x:c>
      <x:c r="F364" s="17" t="inlineStr">
        <x:is>
          <x:t xml:space="preserve">Muted</x:t>
        </x:is>
      </x:c>
      <x:c r="G364" s="24" t="n">
        <x:v>25</x:v>
      </x:c>
      <x:c r="H364" s="24" t="inlineStr">
        <x:is>
          <x:t xml:space="preserve"/>
        </x:is>
      </x:c>
      <x:c r="I364" s="24" t="inlineStr">
        <x:is>
          <x:t xml:space="preserve"/>
        </x:is>
      </x:c>
      <x:c r="J364" s="24" t="inlineStr">
        <x:is>
          <x:t xml:space="preserve"/>
        </x:is>
      </x:c>
      <x:c r="K364" s="24" t="inlineStr">
        <x:is>
          <x:t xml:space="preserve"/>
        </x:is>
      </x:c>
      <x:c r="L364" s="24" t="inlineStr">
        <x:is>
          <x:t xml:space="preserve"/>
        </x:is>
      </x:c>
      <x:c r="M364" s="24" t="inlineStr">
        <x:is>
          <x:t xml:space="preserve"/>
        </x:is>
      </x:c>
      <x:c r="N364" s="24" t="inlineStr">
        <x:is>
          <x:t xml:space="preserve"/>
        </x:is>
      </x:c>
      <x:c r="O364" s="24" t="inlineStr">
        <x:is>
          <x:t xml:space="preserve"/>
        </x:is>
      </x:c>
      <x:c r="P364" s="24" t="inlineStr">
        <x:is>
          <x:t xml:space="preserve"/>
        </x:is>
      </x:c>
      <x:c r="Q364" s="24" t="inlineStr">
        <x:is>
          <x:t xml:space="preserve"/>
        </x:is>
      </x:c>
      <x:c r="R364" s="24" t="inlineStr">
        <x:is>
          <x:t xml:space="preserve"/>
        </x:is>
      </x:c>
      <x:c r="S364" s="25">
        <x:f>IF(H364="","",IFERROR(H364/G364,""))</x:f>
      </x:c>
      <x:c r="T364" s="26">
        <x:f>IF(H364="","",IFERROR((J364+K364+L364+N364)/H364,""))</x:f>
      </x:c>
      <x:c r="U364" s="25">
        <x:f>IF(COUNTA(J364:L364,N364)=0,"",IFERROR(AVERAGE(J364:L364,N364),""))</x:f>
      </x:c>
      <x:c r="V364" s="17" t="inlineStr">
        <x:is>
          <x:t xml:space="preserve"/>
        </x:is>
      </x:c>
    </x:row>
    <x:row r="365">
      <x:c r="A365" s="16" t="inlineStr">
        <x:is>
          <x:t xml:space="preserve">P031</x:t>
        </x:is>
      </x:c>
      <x:c r="B365" s="16" t="n">
        <x:v>1</x:v>
      </x:c>
      <x:c r="C365" s="16" t="inlineStr">
        <x:is>
          <x:t xml:space="preserve">V04</x:t>
        </x:is>
      </x:c>
      <x:c r="D365" s="16" t="inlineStr">
        <x:is>
          <x:t xml:space="preserve">Finance</x:t>
        </x:is>
      </x:c>
      <x:c r="E365" s="16" t="inlineStr">
        <x:is>
          <x:t xml:space="preserve">BCC</x:t>
        </x:is>
      </x:c>
      <x:c r="F365" s="16" t="inlineStr">
        <x:is>
          <x:t xml:space="preserve">Audio-on</x:t>
        </x:is>
      </x:c>
      <x:c r="G365" s="21" t="n">
        <x:v>20</x:v>
      </x:c>
      <x:c r="H365" s="21" t="inlineStr">
        <x:is>
          <x:t xml:space="preserve"/>
        </x:is>
      </x:c>
      <x:c r="I365" s="21" t="inlineStr">
        <x:is>
          <x:t xml:space="preserve"/>
        </x:is>
      </x:c>
      <x:c r="J365" s="21" t="inlineStr">
        <x:is>
          <x:t xml:space="preserve"/>
        </x:is>
      </x:c>
      <x:c r="K365" s="21" t="inlineStr">
        <x:is>
          <x:t xml:space="preserve"/>
        </x:is>
      </x:c>
      <x:c r="L365" s="21" t="inlineStr">
        <x:is>
          <x:t xml:space="preserve"/>
        </x:is>
      </x:c>
      <x:c r="M365" s="21" t="inlineStr">
        <x:is>
          <x:t xml:space="preserve"/>
        </x:is>
      </x:c>
      <x:c r="N365" s="21" t="inlineStr">
        <x:is>
          <x:t xml:space="preserve"/>
        </x:is>
      </x:c>
      <x:c r="O365" s="21" t="inlineStr">
        <x:is>
          <x:t xml:space="preserve"/>
        </x:is>
      </x:c>
      <x:c r="P365" s="21" t="inlineStr">
        <x:is>
          <x:t xml:space="preserve"/>
        </x:is>
      </x:c>
      <x:c r="Q365" s="21" t="inlineStr">
        <x:is>
          <x:t xml:space="preserve"/>
        </x:is>
      </x:c>
      <x:c r="R365" s="21" t="inlineStr">
        <x:is>
          <x:t xml:space="preserve"/>
        </x:is>
      </x:c>
      <x:c r="S365" s="22">
        <x:f>IF(H365="","",IFERROR(H365/G365,""))</x:f>
      </x:c>
      <x:c r="T365" s="23">
        <x:f>IF(H365="","",IFERROR((J365+K365+L365+N365)/H365,""))</x:f>
      </x:c>
      <x:c r="U365" s="22">
        <x:f>IF(COUNTA(J365:L365,N365)=0,"",IFERROR(AVERAGE(J365:L365,N365),""))</x:f>
      </x:c>
      <x:c r="V365" s="16" t="inlineStr">
        <x:is>
          <x:t xml:space="preserve"/>
        </x:is>
      </x:c>
    </x:row>
    <x:row r="366">
      <x:c r="A366" s="17" t="inlineStr">
        <x:is>
          <x:t xml:space="preserve">P031</x:t>
        </x:is>
      </x:c>
      <x:c r="B366" s="17" t="n">
        <x:v>2</x:v>
      </x:c>
      <x:c r="C366" s="17" t="inlineStr">
        <x:is>
          <x:t xml:space="preserve">V05</x:t>
        </x:is>
      </x:c>
      <x:c r="D366" s="17" t="inlineStr">
        <x:is>
          <x:t xml:space="preserve">Tutorial</x:t>
        </x:is>
      </x:c>
      <x:c r="E366" s="17" t="inlineStr">
        <x:is>
          <x:t xml:space="preserve">BCC+</x:t>
        </x:is>
      </x:c>
      <x:c r="F366" s="17" t="inlineStr">
        <x:is>
          <x:t xml:space="preserve">Audio-on</x:t>
        </x:is>
      </x:c>
      <x:c r="G366" s="24" t="n">
        <x:v>20</x:v>
      </x:c>
      <x:c r="H366" s="24" t="inlineStr">
        <x:is>
          <x:t xml:space="preserve"/>
        </x:is>
      </x:c>
      <x:c r="I366" s="24" t="inlineStr">
        <x:is>
          <x:t xml:space="preserve"/>
        </x:is>
      </x:c>
      <x:c r="J366" s="24" t="inlineStr">
        <x:is>
          <x:t xml:space="preserve"/>
        </x:is>
      </x:c>
      <x:c r="K366" s="24" t="inlineStr">
        <x:is>
          <x:t xml:space="preserve"/>
        </x:is>
      </x:c>
      <x:c r="L366" s="24" t="inlineStr">
        <x:is>
          <x:t xml:space="preserve"/>
        </x:is>
      </x:c>
      <x:c r="M366" s="24" t="inlineStr">
        <x:is>
          <x:t xml:space="preserve"/>
        </x:is>
      </x:c>
      <x:c r="N366" s="24" t="inlineStr">
        <x:is>
          <x:t xml:space="preserve"/>
        </x:is>
      </x:c>
      <x:c r="O366" s="24" t="inlineStr">
        <x:is>
          <x:t xml:space="preserve"/>
        </x:is>
      </x:c>
      <x:c r="P366" s="24" t="inlineStr">
        <x:is>
          <x:t xml:space="preserve"/>
        </x:is>
      </x:c>
      <x:c r="Q366" s="24" t="inlineStr">
        <x:is>
          <x:t xml:space="preserve"/>
        </x:is>
      </x:c>
      <x:c r="R366" s="24" t="inlineStr">
        <x:is>
          <x:t xml:space="preserve"/>
        </x:is>
      </x:c>
      <x:c r="S366" s="25">
        <x:f>IF(H366="","",IFERROR(H366/G366,""))</x:f>
      </x:c>
      <x:c r="T366" s="26">
        <x:f>IF(H366="","",IFERROR((J366+K366+L366+N366)/H366,""))</x:f>
      </x:c>
      <x:c r="U366" s="25">
        <x:f>IF(COUNTA(J366:L366,N366)=0,"",IFERROR(AVERAGE(J366:L366,N366),""))</x:f>
      </x:c>
      <x:c r="V366" s="17" t="inlineStr">
        <x:is>
          <x:t xml:space="preserve"/>
        </x:is>
      </x:c>
    </x:row>
    <x:row r="367">
      <x:c r="A367" s="16" t="inlineStr">
        <x:is>
          <x:t xml:space="preserve">P031</x:t>
        </x:is>
      </x:c>
      <x:c r="B367" s="16" t="n">
        <x:v>3</x:v>
      </x:c>
      <x:c r="C367" s="16" t="inlineStr">
        <x:is>
          <x:t xml:space="preserve">V02</x:t>
        </x:is>
      </x:c>
      <x:c r="D367" s="16" t="inlineStr">
        <x:is>
          <x:t xml:space="preserve">Study</x:t>
        </x:is>
      </x:c>
      <x:c r="E367" s="16" t="inlineStr">
        <x:is>
          <x:t xml:space="preserve">Keyword highlight</x:t>
        </x:is>
      </x:c>
      <x:c r="F367" s="16" t="inlineStr">
        <x:is>
          <x:t xml:space="preserve">Audio-on</x:t>
        </x:is>
      </x:c>
      <x:c r="G367" s="21" t="n">
        <x:v>18</x:v>
      </x:c>
      <x:c r="H367" s="21" t="inlineStr">
        <x:is>
          <x:t xml:space="preserve"/>
        </x:is>
      </x:c>
      <x:c r="I367" s="21" t="inlineStr">
        <x:is>
          <x:t xml:space="preserve"/>
        </x:is>
      </x:c>
      <x:c r="J367" s="21" t="inlineStr">
        <x:is>
          <x:t xml:space="preserve"/>
        </x:is>
      </x:c>
      <x:c r="K367" s="21" t="inlineStr">
        <x:is>
          <x:t xml:space="preserve"/>
        </x:is>
      </x:c>
      <x:c r="L367" s="21" t="inlineStr">
        <x:is>
          <x:t xml:space="preserve"/>
        </x:is>
      </x:c>
      <x:c r="M367" s="21" t="inlineStr">
        <x:is>
          <x:t xml:space="preserve"/>
        </x:is>
      </x:c>
      <x:c r="N367" s="21" t="inlineStr">
        <x:is>
          <x:t xml:space="preserve"/>
        </x:is>
      </x:c>
      <x:c r="O367" s="21" t="inlineStr">
        <x:is>
          <x:t xml:space="preserve"/>
        </x:is>
      </x:c>
      <x:c r="P367" s="21" t="inlineStr">
        <x:is>
          <x:t xml:space="preserve"/>
        </x:is>
      </x:c>
      <x:c r="Q367" s="21" t="inlineStr">
        <x:is>
          <x:t xml:space="preserve"/>
        </x:is>
      </x:c>
      <x:c r="R367" s="21" t="inlineStr">
        <x:is>
          <x:t xml:space="preserve"/>
        </x:is>
      </x:c>
      <x:c r="S367" s="22">
        <x:f>IF(H367="","",IFERROR(H367/G367,""))</x:f>
      </x:c>
      <x:c r="T367" s="23">
        <x:f>IF(H367="","",IFERROR((J367+K367+L367+N367)/H367,""))</x:f>
      </x:c>
      <x:c r="U367" s="22">
        <x:f>IF(COUNTA(J367:L367,N367)=0,"",IFERROR(AVERAGE(J367:L367,N367),""))</x:f>
      </x:c>
      <x:c r="V367" s="16" t="inlineStr">
        <x:is>
          <x:t xml:space="preserve"/>
        </x:is>
      </x:c>
    </x:row>
    <x:row r="368">
      <x:c r="A368" s="17" t="inlineStr">
        <x:is>
          <x:t xml:space="preserve">P031</x:t>
        </x:is>
      </x:c>
      <x:c r="B368" s="17" t="n">
        <x:v>4</x:v>
      </x:c>
      <x:c r="C368" s="17" t="inlineStr">
        <x:is>
          <x:t xml:space="preserve">V08</x:t>
        </x:is>
      </x:c>
      <x:c r="D368" s="17" t="inlineStr">
        <x:is>
          <x:t xml:space="preserve">Coding</x:t>
        </x:is>
      </x:c>
      <x:c r="E368" s="17" t="inlineStr">
        <x:is>
          <x:t xml:space="preserve">Keyword highlight</x:t>
        </x:is>
      </x:c>
      <x:c r="F368" s="17" t="inlineStr">
        <x:is>
          <x:t xml:space="preserve">Audio-on</x:t>
        </x:is>
      </x:c>
      <x:c r="G368" s="24" t="n">
        <x:v>24</x:v>
      </x:c>
      <x:c r="H368" s="24" t="inlineStr">
        <x:is>
          <x:t xml:space="preserve"/>
        </x:is>
      </x:c>
      <x:c r="I368" s="24" t="inlineStr">
        <x:is>
          <x:t xml:space="preserve"/>
        </x:is>
      </x:c>
      <x:c r="J368" s="24" t="inlineStr">
        <x:is>
          <x:t xml:space="preserve"/>
        </x:is>
      </x:c>
      <x:c r="K368" s="24" t="inlineStr">
        <x:is>
          <x:t xml:space="preserve"/>
        </x:is>
      </x:c>
      <x:c r="L368" s="24" t="inlineStr">
        <x:is>
          <x:t xml:space="preserve"/>
        </x:is>
      </x:c>
      <x:c r="M368" s="24" t="inlineStr">
        <x:is>
          <x:t xml:space="preserve"/>
        </x:is>
      </x:c>
      <x:c r="N368" s="24" t="inlineStr">
        <x:is>
          <x:t xml:space="preserve"/>
        </x:is>
      </x:c>
      <x:c r="O368" s="24" t="inlineStr">
        <x:is>
          <x:t xml:space="preserve"/>
        </x:is>
      </x:c>
      <x:c r="P368" s="24" t="inlineStr">
        <x:is>
          <x:t xml:space="preserve"/>
        </x:is>
      </x:c>
      <x:c r="Q368" s="24" t="inlineStr">
        <x:is>
          <x:t xml:space="preserve"/>
        </x:is>
      </x:c>
      <x:c r="R368" s="24" t="inlineStr">
        <x:is>
          <x:t xml:space="preserve"/>
        </x:is>
      </x:c>
      <x:c r="S368" s="25">
        <x:f>IF(H368="","",IFERROR(H368/G368,""))</x:f>
      </x:c>
      <x:c r="T368" s="26">
        <x:f>IF(H368="","",IFERROR((J368+K368+L368+N368)/H368,""))</x:f>
      </x:c>
      <x:c r="U368" s="25">
        <x:f>IF(COUNTA(J368:L368,N368)=0,"",IFERROR(AVERAGE(J368:L368,N368),""))</x:f>
      </x:c>
      <x:c r="V368" s="17" t="inlineStr">
        <x:is>
          <x:t xml:space="preserve"/>
        </x:is>
      </x:c>
    </x:row>
    <x:row r="369">
      <x:c r="A369" s="16" t="inlineStr">
        <x:is>
          <x:t xml:space="preserve">P031</x:t>
        </x:is>
      </x:c>
      <x:c r="B369" s="16" t="n">
        <x:v>5</x:v>
      </x:c>
      <x:c r="C369" s="16" t="inlineStr">
        <x:is>
          <x:t xml:space="preserve">V06</x:t>
        </x:is>
      </x:c>
      <x:c r="D369" s="16" t="inlineStr">
        <x:is>
          <x:t xml:space="preserve">Overload</x:t>
        </x:is>
      </x:c>
      <x:c r="E369" s="16" t="inlineStr">
        <x:is>
          <x:t xml:space="preserve">Heavy bionic</x:t>
        </x:is>
      </x:c>
      <x:c r="F369" s="16" t="inlineStr">
        <x:is>
          <x:t xml:space="preserve">Audio-on</x:t>
        </x:is>
      </x:c>
      <x:c r="G369" s="21" t="n">
        <x:v>16</x:v>
      </x:c>
      <x:c r="H369" s="21" t="inlineStr">
        <x:is>
          <x:t xml:space="preserve"/>
        </x:is>
      </x:c>
      <x:c r="I369" s="21" t="inlineStr">
        <x:is>
          <x:t xml:space="preserve"/>
        </x:is>
      </x:c>
      <x:c r="J369" s="21" t="inlineStr">
        <x:is>
          <x:t xml:space="preserve"/>
        </x:is>
      </x:c>
      <x:c r="K369" s="21" t="inlineStr">
        <x:is>
          <x:t xml:space="preserve"/>
        </x:is>
      </x:c>
      <x:c r="L369" s="21" t="inlineStr">
        <x:is>
          <x:t xml:space="preserve"/>
        </x:is>
      </x:c>
      <x:c r="M369" s="21" t="inlineStr">
        <x:is>
          <x:t xml:space="preserve"/>
        </x:is>
      </x:c>
      <x:c r="N369" s="21" t="inlineStr">
        <x:is>
          <x:t xml:space="preserve"/>
        </x:is>
      </x:c>
      <x:c r="O369" s="21" t="inlineStr">
        <x:is>
          <x:t xml:space="preserve"/>
        </x:is>
      </x:c>
      <x:c r="P369" s="21" t="inlineStr">
        <x:is>
          <x:t xml:space="preserve"/>
        </x:is>
      </x:c>
      <x:c r="Q369" s="21" t="inlineStr">
        <x:is>
          <x:t xml:space="preserve"/>
        </x:is>
      </x:c>
      <x:c r="R369" s="21" t="inlineStr">
        <x:is>
          <x:t xml:space="preserve"/>
        </x:is>
      </x:c>
      <x:c r="S369" s="22">
        <x:f>IF(H369="","",IFERROR(H369/G369,""))</x:f>
      </x:c>
      <x:c r="T369" s="23">
        <x:f>IF(H369="","",IFERROR((J369+K369+L369+N369)/H369,""))</x:f>
      </x:c>
      <x:c r="U369" s="22">
        <x:f>IF(COUNTA(J369:L369,N369)=0,"",IFERROR(AVERAGE(J369:L369,N369),""))</x:f>
      </x:c>
      <x:c r="V369" s="16" t="inlineStr">
        <x:is>
          <x:t xml:space="preserve"/>
        </x:is>
      </x:c>
    </x:row>
    <x:row r="370">
      <x:c r="A370" s="17" t="inlineStr">
        <x:is>
          <x:t xml:space="preserve">P031</x:t>
        </x:is>
      </x:c>
      <x:c r="B370" s="17" t="n">
        <x:v>6</x:v>
      </x:c>
      <x:c r="C370" s="17" t="inlineStr">
        <x:is>
          <x:t xml:space="preserve">V03</x:t>
        </x:is>
      </x:c>
      <x:c r="D370" s="17" t="inlineStr">
        <x:is>
          <x:t xml:space="preserve">Fitness</x:t>
        </x:is>
      </x:c>
      <x:c r="E370" s="17" t="inlineStr">
        <x:is>
          <x:t xml:space="preserve">Semantic compression</x:t>
        </x:is>
      </x:c>
      <x:c r="F370" s="17" t="inlineStr">
        <x:is>
          <x:t xml:space="preserve">Audio-on</x:t>
        </x:is>
      </x:c>
      <x:c r="G370" s="24" t="n">
        <x:v>18</x:v>
      </x:c>
      <x:c r="H370" s="24" t="inlineStr">
        <x:is>
          <x:t xml:space="preserve"/>
        </x:is>
      </x:c>
      <x:c r="I370" s="24" t="inlineStr">
        <x:is>
          <x:t xml:space="preserve"/>
        </x:is>
      </x:c>
      <x:c r="J370" s="24" t="inlineStr">
        <x:is>
          <x:t xml:space="preserve"/>
        </x:is>
      </x:c>
      <x:c r="K370" s="24" t="inlineStr">
        <x:is>
          <x:t xml:space="preserve"/>
        </x:is>
      </x:c>
      <x:c r="L370" s="24" t="inlineStr">
        <x:is>
          <x:t xml:space="preserve"/>
        </x:is>
      </x:c>
      <x:c r="M370" s="24" t="inlineStr">
        <x:is>
          <x:t xml:space="preserve"/>
        </x:is>
      </x:c>
      <x:c r="N370" s="24" t="inlineStr">
        <x:is>
          <x:t xml:space="preserve"/>
        </x:is>
      </x:c>
      <x:c r="O370" s="24" t="inlineStr">
        <x:is>
          <x:t xml:space="preserve"/>
        </x:is>
      </x:c>
      <x:c r="P370" s="24" t="inlineStr">
        <x:is>
          <x:t xml:space="preserve"/>
        </x:is>
      </x:c>
      <x:c r="Q370" s="24" t="inlineStr">
        <x:is>
          <x:t xml:space="preserve"/>
        </x:is>
      </x:c>
      <x:c r="R370" s="24" t="inlineStr">
        <x:is>
          <x:t xml:space="preserve"/>
        </x:is>
      </x:c>
      <x:c r="S370" s="25">
        <x:f>IF(H370="","",IFERROR(H370/G370,""))</x:f>
      </x:c>
      <x:c r="T370" s="26">
        <x:f>IF(H370="","",IFERROR((J370+K370+L370+N370)/H370,""))</x:f>
      </x:c>
      <x:c r="U370" s="25">
        <x:f>IF(COUNTA(J370:L370,N370)=0,"",IFERROR(AVERAGE(J370:L370,N370),""))</x:f>
      </x:c>
      <x:c r="V370" s="17" t="inlineStr">
        <x:is>
          <x:t xml:space="preserve"/>
        </x:is>
      </x:c>
    </x:row>
    <x:row r="371">
      <x:c r="A371" s="16" t="inlineStr">
        <x:is>
          <x:t xml:space="preserve">P031</x:t>
        </x:is>
      </x:c>
      <x:c r="B371" s="16" t="n">
        <x:v>7</x:v>
      </x:c>
      <x:c r="C371" s="16" t="inlineStr">
        <x:is>
          <x:t xml:space="preserve">V07</x:t>
        </x:is>
      </x:c>
      <x:c r="D371" s="16" t="inlineStr">
        <x:is>
          <x:t xml:space="preserve">Business</x:t>
        </x:is>
      </x:c>
      <x:c r="E371" s="16" t="inlineStr">
        <x:is>
          <x:t xml:space="preserve">Full transcript</x:t>
        </x:is>
      </x:c>
      <x:c r="F371" s="16" t="inlineStr">
        <x:is>
          <x:t xml:space="preserve">Audio-on</x:t>
        </x:is>
      </x:c>
      <x:c r="G371" s="21" t="n">
        <x:v>18</x:v>
      </x:c>
      <x:c r="H371" s="21" t="inlineStr">
        <x:is>
          <x:t xml:space="preserve"/>
        </x:is>
      </x:c>
      <x:c r="I371" s="21" t="inlineStr">
        <x:is>
          <x:t xml:space="preserve"/>
        </x:is>
      </x:c>
      <x:c r="J371" s="21" t="inlineStr">
        <x:is>
          <x:t xml:space="preserve"/>
        </x:is>
      </x:c>
      <x:c r="K371" s="21" t="inlineStr">
        <x:is>
          <x:t xml:space="preserve"/>
        </x:is>
      </x:c>
      <x:c r="L371" s="21" t="inlineStr">
        <x:is>
          <x:t xml:space="preserve"/>
        </x:is>
      </x:c>
      <x:c r="M371" s="21" t="inlineStr">
        <x:is>
          <x:t xml:space="preserve"/>
        </x:is>
      </x:c>
      <x:c r="N371" s="21" t="inlineStr">
        <x:is>
          <x:t xml:space="preserve"/>
        </x:is>
      </x:c>
      <x:c r="O371" s="21" t="inlineStr">
        <x:is>
          <x:t xml:space="preserve"/>
        </x:is>
      </x:c>
      <x:c r="P371" s="21" t="inlineStr">
        <x:is>
          <x:t xml:space="preserve"/>
        </x:is>
      </x:c>
      <x:c r="Q371" s="21" t="inlineStr">
        <x:is>
          <x:t xml:space="preserve"/>
        </x:is>
      </x:c>
      <x:c r="R371" s="21" t="inlineStr">
        <x:is>
          <x:t xml:space="preserve"/>
        </x:is>
      </x:c>
      <x:c r="S371" s="22">
        <x:f>IF(H371="","",IFERROR(H371/G371,""))</x:f>
      </x:c>
      <x:c r="T371" s="23">
        <x:f>IF(H371="","",IFERROR((J371+K371+L371+N371)/H371,""))</x:f>
      </x:c>
      <x:c r="U371" s="22">
        <x:f>IF(COUNTA(J371:L371,N371)=0,"",IFERROR(AVERAGE(J371:L371,N371),""))</x:f>
      </x:c>
      <x:c r="V371" s="16" t="inlineStr">
        <x:is>
          <x:t xml:space="preserve"/>
        </x:is>
      </x:c>
    </x:row>
    <x:row r="372">
      <x:c r="A372" s="17" t="inlineStr">
        <x:is>
          <x:t xml:space="preserve">P031</x:t>
        </x:is>
      </x:c>
      <x:c r="B372" s="17" t="n">
        <x:v>8</x:v>
      </x:c>
      <x:c r="C372" s="17" t="inlineStr">
        <x:is>
          <x:t xml:space="preserve">V11</x:t>
        </x:is>
      </x:c>
      <x:c r="D372" s="17" t="inlineStr">
        <x:is>
          <x:t xml:space="preserve">Creator strategy</x:t>
        </x:is>
      </x:c>
      <x:c r="E372" s="17" t="inlineStr">
        <x:is>
          <x:t xml:space="preserve">BCC+</x:t>
        </x:is>
      </x:c>
      <x:c r="F372" s="17" t="inlineStr">
        <x:is>
          <x:t xml:space="preserve">Audio-on</x:t>
        </x:is>
      </x:c>
      <x:c r="G372" s="24" t="n">
        <x:v>17</x:v>
      </x:c>
      <x:c r="H372" s="24" t="inlineStr">
        <x:is>
          <x:t xml:space="preserve"/>
        </x:is>
      </x:c>
      <x:c r="I372" s="24" t="inlineStr">
        <x:is>
          <x:t xml:space="preserve"/>
        </x:is>
      </x:c>
      <x:c r="J372" s="24" t="inlineStr">
        <x:is>
          <x:t xml:space="preserve"/>
        </x:is>
      </x:c>
      <x:c r="K372" s="24" t="inlineStr">
        <x:is>
          <x:t xml:space="preserve"/>
        </x:is>
      </x:c>
      <x:c r="L372" s="24" t="inlineStr">
        <x:is>
          <x:t xml:space="preserve"/>
        </x:is>
      </x:c>
      <x:c r="M372" s="24" t="inlineStr">
        <x:is>
          <x:t xml:space="preserve"/>
        </x:is>
      </x:c>
      <x:c r="N372" s="24" t="inlineStr">
        <x:is>
          <x:t xml:space="preserve"/>
        </x:is>
      </x:c>
      <x:c r="O372" s="24" t="inlineStr">
        <x:is>
          <x:t xml:space="preserve"/>
        </x:is>
      </x:c>
      <x:c r="P372" s="24" t="inlineStr">
        <x:is>
          <x:t xml:space="preserve"/>
        </x:is>
      </x:c>
      <x:c r="Q372" s="24" t="inlineStr">
        <x:is>
          <x:t xml:space="preserve"/>
        </x:is>
      </x:c>
      <x:c r="R372" s="24" t="inlineStr">
        <x:is>
          <x:t xml:space="preserve"/>
        </x:is>
      </x:c>
      <x:c r="S372" s="25">
        <x:f>IF(H372="","",IFERROR(H372/G372,""))</x:f>
      </x:c>
      <x:c r="T372" s="26">
        <x:f>IF(H372="","",IFERROR((J372+K372+L372+N372)/H372,""))</x:f>
      </x:c>
      <x:c r="U372" s="25">
        <x:f>IF(COUNTA(J372:L372,N372)=0,"",IFERROR(AVERAGE(J372:L372,N372),""))</x:f>
      </x:c>
      <x:c r="V372" s="17" t="inlineStr">
        <x:is>
          <x:t xml:space="preserve"/>
        </x:is>
      </x:c>
    </x:row>
    <x:row r="373">
      <x:c r="A373" s="16" t="inlineStr">
        <x:is>
          <x:t xml:space="preserve">P031</x:t>
        </x:is>
      </x:c>
      <x:c r="B373" s="16" t="n">
        <x:v>9</x:v>
      </x:c>
      <x:c r="C373" s="16" t="inlineStr">
        <x:is>
          <x:t xml:space="preserve">V01</x:t>
        </x:is>
      </x:c>
      <x:c r="D373" s="16" t="inlineStr">
        <x:is>
          <x:t xml:space="preserve">Productivity</x:t>
        </x:is>
      </x:c>
      <x:c r="E373" s="16" t="inlineStr">
        <x:is>
          <x:t xml:space="preserve">Full transcript</x:t>
        </x:is>
      </x:c>
      <x:c r="F373" s="16" t="inlineStr">
        <x:is>
          <x:t xml:space="preserve">Audio-on</x:t>
        </x:is>
      </x:c>
      <x:c r="G373" s="21" t="n">
        <x:v>25</x:v>
      </x:c>
      <x:c r="H373" s="21" t="inlineStr">
        <x:is>
          <x:t xml:space="preserve"/>
        </x:is>
      </x:c>
      <x:c r="I373" s="21" t="inlineStr">
        <x:is>
          <x:t xml:space="preserve"/>
        </x:is>
      </x:c>
      <x:c r="J373" s="21" t="inlineStr">
        <x:is>
          <x:t xml:space="preserve"/>
        </x:is>
      </x:c>
      <x:c r="K373" s="21" t="inlineStr">
        <x:is>
          <x:t xml:space="preserve"/>
        </x:is>
      </x:c>
      <x:c r="L373" s="21" t="inlineStr">
        <x:is>
          <x:t xml:space="preserve"/>
        </x:is>
      </x:c>
      <x:c r="M373" s="21" t="inlineStr">
        <x:is>
          <x:t xml:space="preserve"/>
        </x:is>
      </x:c>
      <x:c r="N373" s="21" t="inlineStr">
        <x:is>
          <x:t xml:space="preserve"/>
        </x:is>
      </x:c>
      <x:c r="O373" s="21" t="inlineStr">
        <x:is>
          <x:t xml:space="preserve"/>
        </x:is>
      </x:c>
      <x:c r="P373" s="21" t="inlineStr">
        <x:is>
          <x:t xml:space="preserve"/>
        </x:is>
      </x:c>
      <x:c r="Q373" s="21" t="inlineStr">
        <x:is>
          <x:t xml:space="preserve"/>
        </x:is>
      </x:c>
      <x:c r="R373" s="21" t="inlineStr">
        <x:is>
          <x:t xml:space="preserve"/>
        </x:is>
      </x:c>
      <x:c r="S373" s="22">
        <x:f>IF(H373="","",IFERROR(H373/G373,""))</x:f>
      </x:c>
      <x:c r="T373" s="23">
        <x:f>IF(H373="","",IFERROR((J373+K373+L373+N373)/H373,""))</x:f>
      </x:c>
      <x:c r="U373" s="22">
        <x:f>IF(COUNTA(J373:L373,N373)=0,"",IFERROR(AVERAGE(J373:L373,N373),""))</x:f>
      </x:c>
      <x:c r="V373" s="16" t="inlineStr">
        <x:is>
          <x:t xml:space="preserve"/>
        </x:is>
      </x:c>
    </x:row>
    <x:row r="374">
      <x:c r="A374" s="17" t="inlineStr">
        <x:is>
          <x:t xml:space="preserve">P031</x:t>
        </x:is>
      </x:c>
      <x:c r="B374" s="17" t="n">
        <x:v>10</x:v>
      </x:c>
      <x:c r="C374" s="17" t="inlineStr">
        <x:is>
          <x:t xml:space="preserve">V09</x:t>
        </x:is>
      </x:c>
      <x:c r="D374" s="17" t="inlineStr">
        <x:is>
          <x:t xml:space="preserve">Sleep habit</x:t>
        </x:is>
      </x:c>
      <x:c r="E374" s="17" t="inlineStr">
        <x:is>
          <x:t xml:space="preserve">Semantic compression</x:t>
        </x:is>
      </x:c>
      <x:c r="F374" s="17" t="inlineStr">
        <x:is>
          <x:t xml:space="preserve">Audio-on</x:t>
        </x:is>
      </x:c>
      <x:c r="G374" s="24" t="n">
        <x:v>19</x:v>
      </x:c>
      <x:c r="H374" s="24" t="inlineStr">
        <x:is>
          <x:t xml:space="preserve"/>
        </x:is>
      </x:c>
      <x:c r="I374" s="24" t="inlineStr">
        <x:is>
          <x:t xml:space="preserve"/>
        </x:is>
      </x:c>
      <x:c r="J374" s="24" t="inlineStr">
        <x:is>
          <x:t xml:space="preserve"/>
        </x:is>
      </x:c>
      <x:c r="K374" s="24" t="inlineStr">
        <x:is>
          <x:t xml:space="preserve"/>
        </x:is>
      </x:c>
      <x:c r="L374" s="24" t="inlineStr">
        <x:is>
          <x:t xml:space="preserve"/>
        </x:is>
      </x:c>
      <x:c r="M374" s="24" t="inlineStr">
        <x:is>
          <x:t xml:space="preserve"/>
        </x:is>
      </x:c>
      <x:c r="N374" s="24" t="inlineStr">
        <x:is>
          <x:t xml:space="preserve"/>
        </x:is>
      </x:c>
      <x:c r="O374" s="24" t="inlineStr">
        <x:is>
          <x:t xml:space="preserve"/>
        </x:is>
      </x:c>
      <x:c r="P374" s="24" t="inlineStr">
        <x:is>
          <x:t xml:space="preserve"/>
        </x:is>
      </x:c>
      <x:c r="Q374" s="24" t="inlineStr">
        <x:is>
          <x:t xml:space="preserve"/>
        </x:is>
      </x:c>
      <x:c r="R374" s="24" t="inlineStr">
        <x:is>
          <x:t xml:space="preserve"/>
        </x:is>
      </x:c>
      <x:c r="S374" s="25">
        <x:f>IF(H374="","",IFERROR(H374/G374,""))</x:f>
      </x:c>
      <x:c r="T374" s="26">
        <x:f>IF(H374="","",IFERROR((J374+K374+L374+N374)/H374,""))</x:f>
      </x:c>
      <x:c r="U374" s="25">
        <x:f>IF(COUNTA(J374:L374,N374)=0,"",IFERROR(AVERAGE(J374:L374,N374),""))</x:f>
      </x:c>
      <x:c r="V374" s="17" t="inlineStr">
        <x:is>
          <x:t xml:space="preserve"/>
        </x:is>
      </x:c>
    </x:row>
    <x:row r="375">
      <x:c r="A375" s="16" t="inlineStr">
        <x:is>
          <x:t xml:space="preserve">P031</x:t>
        </x:is>
      </x:c>
      <x:c r="B375" s="16" t="n">
        <x:v>11</x:v>
      </x:c>
      <x:c r="C375" s="16" t="inlineStr">
        <x:is>
          <x:t xml:space="preserve">V10</x:t>
        </x:is>
      </x:c>
      <x:c r="D375" s="16" t="inlineStr">
        <x:is>
          <x:t xml:space="preserve">Product demo</x:t>
        </x:is>
      </x:c>
      <x:c r="E375" s="16" t="inlineStr">
        <x:is>
          <x:t xml:space="preserve">BCC</x:t>
        </x:is>
      </x:c>
      <x:c r="F375" s="16" t="inlineStr">
        <x:is>
          <x:t xml:space="preserve">Audio-on</x:t>
        </x:is>
      </x:c>
      <x:c r="G375" s="21" t="n">
        <x:v>15</x:v>
      </x:c>
      <x:c r="H375" s="21" t="inlineStr">
        <x:is>
          <x:t xml:space="preserve"/>
        </x:is>
      </x:c>
      <x:c r="I375" s="21" t="inlineStr">
        <x:is>
          <x:t xml:space="preserve"/>
        </x:is>
      </x:c>
      <x:c r="J375" s="21" t="inlineStr">
        <x:is>
          <x:t xml:space="preserve"/>
        </x:is>
      </x:c>
      <x:c r="K375" s="21" t="inlineStr">
        <x:is>
          <x:t xml:space="preserve"/>
        </x:is>
      </x:c>
      <x:c r="L375" s="21" t="inlineStr">
        <x:is>
          <x:t xml:space="preserve"/>
        </x:is>
      </x:c>
      <x:c r="M375" s="21" t="inlineStr">
        <x:is>
          <x:t xml:space="preserve"/>
        </x:is>
      </x:c>
      <x:c r="N375" s="21" t="inlineStr">
        <x:is>
          <x:t xml:space="preserve"/>
        </x:is>
      </x:c>
      <x:c r="O375" s="21" t="inlineStr">
        <x:is>
          <x:t xml:space="preserve"/>
        </x:is>
      </x:c>
      <x:c r="P375" s="21" t="inlineStr">
        <x:is>
          <x:t xml:space="preserve"/>
        </x:is>
      </x:c>
      <x:c r="Q375" s="21" t="inlineStr">
        <x:is>
          <x:t xml:space="preserve"/>
        </x:is>
      </x:c>
      <x:c r="R375" s="21" t="inlineStr">
        <x:is>
          <x:t xml:space="preserve"/>
        </x:is>
      </x:c>
      <x:c r="S375" s="22">
        <x:f>IF(H375="","",IFERROR(H375/G375,""))</x:f>
      </x:c>
      <x:c r="T375" s="23">
        <x:f>IF(H375="","",IFERROR((J375+K375+L375+N375)/H375,""))</x:f>
      </x:c>
      <x:c r="U375" s="22">
        <x:f>IF(COUNTA(J375:L375,N375)=0,"",IFERROR(AVERAGE(J375:L375,N375),""))</x:f>
      </x:c>
      <x:c r="V375" s="16" t="inlineStr">
        <x:is>
          <x:t xml:space="preserve"/>
        </x:is>
      </x:c>
    </x:row>
    <x:row r="376">
      <x:c r="A376" s="17" t="inlineStr">
        <x:is>
          <x:t xml:space="preserve">P031</x:t>
        </x:is>
      </x:c>
      <x:c r="B376" s="17" t="n">
        <x:v>12</x:v>
      </x:c>
      <x:c r="C376" s="17" t="inlineStr">
        <x:is>
          <x:t xml:space="preserve">V12</x:t>
        </x:is>
      </x:c>
      <x:c r="D376" s="17" t="inlineStr">
        <x:is>
          <x:t xml:space="preserve">Time management</x:t>
        </x:is>
      </x:c>
      <x:c r="E376" s="17" t="inlineStr">
        <x:is>
          <x:t xml:space="preserve">Heavy bionic</x:t>
        </x:is>
      </x:c>
      <x:c r="F376" s="17" t="inlineStr">
        <x:is>
          <x:t xml:space="preserve">Audio-on</x:t>
        </x:is>
      </x:c>
      <x:c r="G376" s="24" t="n">
        <x:v>21</x:v>
      </x:c>
      <x:c r="H376" s="24" t="inlineStr">
        <x:is>
          <x:t xml:space="preserve"/>
        </x:is>
      </x:c>
      <x:c r="I376" s="24" t="inlineStr">
        <x:is>
          <x:t xml:space="preserve"/>
        </x:is>
      </x:c>
      <x:c r="J376" s="24" t="inlineStr">
        <x:is>
          <x:t xml:space="preserve"/>
        </x:is>
      </x:c>
      <x:c r="K376" s="24" t="inlineStr">
        <x:is>
          <x:t xml:space="preserve"/>
        </x:is>
      </x:c>
      <x:c r="L376" s="24" t="inlineStr">
        <x:is>
          <x:t xml:space="preserve"/>
        </x:is>
      </x:c>
      <x:c r="M376" s="24" t="inlineStr">
        <x:is>
          <x:t xml:space="preserve"/>
        </x:is>
      </x:c>
      <x:c r="N376" s="24" t="inlineStr">
        <x:is>
          <x:t xml:space="preserve"/>
        </x:is>
      </x:c>
      <x:c r="O376" s="24" t="inlineStr">
        <x:is>
          <x:t xml:space="preserve"/>
        </x:is>
      </x:c>
      <x:c r="P376" s="24" t="inlineStr">
        <x:is>
          <x:t xml:space="preserve"/>
        </x:is>
      </x:c>
      <x:c r="Q376" s="24" t="inlineStr">
        <x:is>
          <x:t xml:space="preserve"/>
        </x:is>
      </x:c>
      <x:c r="R376" s="24" t="inlineStr">
        <x:is>
          <x:t xml:space="preserve"/>
        </x:is>
      </x:c>
      <x:c r="S376" s="25">
        <x:f>IF(H376="","",IFERROR(H376/G376,""))</x:f>
      </x:c>
      <x:c r="T376" s="26">
        <x:f>IF(H376="","",IFERROR((J376+K376+L376+N376)/H376,""))</x:f>
      </x:c>
      <x:c r="U376" s="25">
        <x:f>IF(COUNTA(J376:L376,N376)=0,"",IFERROR(AVERAGE(J376:L376,N376),""))</x:f>
      </x:c>
      <x:c r="V376" s="17" t="inlineStr">
        <x:is>
          <x:t xml:space="preserve"/>
        </x:is>
      </x:c>
    </x:row>
    <x:row r="377">
      <x:c r="A377" s="16" t="inlineStr">
        <x:is>
          <x:t xml:space="preserve">P032</x:t>
        </x:is>
      </x:c>
      <x:c r="B377" s="16" t="n">
        <x:v>1</x:v>
      </x:c>
      <x:c r="C377" s="16" t="inlineStr">
        <x:is>
          <x:t xml:space="preserve">V06</x:t>
        </x:is>
      </x:c>
      <x:c r="D377" s="16" t="inlineStr">
        <x:is>
          <x:t xml:space="preserve">Overload</x:t>
        </x:is>
      </x:c>
      <x:c r="E377" s="16" t="inlineStr">
        <x:is>
          <x:t xml:space="preserve">Full transcript</x:t>
        </x:is>
      </x:c>
      <x:c r="F377" s="16" t="inlineStr">
        <x:is>
          <x:t xml:space="preserve">Audio-on</x:t>
        </x:is>
      </x:c>
      <x:c r="G377" s="21" t="n">
        <x:v>16</x:v>
      </x:c>
      <x:c r="H377" s="21" t="inlineStr">
        <x:is>
          <x:t xml:space="preserve"/>
        </x:is>
      </x:c>
      <x:c r="I377" s="21" t="inlineStr">
        <x:is>
          <x:t xml:space="preserve"/>
        </x:is>
      </x:c>
      <x:c r="J377" s="21" t="inlineStr">
        <x:is>
          <x:t xml:space="preserve"/>
        </x:is>
      </x:c>
      <x:c r="K377" s="21" t="inlineStr">
        <x:is>
          <x:t xml:space="preserve"/>
        </x:is>
      </x:c>
      <x:c r="L377" s="21" t="inlineStr">
        <x:is>
          <x:t xml:space="preserve"/>
        </x:is>
      </x:c>
      <x:c r="M377" s="21" t="inlineStr">
        <x:is>
          <x:t xml:space="preserve"/>
        </x:is>
      </x:c>
      <x:c r="N377" s="21" t="inlineStr">
        <x:is>
          <x:t xml:space="preserve"/>
        </x:is>
      </x:c>
      <x:c r="O377" s="21" t="inlineStr">
        <x:is>
          <x:t xml:space="preserve"/>
        </x:is>
      </x:c>
      <x:c r="P377" s="21" t="inlineStr">
        <x:is>
          <x:t xml:space="preserve"/>
        </x:is>
      </x:c>
      <x:c r="Q377" s="21" t="inlineStr">
        <x:is>
          <x:t xml:space="preserve"/>
        </x:is>
      </x:c>
      <x:c r="R377" s="21" t="inlineStr">
        <x:is>
          <x:t xml:space="preserve"/>
        </x:is>
      </x:c>
      <x:c r="S377" s="22">
        <x:f>IF(H377="","",IFERROR(H377/G377,""))</x:f>
      </x:c>
      <x:c r="T377" s="23">
        <x:f>IF(H377="","",IFERROR((J377+K377+L377+N377)/H377,""))</x:f>
      </x:c>
      <x:c r="U377" s="22">
        <x:f>IF(COUNTA(J377:L377,N377)=0,"",IFERROR(AVERAGE(J377:L377,N377),""))</x:f>
      </x:c>
      <x:c r="V377" s="16" t="inlineStr">
        <x:is>
          <x:t xml:space="preserve"/>
        </x:is>
      </x:c>
    </x:row>
    <x:row r="378">
      <x:c r="A378" s="17" t="inlineStr">
        <x:is>
          <x:t xml:space="preserve">P032</x:t>
        </x:is>
      </x:c>
      <x:c r="B378" s="17" t="n">
        <x:v>2</x:v>
      </x:c>
      <x:c r="C378" s="17" t="inlineStr">
        <x:is>
          <x:t xml:space="preserve">V01</x:t>
        </x:is>
      </x:c>
      <x:c r="D378" s="17" t="inlineStr">
        <x:is>
          <x:t xml:space="preserve">Productivity</x:t>
        </x:is>
      </x:c>
      <x:c r="E378" s="17" t="inlineStr">
        <x:is>
          <x:t xml:space="preserve">Keyword highlight</x:t>
        </x:is>
      </x:c>
      <x:c r="F378" s="17" t="inlineStr">
        <x:is>
          <x:t xml:space="preserve">Audio-on</x:t>
        </x:is>
      </x:c>
      <x:c r="G378" s="24" t="n">
        <x:v>25</x:v>
      </x:c>
      <x:c r="H378" s="24" t="inlineStr">
        <x:is>
          <x:t xml:space="preserve"/>
        </x:is>
      </x:c>
      <x:c r="I378" s="24" t="inlineStr">
        <x:is>
          <x:t xml:space="preserve"/>
        </x:is>
      </x:c>
      <x:c r="J378" s="24" t="inlineStr">
        <x:is>
          <x:t xml:space="preserve"/>
        </x:is>
      </x:c>
      <x:c r="K378" s="24" t="inlineStr">
        <x:is>
          <x:t xml:space="preserve"/>
        </x:is>
      </x:c>
      <x:c r="L378" s="24" t="inlineStr">
        <x:is>
          <x:t xml:space="preserve"/>
        </x:is>
      </x:c>
      <x:c r="M378" s="24" t="inlineStr">
        <x:is>
          <x:t xml:space="preserve"/>
        </x:is>
      </x:c>
      <x:c r="N378" s="24" t="inlineStr">
        <x:is>
          <x:t xml:space="preserve"/>
        </x:is>
      </x:c>
      <x:c r="O378" s="24" t="inlineStr">
        <x:is>
          <x:t xml:space="preserve"/>
        </x:is>
      </x:c>
      <x:c r="P378" s="24" t="inlineStr">
        <x:is>
          <x:t xml:space="preserve"/>
        </x:is>
      </x:c>
      <x:c r="Q378" s="24" t="inlineStr">
        <x:is>
          <x:t xml:space="preserve"/>
        </x:is>
      </x:c>
      <x:c r="R378" s="24" t="inlineStr">
        <x:is>
          <x:t xml:space="preserve"/>
        </x:is>
      </x:c>
      <x:c r="S378" s="25">
        <x:f>IF(H378="","",IFERROR(H378/G378,""))</x:f>
      </x:c>
      <x:c r="T378" s="26">
        <x:f>IF(H378="","",IFERROR((J378+K378+L378+N378)/H378,""))</x:f>
      </x:c>
      <x:c r="U378" s="25">
        <x:f>IF(COUNTA(J378:L378,N378)=0,"",IFERROR(AVERAGE(J378:L378,N378),""))</x:f>
      </x:c>
      <x:c r="V378" s="17" t="inlineStr">
        <x:is>
          <x:t xml:space="preserve"/>
        </x:is>
      </x:c>
    </x:row>
    <x:row r="379">
      <x:c r="A379" s="16" t="inlineStr">
        <x:is>
          <x:t xml:space="preserve">P032</x:t>
        </x:is>
      </x:c>
      <x:c r="B379" s="16" t="n">
        <x:v>3</x:v>
      </x:c>
      <x:c r="C379" s="16" t="inlineStr">
        <x:is>
          <x:t xml:space="preserve">V05</x:t>
        </x:is>
      </x:c>
      <x:c r="D379" s="16" t="inlineStr">
        <x:is>
          <x:t xml:space="preserve">Tutorial</x:t>
        </x:is>
      </x:c>
      <x:c r="E379" s="16" t="inlineStr">
        <x:is>
          <x:t xml:space="preserve">Heavy bionic</x:t>
        </x:is>
      </x:c>
      <x:c r="F379" s="16" t="inlineStr">
        <x:is>
          <x:t xml:space="preserve">Audio-on</x:t>
        </x:is>
      </x:c>
      <x:c r="G379" s="21" t="n">
        <x:v>20</x:v>
      </x:c>
      <x:c r="H379" s="21" t="inlineStr">
        <x:is>
          <x:t xml:space="preserve"/>
        </x:is>
      </x:c>
      <x:c r="I379" s="21" t="inlineStr">
        <x:is>
          <x:t xml:space="preserve"/>
        </x:is>
      </x:c>
      <x:c r="J379" s="21" t="inlineStr">
        <x:is>
          <x:t xml:space="preserve"/>
        </x:is>
      </x:c>
      <x:c r="K379" s="21" t="inlineStr">
        <x:is>
          <x:t xml:space="preserve"/>
        </x:is>
      </x:c>
      <x:c r="L379" s="21" t="inlineStr">
        <x:is>
          <x:t xml:space="preserve"/>
        </x:is>
      </x:c>
      <x:c r="M379" s="21" t="inlineStr">
        <x:is>
          <x:t xml:space="preserve"/>
        </x:is>
      </x:c>
      <x:c r="N379" s="21" t="inlineStr">
        <x:is>
          <x:t xml:space="preserve"/>
        </x:is>
      </x:c>
      <x:c r="O379" s="21" t="inlineStr">
        <x:is>
          <x:t xml:space="preserve"/>
        </x:is>
      </x:c>
      <x:c r="P379" s="21" t="inlineStr">
        <x:is>
          <x:t xml:space="preserve"/>
        </x:is>
      </x:c>
      <x:c r="Q379" s="21" t="inlineStr">
        <x:is>
          <x:t xml:space="preserve"/>
        </x:is>
      </x:c>
      <x:c r="R379" s="21" t="inlineStr">
        <x:is>
          <x:t xml:space="preserve"/>
        </x:is>
      </x:c>
      <x:c r="S379" s="22">
        <x:f>IF(H379="","",IFERROR(H379/G379,""))</x:f>
      </x:c>
      <x:c r="T379" s="23">
        <x:f>IF(H379="","",IFERROR((J379+K379+L379+N379)/H379,""))</x:f>
      </x:c>
      <x:c r="U379" s="22">
        <x:f>IF(COUNTA(J379:L379,N379)=0,"",IFERROR(AVERAGE(J379:L379,N379),""))</x:f>
      </x:c>
      <x:c r="V379" s="16" t="inlineStr">
        <x:is>
          <x:t xml:space="preserve"/>
        </x:is>
      </x:c>
    </x:row>
    <x:row r="380">
      <x:c r="A380" s="17" t="inlineStr">
        <x:is>
          <x:t xml:space="preserve">P032</x:t>
        </x:is>
      </x:c>
      <x:c r="B380" s="17" t="n">
        <x:v>4</x:v>
      </x:c>
      <x:c r="C380" s="17" t="inlineStr">
        <x:is>
          <x:t xml:space="preserve">V10</x:t>
        </x:is>
      </x:c>
      <x:c r="D380" s="17" t="inlineStr">
        <x:is>
          <x:t xml:space="preserve">Product demo</x:t>
        </x:is>
      </x:c>
      <x:c r="E380" s="17" t="inlineStr">
        <x:is>
          <x:t xml:space="preserve">BCC+</x:t>
        </x:is>
      </x:c>
      <x:c r="F380" s="17" t="inlineStr">
        <x:is>
          <x:t xml:space="preserve">Audio-on</x:t>
        </x:is>
      </x:c>
      <x:c r="G380" s="24" t="n">
        <x:v>15</x:v>
      </x:c>
      <x:c r="H380" s="24" t="inlineStr">
        <x:is>
          <x:t xml:space="preserve"/>
        </x:is>
      </x:c>
      <x:c r="I380" s="24" t="inlineStr">
        <x:is>
          <x:t xml:space="preserve"/>
        </x:is>
      </x:c>
      <x:c r="J380" s="24" t="inlineStr">
        <x:is>
          <x:t xml:space="preserve"/>
        </x:is>
      </x:c>
      <x:c r="K380" s="24" t="inlineStr">
        <x:is>
          <x:t xml:space="preserve"/>
        </x:is>
      </x:c>
      <x:c r="L380" s="24" t="inlineStr">
        <x:is>
          <x:t xml:space="preserve"/>
        </x:is>
      </x:c>
      <x:c r="M380" s="24" t="inlineStr">
        <x:is>
          <x:t xml:space="preserve"/>
        </x:is>
      </x:c>
      <x:c r="N380" s="24" t="inlineStr">
        <x:is>
          <x:t xml:space="preserve"/>
        </x:is>
      </x:c>
      <x:c r="O380" s="24" t="inlineStr">
        <x:is>
          <x:t xml:space="preserve"/>
        </x:is>
      </x:c>
      <x:c r="P380" s="24" t="inlineStr">
        <x:is>
          <x:t xml:space="preserve"/>
        </x:is>
      </x:c>
      <x:c r="Q380" s="24" t="inlineStr">
        <x:is>
          <x:t xml:space="preserve"/>
        </x:is>
      </x:c>
      <x:c r="R380" s="24" t="inlineStr">
        <x:is>
          <x:t xml:space="preserve"/>
        </x:is>
      </x:c>
      <x:c r="S380" s="25">
        <x:f>IF(H380="","",IFERROR(H380/G380,""))</x:f>
      </x:c>
      <x:c r="T380" s="26">
        <x:f>IF(H380="","",IFERROR((J380+K380+L380+N380)/H380,""))</x:f>
      </x:c>
      <x:c r="U380" s="25">
        <x:f>IF(COUNTA(J380:L380,N380)=0,"",IFERROR(AVERAGE(J380:L380,N380),""))</x:f>
      </x:c>
      <x:c r="V380" s="17" t="inlineStr">
        <x:is>
          <x:t xml:space="preserve"/>
        </x:is>
      </x:c>
    </x:row>
    <x:row r="381">
      <x:c r="A381" s="16" t="inlineStr">
        <x:is>
          <x:t xml:space="preserve">P032</x:t>
        </x:is>
      </x:c>
      <x:c r="B381" s="16" t="n">
        <x:v>5</x:v>
      </x:c>
      <x:c r="C381" s="16" t="inlineStr">
        <x:is>
          <x:t xml:space="preserve">V04</x:t>
        </x:is>
      </x:c>
      <x:c r="D381" s="16" t="inlineStr">
        <x:is>
          <x:t xml:space="preserve">Finance</x:t>
        </x:is>
      </x:c>
      <x:c r="E381" s="16" t="inlineStr">
        <x:is>
          <x:t xml:space="preserve">BCC+</x:t>
        </x:is>
      </x:c>
      <x:c r="F381" s="16" t="inlineStr">
        <x:is>
          <x:t xml:space="preserve">Audio-on</x:t>
        </x:is>
      </x:c>
      <x:c r="G381" s="21" t="n">
        <x:v>20</x:v>
      </x:c>
      <x:c r="H381" s="21" t="inlineStr">
        <x:is>
          <x:t xml:space="preserve"/>
        </x:is>
      </x:c>
      <x:c r="I381" s="21" t="inlineStr">
        <x:is>
          <x:t xml:space="preserve"/>
        </x:is>
      </x:c>
      <x:c r="J381" s="21" t="inlineStr">
        <x:is>
          <x:t xml:space="preserve"/>
        </x:is>
      </x:c>
      <x:c r="K381" s="21" t="inlineStr">
        <x:is>
          <x:t xml:space="preserve"/>
        </x:is>
      </x:c>
      <x:c r="L381" s="21" t="inlineStr">
        <x:is>
          <x:t xml:space="preserve"/>
        </x:is>
      </x:c>
      <x:c r="M381" s="21" t="inlineStr">
        <x:is>
          <x:t xml:space="preserve"/>
        </x:is>
      </x:c>
      <x:c r="N381" s="21" t="inlineStr">
        <x:is>
          <x:t xml:space="preserve"/>
        </x:is>
      </x:c>
      <x:c r="O381" s="21" t="inlineStr">
        <x:is>
          <x:t xml:space="preserve"/>
        </x:is>
      </x:c>
      <x:c r="P381" s="21" t="inlineStr">
        <x:is>
          <x:t xml:space="preserve"/>
        </x:is>
      </x:c>
      <x:c r="Q381" s="21" t="inlineStr">
        <x:is>
          <x:t xml:space="preserve"/>
        </x:is>
      </x:c>
      <x:c r="R381" s="21" t="inlineStr">
        <x:is>
          <x:t xml:space="preserve"/>
        </x:is>
      </x:c>
      <x:c r="S381" s="22">
        <x:f>IF(H381="","",IFERROR(H381/G381,""))</x:f>
      </x:c>
      <x:c r="T381" s="23">
        <x:f>IF(H381="","",IFERROR((J381+K381+L381+N381)/H381,""))</x:f>
      </x:c>
      <x:c r="U381" s="22">
        <x:f>IF(COUNTA(J381:L381,N381)=0,"",IFERROR(AVERAGE(J381:L381,N381),""))</x:f>
      </x:c>
      <x:c r="V381" s="16" t="inlineStr">
        <x:is>
          <x:t xml:space="preserve"/>
        </x:is>
      </x:c>
    </x:row>
    <x:row r="382">
      <x:c r="A382" s="17" t="inlineStr">
        <x:is>
          <x:t xml:space="preserve">P032</x:t>
        </x:is>
      </x:c>
      <x:c r="B382" s="17" t="n">
        <x:v>6</x:v>
      </x:c>
      <x:c r="C382" s="17" t="inlineStr">
        <x:is>
          <x:t xml:space="preserve">V02</x:t>
        </x:is>
      </x:c>
      <x:c r="D382" s="17" t="inlineStr">
        <x:is>
          <x:t xml:space="preserve">Study</x:t>
        </x:is>
      </x:c>
      <x:c r="E382" s="17" t="inlineStr">
        <x:is>
          <x:t xml:space="preserve">Semantic compression</x:t>
        </x:is>
      </x:c>
      <x:c r="F382" s="17" t="inlineStr">
        <x:is>
          <x:t xml:space="preserve">Audio-on</x:t>
        </x:is>
      </x:c>
      <x:c r="G382" s="24" t="n">
        <x:v>18</x:v>
      </x:c>
      <x:c r="H382" s="24" t="inlineStr">
        <x:is>
          <x:t xml:space="preserve"/>
        </x:is>
      </x:c>
      <x:c r="I382" s="24" t="inlineStr">
        <x:is>
          <x:t xml:space="preserve"/>
        </x:is>
      </x:c>
      <x:c r="J382" s="24" t="inlineStr">
        <x:is>
          <x:t xml:space="preserve"/>
        </x:is>
      </x:c>
      <x:c r="K382" s="24" t="inlineStr">
        <x:is>
          <x:t xml:space="preserve"/>
        </x:is>
      </x:c>
      <x:c r="L382" s="24" t="inlineStr">
        <x:is>
          <x:t xml:space="preserve"/>
        </x:is>
      </x:c>
      <x:c r="M382" s="24" t="inlineStr">
        <x:is>
          <x:t xml:space="preserve"/>
        </x:is>
      </x:c>
      <x:c r="N382" s="24" t="inlineStr">
        <x:is>
          <x:t xml:space="preserve"/>
        </x:is>
      </x:c>
      <x:c r="O382" s="24" t="inlineStr">
        <x:is>
          <x:t xml:space="preserve"/>
        </x:is>
      </x:c>
      <x:c r="P382" s="24" t="inlineStr">
        <x:is>
          <x:t xml:space="preserve"/>
        </x:is>
      </x:c>
      <x:c r="Q382" s="24" t="inlineStr">
        <x:is>
          <x:t xml:space="preserve"/>
        </x:is>
      </x:c>
      <x:c r="R382" s="24" t="inlineStr">
        <x:is>
          <x:t xml:space="preserve"/>
        </x:is>
      </x:c>
      <x:c r="S382" s="25">
        <x:f>IF(H382="","",IFERROR(H382/G382,""))</x:f>
      </x:c>
      <x:c r="T382" s="26">
        <x:f>IF(H382="","",IFERROR((J382+K382+L382+N382)/H382,""))</x:f>
      </x:c>
      <x:c r="U382" s="25">
        <x:f>IF(COUNTA(J382:L382,N382)=0,"",IFERROR(AVERAGE(J382:L382,N382),""))</x:f>
      </x:c>
      <x:c r="V382" s="17" t="inlineStr">
        <x:is>
          <x:t xml:space="preserve"/>
        </x:is>
      </x:c>
    </x:row>
    <x:row r="383">
      <x:c r="A383" s="16" t="inlineStr">
        <x:is>
          <x:t xml:space="preserve">P032</x:t>
        </x:is>
      </x:c>
      <x:c r="B383" s="16" t="n">
        <x:v>7</x:v>
      </x:c>
      <x:c r="C383" s="16" t="inlineStr">
        <x:is>
          <x:t xml:space="preserve">V08</x:t>
        </x:is>
      </x:c>
      <x:c r="D383" s="16" t="inlineStr">
        <x:is>
          <x:t xml:space="preserve">Coding</x:t>
        </x:is>
      </x:c>
      <x:c r="E383" s="16" t="inlineStr">
        <x:is>
          <x:t xml:space="preserve">Semantic compression</x:t>
        </x:is>
      </x:c>
      <x:c r="F383" s="16" t="inlineStr">
        <x:is>
          <x:t xml:space="preserve">Audio-on</x:t>
        </x:is>
      </x:c>
      <x:c r="G383" s="21" t="n">
        <x:v>24</x:v>
      </x:c>
      <x:c r="H383" s="21" t="inlineStr">
        <x:is>
          <x:t xml:space="preserve"/>
        </x:is>
      </x:c>
      <x:c r="I383" s="21" t="inlineStr">
        <x:is>
          <x:t xml:space="preserve"/>
        </x:is>
      </x:c>
      <x:c r="J383" s="21" t="inlineStr">
        <x:is>
          <x:t xml:space="preserve"/>
        </x:is>
      </x:c>
      <x:c r="K383" s="21" t="inlineStr">
        <x:is>
          <x:t xml:space="preserve"/>
        </x:is>
      </x:c>
      <x:c r="L383" s="21" t="inlineStr">
        <x:is>
          <x:t xml:space="preserve"/>
        </x:is>
      </x:c>
      <x:c r="M383" s="21" t="inlineStr">
        <x:is>
          <x:t xml:space="preserve"/>
        </x:is>
      </x:c>
      <x:c r="N383" s="21" t="inlineStr">
        <x:is>
          <x:t xml:space="preserve"/>
        </x:is>
      </x:c>
      <x:c r="O383" s="21" t="inlineStr">
        <x:is>
          <x:t xml:space="preserve"/>
        </x:is>
      </x:c>
      <x:c r="P383" s="21" t="inlineStr">
        <x:is>
          <x:t xml:space="preserve"/>
        </x:is>
      </x:c>
      <x:c r="Q383" s="21" t="inlineStr">
        <x:is>
          <x:t xml:space="preserve"/>
        </x:is>
      </x:c>
      <x:c r="R383" s="21" t="inlineStr">
        <x:is>
          <x:t xml:space="preserve"/>
        </x:is>
      </x:c>
      <x:c r="S383" s="22">
        <x:f>IF(H383="","",IFERROR(H383/G383,""))</x:f>
      </x:c>
      <x:c r="T383" s="23">
        <x:f>IF(H383="","",IFERROR((J383+K383+L383+N383)/H383,""))</x:f>
      </x:c>
      <x:c r="U383" s="22">
        <x:f>IF(COUNTA(J383:L383,N383)=0,"",IFERROR(AVERAGE(J383:L383,N383),""))</x:f>
      </x:c>
      <x:c r="V383" s="16" t="inlineStr">
        <x:is>
          <x:t xml:space="preserve"/>
        </x:is>
      </x:c>
    </x:row>
    <x:row r="384">
      <x:c r="A384" s="17" t="inlineStr">
        <x:is>
          <x:t xml:space="preserve">P032</x:t>
        </x:is>
      </x:c>
      <x:c r="B384" s="17" t="n">
        <x:v>8</x:v>
      </x:c>
      <x:c r="C384" s="17" t="inlineStr">
        <x:is>
          <x:t xml:space="preserve">V03</x:t>
        </x:is>
      </x:c>
      <x:c r="D384" s="17" t="inlineStr">
        <x:is>
          <x:t xml:space="preserve">Fitness</x:t>
        </x:is>
      </x:c>
      <x:c r="E384" s="17" t="inlineStr">
        <x:is>
          <x:t xml:space="preserve">BCC</x:t>
        </x:is>
      </x:c>
      <x:c r="F384" s="17" t="inlineStr">
        <x:is>
          <x:t xml:space="preserve">Audio-on</x:t>
        </x:is>
      </x:c>
      <x:c r="G384" s="24" t="n">
        <x:v>18</x:v>
      </x:c>
      <x:c r="H384" s="24" t="inlineStr">
        <x:is>
          <x:t xml:space="preserve"/>
        </x:is>
      </x:c>
      <x:c r="I384" s="24" t="inlineStr">
        <x:is>
          <x:t xml:space="preserve"/>
        </x:is>
      </x:c>
      <x:c r="J384" s="24" t="inlineStr">
        <x:is>
          <x:t xml:space="preserve"/>
        </x:is>
      </x:c>
      <x:c r="K384" s="24" t="inlineStr">
        <x:is>
          <x:t xml:space="preserve"/>
        </x:is>
      </x:c>
      <x:c r="L384" s="24" t="inlineStr">
        <x:is>
          <x:t xml:space="preserve"/>
        </x:is>
      </x:c>
      <x:c r="M384" s="24" t="inlineStr">
        <x:is>
          <x:t xml:space="preserve"/>
        </x:is>
      </x:c>
      <x:c r="N384" s="24" t="inlineStr">
        <x:is>
          <x:t xml:space="preserve"/>
        </x:is>
      </x:c>
      <x:c r="O384" s="24" t="inlineStr">
        <x:is>
          <x:t xml:space="preserve"/>
        </x:is>
      </x:c>
      <x:c r="P384" s="24" t="inlineStr">
        <x:is>
          <x:t xml:space="preserve"/>
        </x:is>
      </x:c>
      <x:c r="Q384" s="24" t="inlineStr">
        <x:is>
          <x:t xml:space="preserve"/>
        </x:is>
      </x:c>
      <x:c r="R384" s="24" t="inlineStr">
        <x:is>
          <x:t xml:space="preserve"/>
        </x:is>
      </x:c>
      <x:c r="S384" s="25">
        <x:f>IF(H384="","",IFERROR(H384/G384,""))</x:f>
      </x:c>
      <x:c r="T384" s="26">
        <x:f>IF(H384="","",IFERROR((J384+K384+L384+N384)/H384,""))</x:f>
      </x:c>
      <x:c r="U384" s="25">
        <x:f>IF(COUNTA(J384:L384,N384)=0,"",IFERROR(AVERAGE(J384:L384,N384),""))</x:f>
      </x:c>
      <x:c r="V384" s="17" t="inlineStr">
        <x:is>
          <x:t xml:space="preserve"/>
        </x:is>
      </x:c>
    </x:row>
    <x:row r="385">
      <x:c r="A385" s="16" t="inlineStr">
        <x:is>
          <x:t xml:space="preserve">P032</x:t>
        </x:is>
      </x:c>
      <x:c r="B385" s="16" t="n">
        <x:v>9</x:v>
      </x:c>
      <x:c r="C385" s="16" t="inlineStr">
        <x:is>
          <x:t xml:space="preserve">V12</x:t>
        </x:is>
      </x:c>
      <x:c r="D385" s="16" t="inlineStr">
        <x:is>
          <x:t xml:space="preserve">Time management</x:t>
        </x:is>
      </x:c>
      <x:c r="E385" s="16" t="inlineStr">
        <x:is>
          <x:t xml:space="preserve">Full transcript</x:t>
        </x:is>
      </x:c>
      <x:c r="F385" s="16" t="inlineStr">
        <x:is>
          <x:t xml:space="preserve">Audio-on</x:t>
        </x:is>
      </x:c>
      <x:c r="G385" s="21" t="n">
        <x:v>21</x:v>
      </x:c>
      <x:c r="H385" s="21" t="inlineStr">
        <x:is>
          <x:t xml:space="preserve"/>
        </x:is>
      </x:c>
      <x:c r="I385" s="21" t="inlineStr">
        <x:is>
          <x:t xml:space="preserve"/>
        </x:is>
      </x:c>
      <x:c r="J385" s="21" t="inlineStr">
        <x:is>
          <x:t xml:space="preserve"/>
        </x:is>
      </x:c>
      <x:c r="K385" s="21" t="inlineStr">
        <x:is>
          <x:t xml:space="preserve"/>
        </x:is>
      </x:c>
      <x:c r="L385" s="21" t="inlineStr">
        <x:is>
          <x:t xml:space="preserve"/>
        </x:is>
      </x:c>
      <x:c r="M385" s="21" t="inlineStr">
        <x:is>
          <x:t xml:space="preserve"/>
        </x:is>
      </x:c>
      <x:c r="N385" s="21" t="inlineStr">
        <x:is>
          <x:t xml:space="preserve"/>
        </x:is>
      </x:c>
      <x:c r="O385" s="21" t="inlineStr">
        <x:is>
          <x:t xml:space="preserve"/>
        </x:is>
      </x:c>
      <x:c r="P385" s="21" t="inlineStr">
        <x:is>
          <x:t xml:space="preserve"/>
        </x:is>
      </x:c>
      <x:c r="Q385" s="21" t="inlineStr">
        <x:is>
          <x:t xml:space="preserve"/>
        </x:is>
      </x:c>
      <x:c r="R385" s="21" t="inlineStr">
        <x:is>
          <x:t xml:space="preserve"/>
        </x:is>
      </x:c>
      <x:c r="S385" s="22">
        <x:f>IF(H385="","",IFERROR(H385/G385,""))</x:f>
      </x:c>
      <x:c r="T385" s="23">
        <x:f>IF(H385="","",IFERROR((J385+K385+L385+N385)/H385,""))</x:f>
      </x:c>
      <x:c r="U385" s="22">
        <x:f>IF(COUNTA(J385:L385,N385)=0,"",IFERROR(AVERAGE(J385:L385,N385),""))</x:f>
      </x:c>
      <x:c r="V385" s="16" t="inlineStr">
        <x:is>
          <x:t xml:space="preserve"/>
        </x:is>
      </x:c>
    </x:row>
    <x:row r="386">
      <x:c r="A386" s="17" t="inlineStr">
        <x:is>
          <x:t xml:space="preserve">P032</x:t>
        </x:is>
      </x:c>
      <x:c r="B386" s="17" t="n">
        <x:v>10</x:v>
      </x:c>
      <x:c r="C386" s="17" t="inlineStr">
        <x:is>
          <x:t xml:space="preserve">V09</x:t>
        </x:is>
      </x:c>
      <x:c r="D386" s="17" t="inlineStr">
        <x:is>
          <x:t xml:space="preserve">Sleep habit</x:t>
        </x:is>
      </x:c>
      <x:c r="E386" s="17" t="inlineStr">
        <x:is>
          <x:t xml:space="preserve">BCC</x:t>
        </x:is>
      </x:c>
      <x:c r="F386" s="17" t="inlineStr">
        <x:is>
          <x:t xml:space="preserve">Audio-on</x:t>
        </x:is>
      </x:c>
      <x:c r="G386" s="24" t="n">
        <x:v>19</x:v>
      </x:c>
      <x:c r="H386" s="24" t="inlineStr">
        <x:is>
          <x:t xml:space="preserve"/>
        </x:is>
      </x:c>
      <x:c r="I386" s="24" t="inlineStr">
        <x:is>
          <x:t xml:space="preserve"/>
        </x:is>
      </x:c>
      <x:c r="J386" s="24" t="inlineStr">
        <x:is>
          <x:t xml:space="preserve"/>
        </x:is>
      </x:c>
      <x:c r="K386" s="24" t="inlineStr">
        <x:is>
          <x:t xml:space="preserve"/>
        </x:is>
      </x:c>
      <x:c r="L386" s="24" t="inlineStr">
        <x:is>
          <x:t xml:space="preserve"/>
        </x:is>
      </x:c>
      <x:c r="M386" s="24" t="inlineStr">
        <x:is>
          <x:t xml:space="preserve"/>
        </x:is>
      </x:c>
      <x:c r="N386" s="24" t="inlineStr">
        <x:is>
          <x:t xml:space="preserve"/>
        </x:is>
      </x:c>
      <x:c r="O386" s="24" t="inlineStr">
        <x:is>
          <x:t xml:space="preserve"/>
        </x:is>
      </x:c>
      <x:c r="P386" s="24" t="inlineStr">
        <x:is>
          <x:t xml:space="preserve"/>
        </x:is>
      </x:c>
      <x:c r="Q386" s="24" t="inlineStr">
        <x:is>
          <x:t xml:space="preserve"/>
        </x:is>
      </x:c>
      <x:c r="R386" s="24" t="inlineStr">
        <x:is>
          <x:t xml:space="preserve"/>
        </x:is>
      </x:c>
      <x:c r="S386" s="25">
        <x:f>IF(H386="","",IFERROR(H386/G386,""))</x:f>
      </x:c>
      <x:c r="T386" s="26">
        <x:f>IF(H386="","",IFERROR((J386+K386+L386+N386)/H386,""))</x:f>
      </x:c>
      <x:c r="U386" s="25">
        <x:f>IF(COUNTA(J386:L386,N386)=0,"",IFERROR(AVERAGE(J386:L386,N386),""))</x:f>
      </x:c>
      <x:c r="V386" s="17" t="inlineStr">
        <x:is>
          <x:t xml:space="preserve"/>
        </x:is>
      </x:c>
    </x:row>
    <x:row r="387">
      <x:c r="A387" s="16" t="inlineStr">
        <x:is>
          <x:t xml:space="preserve">P032</x:t>
        </x:is>
      </x:c>
      <x:c r="B387" s="16" t="n">
        <x:v>11</x:v>
      </x:c>
      <x:c r="C387" s="16" t="inlineStr">
        <x:is>
          <x:t xml:space="preserve">V11</x:t>
        </x:is>
      </x:c>
      <x:c r="D387" s="16" t="inlineStr">
        <x:is>
          <x:t xml:space="preserve">Creator strategy</x:t>
        </x:is>
      </x:c>
      <x:c r="E387" s="16" t="inlineStr">
        <x:is>
          <x:t xml:space="preserve">Heavy bionic</x:t>
        </x:is>
      </x:c>
      <x:c r="F387" s="16" t="inlineStr">
        <x:is>
          <x:t xml:space="preserve">Audio-on</x:t>
        </x:is>
      </x:c>
      <x:c r="G387" s="21" t="n">
        <x:v>17</x:v>
      </x:c>
      <x:c r="H387" s="21" t="inlineStr">
        <x:is>
          <x:t xml:space="preserve"/>
        </x:is>
      </x:c>
      <x:c r="I387" s="21" t="inlineStr">
        <x:is>
          <x:t xml:space="preserve"/>
        </x:is>
      </x:c>
      <x:c r="J387" s="21" t="inlineStr">
        <x:is>
          <x:t xml:space="preserve"/>
        </x:is>
      </x:c>
      <x:c r="K387" s="21" t="inlineStr">
        <x:is>
          <x:t xml:space="preserve"/>
        </x:is>
      </x:c>
      <x:c r="L387" s="21" t="inlineStr">
        <x:is>
          <x:t xml:space="preserve"/>
        </x:is>
      </x:c>
      <x:c r="M387" s="21" t="inlineStr">
        <x:is>
          <x:t xml:space="preserve"/>
        </x:is>
      </x:c>
      <x:c r="N387" s="21" t="inlineStr">
        <x:is>
          <x:t xml:space="preserve"/>
        </x:is>
      </x:c>
      <x:c r="O387" s="21" t="inlineStr">
        <x:is>
          <x:t xml:space="preserve"/>
        </x:is>
      </x:c>
      <x:c r="P387" s="21" t="inlineStr">
        <x:is>
          <x:t xml:space="preserve"/>
        </x:is>
      </x:c>
      <x:c r="Q387" s="21" t="inlineStr">
        <x:is>
          <x:t xml:space="preserve"/>
        </x:is>
      </x:c>
      <x:c r="R387" s="21" t="inlineStr">
        <x:is>
          <x:t xml:space="preserve"/>
        </x:is>
      </x:c>
      <x:c r="S387" s="22">
        <x:f>IF(H387="","",IFERROR(H387/G387,""))</x:f>
      </x:c>
      <x:c r="T387" s="23">
        <x:f>IF(H387="","",IFERROR((J387+K387+L387+N387)/H387,""))</x:f>
      </x:c>
      <x:c r="U387" s="22">
        <x:f>IF(COUNTA(J387:L387,N387)=0,"",IFERROR(AVERAGE(J387:L387,N387),""))</x:f>
      </x:c>
      <x:c r="V387" s="16" t="inlineStr">
        <x:is>
          <x:t xml:space="preserve"/>
        </x:is>
      </x:c>
    </x:row>
    <x:row r="388">
      <x:c r="A388" s="17" t="inlineStr">
        <x:is>
          <x:t xml:space="preserve">P032</x:t>
        </x:is>
      </x:c>
      <x:c r="B388" s="17" t="n">
        <x:v>12</x:v>
      </x:c>
      <x:c r="C388" s="17" t="inlineStr">
        <x:is>
          <x:t xml:space="preserve">V07</x:t>
        </x:is>
      </x:c>
      <x:c r="D388" s="17" t="inlineStr">
        <x:is>
          <x:t xml:space="preserve">Business</x:t>
        </x:is>
      </x:c>
      <x:c r="E388" s="17" t="inlineStr">
        <x:is>
          <x:t xml:space="preserve">Keyword highlight</x:t>
        </x:is>
      </x:c>
      <x:c r="F388" s="17" t="inlineStr">
        <x:is>
          <x:t xml:space="preserve">Audio-on</x:t>
        </x:is>
      </x:c>
      <x:c r="G388" s="24" t="n">
        <x:v>18</x:v>
      </x:c>
      <x:c r="H388" s="24" t="inlineStr">
        <x:is>
          <x:t xml:space="preserve"/>
        </x:is>
      </x:c>
      <x:c r="I388" s="24" t="inlineStr">
        <x:is>
          <x:t xml:space="preserve"/>
        </x:is>
      </x:c>
      <x:c r="J388" s="24" t="inlineStr">
        <x:is>
          <x:t xml:space="preserve"/>
        </x:is>
      </x:c>
      <x:c r="K388" s="24" t="inlineStr">
        <x:is>
          <x:t xml:space="preserve"/>
        </x:is>
      </x:c>
      <x:c r="L388" s="24" t="inlineStr">
        <x:is>
          <x:t xml:space="preserve"/>
        </x:is>
      </x:c>
      <x:c r="M388" s="24" t="inlineStr">
        <x:is>
          <x:t xml:space="preserve"/>
        </x:is>
      </x:c>
      <x:c r="N388" s="24" t="inlineStr">
        <x:is>
          <x:t xml:space="preserve"/>
        </x:is>
      </x:c>
      <x:c r="O388" s="24" t="inlineStr">
        <x:is>
          <x:t xml:space="preserve"/>
        </x:is>
      </x:c>
      <x:c r="P388" s="24" t="inlineStr">
        <x:is>
          <x:t xml:space="preserve"/>
        </x:is>
      </x:c>
      <x:c r="Q388" s="24" t="inlineStr">
        <x:is>
          <x:t xml:space="preserve"/>
        </x:is>
      </x:c>
      <x:c r="R388" s="24" t="inlineStr">
        <x:is>
          <x:t xml:space="preserve"/>
        </x:is>
      </x:c>
      <x:c r="S388" s="25">
        <x:f>IF(H388="","",IFERROR(H388/G388,""))</x:f>
      </x:c>
      <x:c r="T388" s="26">
        <x:f>IF(H388="","",IFERROR((J388+K388+L388+N388)/H388,""))</x:f>
      </x:c>
      <x:c r="U388" s="25">
        <x:f>IF(COUNTA(J388:L388,N388)=0,"",IFERROR(AVERAGE(J388:L388,N388),""))</x:f>
      </x:c>
      <x:c r="V388" s="17" t="inlineStr">
        <x:is>
          <x:t xml:space="preserve"/>
        </x:is>
      </x:c>
    </x:row>
    <x:row r="389">
      <x:c r="A389" s="16" t="inlineStr">
        <x:is>
          <x:t xml:space="preserve">P033</x:t>
        </x:is>
      </x:c>
      <x:c r="B389" s="16" t="n">
        <x:v>1</x:v>
      </x:c>
      <x:c r="C389" s="16" t="inlineStr">
        <x:is>
          <x:t xml:space="preserve">V12</x:t>
        </x:is>
      </x:c>
      <x:c r="D389" s="16" t="inlineStr">
        <x:is>
          <x:t xml:space="preserve">Time management</x:t>
        </x:is>
      </x:c>
      <x:c r="E389" s="16" t="inlineStr">
        <x:is>
          <x:t xml:space="preserve">Keyword highlight</x:t>
        </x:is>
      </x:c>
      <x:c r="F389" s="16" t="inlineStr">
        <x:is>
          <x:t xml:space="preserve">Audio-on</x:t>
        </x:is>
      </x:c>
      <x:c r="G389" s="21" t="n">
        <x:v>21</x:v>
      </x:c>
      <x:c r="H389" s="21" t="inlineStr">
        <x:is>
          <x:t xml:space="preserve"/>
        </x:is>
      </x:c>
      <x:c r="I389" s="21" t="inlineStr">
        <x:is>
          <x:t xml:space="preserve"/>
        </x:is>
      </x:c>
      <x:c r="J389" s="21" t="inlineStr">
        <x:is>
          <x:t xml:space="preserve"/>
        </x:is>
      </x:c>
      <x:c r="K389" s="21" t="inlineStr">
        <x:is>
          <x:t xml:space="preserve"/>
        </x:is>
      </x:c>
      <x:c r="L389" s="21" t="inlineStr">
        <x:is>
          <x:t xml:space="preserve"/>
        </x:is>
      </x:c>
      <x:c r="M389" s="21" t="inlineStr">
        <x:is>
          <x:t xml:space="preserve"/>
        </x:is>
      </x:c>
      <x:c r="N389" s="21" t="inlineStr">
        <x:is>
          <x:t xml:space="preserve"/>
        </x:is>
      </x:c>
      <x:c r="O389" s="21" t="inlineStr">
        <x:is>
          <x:t xml:space="preserve"/>
        </x:is>
      </x:c>
      <x:c r="P389" s="21" t="inlineStr">
        <x:is>
          <x:t xml:space="preserve"/>
        </x:is>
      </x:c>
      <x:c r="Q389" s="21" t="inlineStr">
        <x:is>
          <x:t xml:space="preserve"/>
        </x:is>
      </x:c>
      <x:c r="R389" s="21" t="inlineStr">
        <x:is>
          <x:t xml:space="preserve"/>
        </x:is>
      </x:c>
      <x:c r="S389" s="22">
        <x:f>IF(H389="","",IFERROR(H389/G389,""))</x:f>
      </x:c>
      <x:c r="T389" s="23">
        <x:f>IF(H389="","",IFERROR((J389+K389+L389+N389)/H389,""))</x:f>
      </x:c>
      <x:c r="U389" s="22">
        <x:f>IF(COUNTA(J389:L389,N389)=0,"",IFERROR(AVERAGE(J389:L389,N389),""))</x:f>
      </x:c>
      <x:c r="V389" s="16" t="inlineStr">
        <x:is>
          <x:t xml:space="preserve"/>
        </x:is>
      </x:c>
    </x:row>
    <x:row r="390">
      <x:c r="A390" s="17" t="inlineStr">
        <x:is>
          <x:t xml:space="preserve">P033</x:t>
        </x:is>
      </x:c>
      <x:c r="B390" s="17" t="n">
        <x:v>2</x:v>
      </x:c>
      <x:c r="C390" s="17" t="inlineStr">
        <x:is>
          <x:t xml:space="preserve">V03</x:t>
        </x:is>
      </x:c>
      <x:c r="D390" s="17" t="inlineStr">
        <x:is>
          <x:t xml:space="preserve">Fitness</x:t>
        </x:is>
      </x:c>
      <x:c r="E390" s="17" t="inlineStr">
        <x:is>
          <x:t xml:space="preserve">BCC+</x:t>
        </x:is>
      </x:c>
      <x:c r="F390" s="17" t="inlineStr">
        <x:is>
          <x:t xml:space="preserve">Audio-on</x:t>
        </x:is>
      </x:c>
      <x:c r="G390" s="24" t="n">
        <x:v>18</x:v>
      </x:c>
      <x:c r="H390" s="24" t="inlineStr">
        <x:is>
          <x:t xml:space="preserve"/>
        </x:is>
      </x:c>
      <x:c r="I390" s="24" t="inlineStr">
        <x:is>
          <x:t xml:space="preserve"/>
        </x:is>
      </x:c>
      <x:c r="J390" s="24" t="inlineStr">
        <x:is>
          <x:t xml:space="preserve"/>
        </x:is>
      </x:c>
      <x:c r="K390" s="24" t="inlineStr">
        <x:is>
          <x:t xml:space="preserve"/>
        </x:is>
      </x:c>
      <x:c r="L390" s="24" t="inlineStr">
        <x:is>
          <x:t xml:space="preserve"/>
        </x:is>
      </x:c>
      <x:c r="M390" s="24" t="inlineStr">
        <x:is>
          <x:t xml:space="preserve"/>
        </x:is>
      </x:c>
      <x:c r="N390" s="24" t="inlineStr">
        <x:is>
          <x:t xml:space="preserve"/>
        </x:is>
      </x:c>
      <x:c r="O390" s="24" t="inlineStr">
        <x:is>
          <x:t xml:space="preserve"/>
        </x:is>
      </x:c>
      <x:c r="P390" s="24" t="inlineStr">
        <x:is>
          <x:t xml:space="preserve"/>
        </x:is>
      </x:c>
      <x:c r="Q390" s="24" t="inlineStr">
        <x:is>
          <x:t xml:space="preserve"/>
        </x:is>
      </x:c>
      <x:c r="R390" s="24" t="inlineStr">
        <x:is>
          <x:t xml:space="preserve"/>
        </x:is>
      </x:c>
      <x:c r="S390" s="25">
        <x:f>IF(H390="","",IFERROR(H390/G390,""))</x:f>
      </x:c>
      <x:c r="T390" s="26">
        <x:f>IF(H390="","",IFERROR((J390+K390+L390+N390)/H390,""))</x:f>
      </x:c>
      <x:c r="U390" s="25">
        <x:f>IF(COUNTA(J390:L390,N390)=0,"",IFERROR(AVERAGE(J390:L390,N390),""))</x:f>
      </x:c>
      <x:c r="V390" s="17" t="inlineStr">
        <x:is>
          <x:t xml:space="preserve"/>
        </x:is>
      </x:c>
    </x:row>
    <x:row r="391">
      <x:c r="A391" s="16" t="inlineStr">
        <x:is>
          <x:t xml:space="preserve">P033</x:t>
        </x:is>
      </x:c>
      <x:c r="B391" s="16" t="n">
        <x:v>3</x:v>
      </x:c>
      <x:c r="C391" s="16" t="inlineStr">
        <x:is>
          <x:t xml:space="preserve">V10</x:t>
        </x:is>
      </x:c>
      <x:c r="D391" s="16" t="inlineStr">
        <x:is>
          <x:t xml:space="preserve">Product demo</x:t>
        </x:is>
      </x:c>
      <x:c r="E391" s="16" t="inlineStr">
        <x:is>
          <x:t xml:space="preserve">Heavy bionic</x:t>
        </x:is>
      </x:c>
      <x:c r="F391" s="16" t="inlineStr">
        <x:is>
          <x:t xml:space="preserve">Audio-on</x:t>
        </x:is>
      </x:c>
      <x:c r="G391" s="21" t="n">
        <x:v>15</x:v>
      </x:c>
      <x:c r="H391" s="21" t="inlineStr">
        <x:is>
          <x:t xml:space="preserve"/>
        </x:is>
      </x:c>
      <x:c r="I391" s="21" t="inlineStr">
        <x:is>
          <x:t xml:space="preserve"/>
        </x:is>
      </x:c>
      <x:c r="J391" s="21" t="inlineStr">
        <x:is>
          <x:t xml:space="preserve"/>
        </x:is>
      </x:c>
      <x:c r="K391" s="21" t="inlineStr">
        <x:is>
          <x:t xml:space="preserve"/>
        </x:is>
      </x:c>
      <x:c r="L391" s="21" t="inlineStr">
        <x:is>
          <x:t xml:space="preserve"/>
        </x:is>
      </x:c>
      <x:c r="M391" s="21" t="inlineStr">
        <x:is>
          <x:t xml:space="preserve"/>
        </x:is>
      </x:c>
      <x:c r="N391" s="21" t="inlineStr">
        <x:is>
          <x:t xml:space="preserve"/>
        </x:is>
      </x:c>
      <x:c r="O391" s="21" t="inlineStr">
        <x:is>
          <x:t xml:space="preserve"/>
        </x:is>
      </x:c>
      <x:c r="P391" s="21" t="inlineStr">
        <x:is>
          <x:t xml:space="preserve"/>
        </x:is>
      </x:c>
      <x:c r="Q391" s="21" t="inlineStr">
        <x:is>
          <x:t xml:space="preserve"/>
        </x:is>
      </x:c>
      <x:c r="R391" s="21" t="inlineStr">
        <x:is>
          <x:t xml:space="preserve"/>
        </x:is>
      </x:c>
      <x:c r="S391" s="22">
        <x:f>IF(H391="","",IFERROR(H391/G391,""))</x:f>
      </x:c>
      <x:c r="T391" s="23">
        <x:f>IF(H391="","",IFERROR((J391+K391+L391+N391)/H391,""))</x:f>
      </x:c>
      <x:c r="U391" s="22">
        <x:f>IF(COUNTA(J391:L391,N391)=0,"",IFERROR(AVERAGE(J391:L391,N391),""))</x:f>
      </x:c>
      <x:c r="V391" s="16" t="inlineStr">
        <x:is>
          <x:t xml:space="preserve"/>
        </x:is>
      </x:c>
    </x:row>
    <x:row r="392">
      <x:c r="A392" s="17" t="inlineStr">
        <x:is>
          <x:t xml:space="preserve">P033</x:t>
        </x:is>
      </x:c>
      <x:c r="B392" s="17" t="n">
        <x:v>4</x:v>
      </x:c>
      <x:c r="C392" s="17" t="inlineStr">
        <x:is>
          <x:t xml:space="preserve">V07</x:t>
        </x:is>
      </x:c>
      <x:c r="D392" s="17" t="inlineStr">
        <x:is>
          <x:t xml:space="preserve">Business</x:t>
        </x:is>
      </x:c>
      <x:c r="E392" s="17" t="inlineStr">
        <x:is>
          <x:t xml:space="preserve">Semantic compression</x:t>
        </x:is>
      </x:c>
      <x:c r="F392" s="17" t="inlineStr">
        <x:is>
          <x:t xml:space="preserve">Audio-on</x:t>
        </x:is>
      </x:c>
      <x:c r="G392" s="24" t="n">
        <x:v>18</x:v>
      </x:c>
      <x:c r="H392" s="24" t="inlineStr">
        <x:is>
          <x:t xml:space="preserve"/>
        </x:is>
      </x:c>
      <x:c r="I392" s="24" t="inlineStr">
        <x:is>
          <x:t xml:space="preserve"/>
        </x:is>
      </x:c>
      <x:c r="J392" s="24" t="inlineStr">
        <x:is>
          <x:t xml:space="preserve"/>
        </x:is>
      </x:c>
      <x:c r="K392" s="24" t="inlineStr">
        <x:is>
          <x:t xml:space="preserve"/>
        </x:is>
      </x:c>
      <x:c r="L392" s="24" t="inlineStr">
        <x:is>
          <x:t xml:space="preserve"/>
        </x:is>
      </x:c>
      <x:c r="M392" s="24" t="inlineStr">
        <x:is>
          <x:t xml:space="preserve"/>
        </x:is>
      </x:c>
      <x:c r="N392" s="24" t="inlineStr">
        <x:is>
          <x:t xml:space="preserve"/>
        </x:is>
      </x:c>
      <x:c r="O392" s="24" t="inlineStr">
        <x:is>
          <x:t xml:space="preserve"/>
        </x:is>
      </x:c>
      <x:c r="P392" s="24" t="inlineStr">
        <x:is>
          <x:t xml:space="preserve"/>
        </x:is>
      </x:c>
      <x:c r="Q392" s="24" t="inlineStr">
        <x:is>
          <x:t xml:space="preserve"/>
        </x:is>
      </x:c>
      <x:c r="R392" s="24" t="inlineStr">
        <x:is>
          <x:t xml:space="preserve"/>
        </x:is>
      </x:c>
      <x:c r="S392" s="25">
        <x:f>IF(H392="","",IFERROR(H392/G392,""))</x:f>
      </x:c>
      <x:c r="T392" s="26">
        <x:f>IF(H392="","",IFERROR((J392+K392+L392+N392)/H392,""))</x:f>
      </x:c>
      <x:c r="U392" s="25">
        <x:f>IF(COUNTA(J392:L392,N392)=0,"",IFERROR(AVERAGE(J392:L392,N392),""))</x:f>
      </x:c>
      <x:c r="V392" s="17" t="inlineStr">
        <x:is>
          <x:t xml:space="preserve"/>
        </x:is>
      </x:c>
    </x:row>
    <x:row r="393">
      <x:c r="A393" s="16" t="inlineStr">
        <x:is>
          <x:t xml:space="preserve">P033</x:t>
        </x:is>
      </x:c>
      <x:c r="B393" s="16" t="n">
        <x:v>5</x:v>
      </x:c>
      <x:c r="C393" s="16" t="inlineStr">
        <x:is>
          <x:t xml:space="preserve">V09</x:t>
        </x:is>
      </x:c>
      <x:c r="D393" s="16" t="inlineStr">
        <x:is>
          <x:t xml:space="preserve">Sleep habit</x:t>
        </x:is>
      </x:c>
      <x:c r="E393" s="16" t="inlineStr">
        <x:is>
          <x:t xml:space="preserve">BCC+</x:t>
        </x:is>
      </x:c>
      <x:c r="F393" s="16" t="inlineStr">
        <x:is>
          <x:t xml:space="preserve">Audio-on</x:t>
        </x:is>
      </x:c>
      <x:c r="G393" s="21" t="n">
        <x:v>19</x:v>
      </x:c>
      <x:c r="H393" s="21" t="inlineStr">
        <x:is>
          <x:t xml:space="preserve"/>
        </x:is>
      </x:c>
      <x:c r="I393" s="21" t="inlineStr">
        <x:is>
          <x:t xml:space="preserve"/>
        </x:is>
      </x:c>
      <x:c r="J393" s="21" t="inlineStr">
        <x:is>
          <x:t xml:space="preserve"/>
        </x:is>
      </x:c>
      <x:c r="K393" s="21" t="inlineStr">
        <x:is>
          <x:t xml:space="preserve"/>
        </x:is>
      </x:c>
      <x:c r="L393" s="21" t="inlineStr">
        <x:is>
          <x:t xml:space="preserve"/>
        </x:is>
      </x:c>
      <x:c r="M393" s="21" t="inlineStr">
        <x:is>
          <x:t xml:space="preserve"/>
        </x:is>
      </x:c>
      <x:c r="N393" s="21" t="inlineStr">
        <x:is>
          <x:t xml:space="preserve"/>
        </x:is>
      </x:c>
      <x:c r="O393" s="21" t="inlineStr">
        <x:is>
          <x:t xml:space="preserve"/>
        </x:is>
      </x:c>
      <x:c r="P393" s="21" t="inlineStr">
        <x:is>
          <x:t xml:space="preserve"/>
        </x:is>
      </x:c>
      <x:c r="Q393" s="21" t="inlineStr">
        <x:is>
          <x:t xml:space="preserve"/>
        </x:is>
      </x:c>
      <x:c r="R393" s="21" t="inlineStr">
        <x:is>
          <x:t xml:space="preserve"/>
        </x:is>
      </x:c>
      <x:c r="S393" s="22">
        <x:f>IF(H393="","",IFERROR(H393/G393,""))</x:f>
      </x:c>
      <x:c r="T393" s="23">
        <x:f>IF(H393="","",IFERROR((J393+K393+L393+N393)/H393,""))</x:f>
      </x:c>
      <x:c r="U393" s="22">
        <x:f>IF(COUNTA(J393:L393,N393)=0,"",IFERROR(AVERAGE(J393:L393,N393),""))</x:f>
      </x:c>
      <x:c r="V393" s="16" t="inlineStr">
        <x:is>
          <x:t xml:space="preserve"/>
        </x:is>
      </x:c>
    </x:row>
    <x:row r="394">
      <x:c r="A394" s="17" t="inlineStr">
        <x:is>
          <x:t xml:space="preserve">P033</x:t>
        </x:is>
      </x:c>
      <x:c r="B394" s="17" t="n">
        <x:v>6</x:v>
      </x:c>
      <x:c r="C394" s="17" t="inlineStr">
        <x:is>
          <x:t xml:space="preserve">V01</x:t>
        </x:is>
      </x:c>
      <x:c r="D394" s="17" t="inlineStr">
        <x:is>
          <x:t xml:space="preserve">Productivity</x:t>
        </x:is>
      </x:c>
      <x:c r="E394" s="17" t="inlineStr">
        <x:is>
          <x:t xml:space="preserve">Semantic compression</x:t>
        </x:is>
      </x:c>
      <x:c r="F394" s="17" t="inlineStr">
        <x:is>
          <x:t xml:space="preserve">Audio-on</x:t>
        </x:is>
      </x:c>
      <x:c r="G394" s="24" t="n">
        <x:v>25</x:v>
      </x:c>
      <x:c r="H394" s="24" t="inlineStr">
        <x:is>
          <x:t xml:space="preserve"/>
        </x:is>
      </x:c>
      <x:c r="I394" s="24" t="inlineStr">
        <x:is>
          <x:t xml:space="preserve"/>
        </x:is>
      </x:c>
      <x:c r="J394" s="24" t="inlineStr">
        <x:is>
          <x:t xml:space="preserve"/>
        </x:is>
      </x:c>
      <x:c r="K394" s="24" t="inlineStr">
        <x:is>
          <x:t xml:space="preserve"/>
        </x:is>
      </x:c>
      <x:c r="L394" s="24" t="inlineStr">
        <x:is>
          <x:t xml:space="preserve"/>
        </x:is>
      </x:c>
      <x:c r="M394" s="24" t="inlineStr">
        <x:is>
          <x:t xml:space="preserve"/>
        </x:is>
      </x:c>
      <x:c r="N394" s="24" t="inlineStr">
        <x:is>
          <x:t xml:space="preserve"/>
        </x:is>
      </x:c>
      <x:c r="O394" s="24" t="inlineStr">
        <x:is>
          <x:t xml:space="preserve"/>
        </x:is>
      </x:c>
      <x:c r="P394" s="24" t="inlineStr">
        <x:is>
          <x:t xml:space="preserve"/>
        </x:is>
      </x:c>
      <x:c r="Q394" s="24" t="inlineStr">
        <x:is>
          <x:t xml:space="preserve"/>
        </x:is>
      </x:c>
      <x:c r="R394" s="24" t="inlineStr">
        <x:is>
          <x:t xml:space="preserve"/>
        </x:is>
      </x:c>
      <x:c r="S394" s="25">
        <x:f>IF(H394="","",IFERROR(H394/G394,""))</x:f>
      </x:c>
      <x:c r="T394" s="26">
        <x:f>IF(H394="","",IFERROR((J394+K394+L394+N394)/H394,""))</x:f>
      </x:c>
      <x:c r="U394" s="25">
        <x:f>IF(COUNTA(J394:L394,N394)=0,"",IFERROR(AVERAGE(J394:L394,N394),""))</x:f>
      </x:c>
      <x:c r="V394" s="17" t="inlineStr">
        <x:is>
          <x:t xml:space="preserve"/>
        </x:is>
      </x:c>
    </x:row>
    <x:row r="395">
      <x:c r="A395" s="16" t="inlineStr">
        <x:is>
          <x:t xml:space="preserve">P033</x:t>
        </x:is>
      </x:c>
      <x:c r="B395" s="16" t="n">
        <x:v>7</x:v>
      </x:c>
      <x:c r="C395" s="16" t="inlineStr">
        <x:is>
          <x:t xml:space="preserve">V06</x:t>
        </x:is>
      </x:c>
      <x:c r="D395" s="16" t="inlineStr">
        <x:is>
          <x:t xml:space="preserve">Overload</x:t>
        </x:is>
      </x:c>
      <x:c r="E395" s="16" t="inlineStr">
        <x:is>
          <x:t xml:space="preserve">Keyword highlight</x:t>
        </x:is>
      </x:c>
      <x:c r="F395" s="16" t="inlineStr">
        <x:is>
          <x:t xml:space="preserve">Audio-on</x:t>
        </x:is>
      </x:c>
      <x:c r="G395" s="21" t="n">
        <x:v>16</x:v>
      </x:c>
      <x:c r="H395" s="21" t="inlineStr">
        <x:is>
          <x:t xml:space="preserve"/>
        </x:is>
      </x:c>
      <x:c r="I395" s="21" t="inlineStr">
        <x:is>
          <x:t xml:space="preserve"/>
        </x:is>
      </x:c>
      <x:c r="J395" s="21" t="inlineStr">
        <x:is>
          <x:t xml:space="preserve"/>
        </x:is>
      </x:c>
      <x:c r="K395" s="21" t="inlineStr">
        <x:is>
          <x:t xml:space="preserve"/>
        </x:is>
      </x:c>
      <x:c r="L395" s="21" t="inlineStr">
        <x:is>
          <x:t xml:space="preserve"/>
        </x:is>
      </x:c>
      <x:c r="M395" s="21" t="inlineStr">
        <x:is>
          <x:t xml:space="preserve"/>
        </x:is>
      </x:c>
      <x:c r="N395" s="21" t="inlineStr">
        <x:is>
          <x:t xml:space="preserve"/>
        </x:is>
      </x:c>
      <x:c r="O395" s="21" t="inlineStr">
        <x:is>
          <x:t xml:space="preserve"/>
        </x:is>
      </x:c>
      <x:c r="P395" s="21" t="inlineStr">
        <x:is>
          <x:t xml:space="preserve"/>
        </x:is>
      </x:c>
      <x:c r="Q395" s="21" t="inlineStr">
        <x:is>
          <x:t xml:space="preserve"/>
        </x:is>
      </x:c>
      <x:c r="R395" s="21" t="inlineStr">
        <x:is>
          <x:t xml:space="preserve"/>
        </x:is>
      </x:c>
      <x:c r="S395" s="22">
        <x:f>IF(H395="","",IFERROR(H395/G395,""))</x:f>
      </x:c>
      <x:c r="T395" s="23">
        <x:f>IF(H395="","",IFERROR((J395+K395+L395+N395)/H395,""))</x:f>
      </x:c>
      <x:c r="U395" s="22">
        <x:f>IF(COUNTA(J395:L395,N395)=0,"",IFERROR(AVERAGE(J395:L395,N395),""))</x:f>
      </x:c>
      <x:c r="V395" s="16" t="inlineStr">
        <x:is>
          <x:t xml:space="preserve"/>
        </x:is>
      </x:c>
    </x:row>
    <x:row r="396">
      <x:c r="A396" s="17" t="inlineStr">
        <x:is>
          <x:t xml:space="preserve">P033</x:t>
        </x:is>
      </x:c>
      <x:c r="B396" s="17" t="n">
        <x:v>8</x:v>
      </x:c>
      <x:c r="C396" s="17" t="inlineStr">
        <x:is>
          <x:t xml:space="preserve">V02</x:t>
        </x:is>
      </x:c>
      <x:c r="D396" s="17" t="inlineStr">
        <x:is>
          <x:t xml:space="preserve">Study</x:t>
        </x:is>
      </x:c>
      <x:c r="E396" s="17" t="inlineStr">
        <x:is>
          <x:t xml:space="preserve">BCC</x:t>
        </x:is>
      </x:c>
      <x:c r="F396" s="17" t="inlineStr">
        <x:is>
          <x:t xml:space="preserve">Audio-on</x:t>
        </x:is>
      </x:c>
      <x:c r="G396" s="24" t="n">
        <x:v>18</x:v>
      </x:c>
      <x:c r="H396" s="24" t="inlineStr">
        <x:is>
          <x:t xml:space="preserve"/>
        </x:is>
      </x:c>
      <x:c r="I396" s="24" t="inlineStr">
        <x:is>
          <x:t xml:space="preserve"/>
        </x:is>
      </x:c>
      <x:c r="J396" s="24" t="inlineStr">
        <x:is>
          <x:t xml:space="preserve"/>
        </x:is>
      </x:c>
      <x:c r="K396" s="24" t="inlineStr">
        <x:is>
          <x:t xml:space="preserve"/>
        </x:is>
      </x:c>
      <x:c r="L396" s="24" t="inlineStr">
        <x:is>
          <x:t xml:space="preserve"/>
        </x:is>
      </x:c>
      <x:c r="M396" s="24" t="inlineStr">
        <x:is>
          <x:t xml:space="preserve"/>
        </x:is>
      </x:c>
      <x:c r="N396" s="24" t="inlineStr">
        <x:is>
          <x:t xml:space="preserve"/>
        </x:is>
      </x:c>
      <x:c r="O396" s="24" t="inlineStr">
        <x:is>
          <x:t xml:space="preserve"/>
        </x:is>
      </x:c>
      <x:c r="P396" s="24" t="inlineStr">
        <x:is>
          <x:t xml:space="preserve"/>
        </x:is>
      </x:c>
      <x:c r="Q396" s="24" t="inlineStr">
        <x:is>
          <x:t xml:space="preserve"/>
        </x:is>
      </x:c>
      <x:c r="R396" s="24" t="inlineStr">
        <x:is>
          <x:t xml:space="preserve"/>
        </x:is>
      </x:c>
      <x:c r="S396" s="25">
        <x:f>IF(H396="","",IFERROR(H396/G396,""))</x:f>
      </x:c>
      <x:c r="T396" s="26">
        <x:f>IF(H396="","",IFERROR((J396+K396+L396+N396)/H396,""))</x:f>
      </x:c>
      <x:c r="U396" s="25">
        <x:f>IF(COUNTA(J396:L396,N396)=0,"",IFERROR(AVERAGE(J396:L396,N396),""))</x:f>
      </x:c>
      <x:c r="V396" s="17" t="inlineStr">
        <x:is>
          <x:t xml:space="preserve"/>
        </x:is>
      </x:c>
    </x:row>
    <x:row r="397">
      <x:c r="A397" s="16" t="inlineStr">
        <x:is>
          <x:t xml:space="preserve">P033</x:t>
        </x:is>
      </x:c>
      <x:c r="B397" s="16" t="n">
        <x:v>9</x:v>
      </x:c>
      <x:c r="C397" s="16" t="inlineStr">
        <x:is>
          <x:t xml:space="preserve">V08</x:t>
        </x:is>
      </x:c>
      <x:c r="D397" s="16" t="inlineStr">
        <x:is>
          <x:t xml:space="preserve">Coding</x:t>
        </x:is>
      </x:c>
      <x:c r="E397" s="16" t="inlineStr">
        <x:is>
          <x:t xml:space="preserve">BCC</x:t>
        </x:is>
      </x:c>
      <x:c r="F397" s="16" t="inlineStr">
        <x:is>
          <x:t xml:space="preserve">Audio-on</x:t>
        </x:is>
      </x:c>
      <x:c r="G397" s="21" t="n">
        <x:v>24</x:v>
      </x:c>
      <x:c r="H397" s="21" t="inlineStr">
        <x:is>
          <x:t xml:space="preserve"/>
        </x:is>
      </x:c>
      <x:c r="I397" s="21" t="inlineStr">
        <x:is>
          <x:t xml:space="preserve"/>
        </x:is>
      </x:c>
      <x:c r="J397" s="21" t="inlineStr">
        <x:is>
          <x:t xml:space="preserve"/>
        </x:is>
      </x:c>
      <x:c r="K397" s="21" t="inlineStr">
        <x:is>
          <x:t xml:space="preserve"/>
        </x:is>
      </x:c>
      <x:c r="L397" s="21" t="inlineStr">
        <x:is>
          <x:t xml:space="preserve"/>
        </x:is>
      </x:c>
      <x:c r="M397" s="21" t="inlineStr">
        <x:is>
          <x:t xml:space="preserve"/>
        </x:is>
      </x:c>
      <x:c r="N397" s="21" t="inlineStr">
        <x:is>
          <x:t xml:space="preserve"/>
        </x:is>
      </x:c>
      <x:c r="O397" s="21" t="inlineStr">
        <x:is>
          <x:t xml:space="preserve"/>
        </x:is>
      </x:c>
      <x:c r="P397" s="21" t="inlineStr">
        <x:is>
          <x:t xml:space="preserve"/>
        </x:is>
      </x:c>
      <x:c r="Q397" s="21" t="inlineStr">
        <x:is>
          <x:t xml:space="preserve"/>
        </x:is>
      </x:c>
      <x:c r="R397" s="21" t="inlineStr">
        <x:is>
          <x:t xml:space="preserve"/>
        </x:is>
      </x:c>
      <x:c r="S397" s="22">
        <x:f>IF(H397="","",IFERROR(H397/G397,""))</x:f>
      </x:c>
      <x:c r="T397" s="23">
        <x:f>IF(H397="","",IFERROR((J397+K397+L397+N397)/H397,""))</x:f>
      </x:c>
      <x:c r="U397" s="22">
        <x:f>IF(COUNTA(J397:L397,N397)=0,"",IFERROR(AVERAGE(J397:L397,N397),""))</x:f>
      </x:c>
      <x:c r="V397" s="16" t="inlineStr">
        <x:is>
          <x:t xml:space="preserve"/>
        </x:is>
      </x:c>
    </x:row>
    <x:row r="398">
      <x:c r="A398" s="17" t="inlineStr">
        <x:is>
          <x:t xml:space="preserve">P033</x:t>
        </x:is>
      </x:c>
      <x:c r="B398" s="17" t="n">
        <x:v>10</x:v>
      </x:c>
      <x:c r="C398" s="17" t="inlineStr">
        <x:is>
          <x:t xml:space="preserve">V05</x:t>
        </x:is>
      </x:c>
      <x:c r="D398" s="17" t="inlineStr">
        <x:is>
          <x:t xml:space="preserve">Tutorial</x:t>
        </x:is>
      </x:c>
      <x:c r="E398" s="17" t="inlineStr">
        <x:is>
          <x:t xml:space="preserve">Full transcript</x:t>
        </x:is>
      </x:c>
      <x:c r="F398" s="17" t="inlineStr">
        <x:is>
          <x:t xml:space="preserve">Audio-on</x:t>
        </x:is>
      </x:c>
      <x:c r="G398" s="24" t="n">
        <x:v>20</x:v>
      </x:c>
      <x:c r="H398" s="24" t="inlineStr">
        <x:is>
          <x:t xml:space="preserve"/>
        </x:is>
      </x:c>
      <x:c r="I398" s="24" t="inlineStr">
        <x:is>
          <x:t xml:space="preserve"/>
        </x:is>
      </x:c>
      <x:c r="J398" s="24" t="inlineStr">
        <x:is>
          <x:t xml:space="preserve"/>
        </x:is>
      </x:c>
      <x:c r="K398" s="24" t="inlineStr">
        <x:is>
          <x:t xml:space="preserve"/>
        </x:is>
      </x:c>
      <x:c r="L398" s="24" t="inlineStr">
        <x:is>
          <x:t xml:space="preserve"/>
        </x:is>
      </x:c>
      <x:c r="M398" s="24" t="inlineStr">
        <x:is>
          <x:t xml:space="preserve"/>
        </x:is>
      </x:c>
      <x:c r="N398" s="24" t="inlineStr">
        <x:is>
          <x:t xml:space="preserve"/>
        </x:is>
      </x:c>
      <x:c r="O398" s="24" t="inlineStr">
        <x:is>
          <x:t xml:space="preserve"/>
        </x:is>
      </x:c>
      <x:c r="P398" s="24" t="inlineStr">
        <x:is>
          <x:t xml:space="preserve"/>
        </x:is>
      </x:c>
      <x:c r="Q398" s="24" t="inlineStr">
        <x:is>
          <x:t xml:space="preserve"/>
        </x:is>
      </x:c>
      <x:c r="R398" s="24" t="inlineStr">
        <x:is>
          <x:t xml:space="preserve"/>
        </x:is>
      </x:c>
      <x:c r="S398" s="25">
        <x:f>IF(H398="","",IFERROR(H398/G398,""))</x:f>
      </x:c>
      <x:c r="T398" s="26">
        <x:f>IF(H398="","",IFERROR((J398+K398+L398+N398)/H398,""))</x:f>
      </x:c>
      <x:c r="U398" s="25">
        <x:f>IF(COUNTA(J398:L398,N398)=0,"",IFERROR(AVERAGE(J398:L398,N398),""))</x:f>
      </x:c>
      <x:c r="V398" s="17" t="inlineStr">
        <x:is>
          <x:t xml:space="preserve"/>
        </x:is>
      </x:c>
    </x:row>
    <x:row r="399">
      <x:c r="A399" s="16" t="inlineStr">
        <x:is>
          <x:t xml:space="preserve">P033</x:t>
        </x:is>
      </x:c>
      <x:c r="B399" s="16" t="n">
        <x:v>11</x:v>
      </x:c>
      <x:c r="C399" s="16" t="inlineStr">
        <x:is>
          <x:t xml:space="preserve">V04</x:t>
        </x:is>
      </x:c>
      <x:c r="D399" s="16" t="inlineStr">
        <x:is>
          <x:t xml:space="preserve">Finance</x:t>
        </x:is>
      </x:c>
      <x:c r="E399" s="16" t="inlineStr">
        <x:is>
          <x:t xml:space="preserve">Heavy bionic</x:t>
        </x:is>
      </x:c>
      <x:c r="F399" s="16" t="inlineStr">
        <x:is>
          <x:t xml:space="preserve">Audio-on</x:t>
        </x:is>
      </x:c>
      <x:c r="G399" s="21" t="n">
        <x:v>20</x:v>
      </x:c>
      <x:c r="H399" s="21" t="inlineStr">
        <x:is>
          <x:t xml:space="preserve"/>
        </x:is>
      </x:c>
      <x:c r="I399" s="21" t="inlineStr">
        <x:is>
          <x:t xml:space="preserve"/>
        </x:is>
      </x:c>
      <x:c r="J399" s="21" t="inlineStr">
        <x:is>
          <x:t xml:space="preserve"/>
        </x:is>
      </x:c>
      <x:c r="K399" s="21" t="inlineStr">
        <x:is>
          <x:t xml:space="preserve"/>
        </x:is>
      </x:c>
      <x:c r="L399" s="21" t="inlineStr">
        <x:is>
          <x:t xml:space="preserve"/>
        </x:is>
      </x:c>
      <x:c r="M399" s="21" t="inlineStr">
        <x:is>
          <x:t xml:space="preserve"/>
        </x:is>
      </x:c>
      <x:c r="N399" s="21" t="inlineStr">
        <x:is>
          <x:t xml:space="preserve"/>
        </x:is>
      </x:c>
      <x:c r="O399" s="21" t="inlineStr">
        <x:is>
          <x:t xml:space="preserve"/>
        </x:is>
      </x:c>
      <x:c r="P399" s="21" t="inlineStr">
        <x:is>
          <x:t xml:space="preserve"/>
        </x:is>
      </x:c>
      <x:c r="Q399" s="21" t="inlineStr">
        <x:is>
          <x:t xml:space="preserve"/>
        </x:is>
      </x:c>
      <x:c r="R399" s="21" t="inlineStr">
        <x:is>
          <x:t xml:space="preserve"/>
        </x:is>
      </x:c>
      <x:c r="S399" s="22">
        <x:f>IF(H399="","",IFERROR(H399/G399,""))</x:f>
      </x:c>
      <x:c r="T399" s="23">
        <x:f>IF(H399="","",IFERROR((J399+K399+L399+N399)/H399,""))</x:f>
      </x:c>
      <x:c r="U399" s="22">
        <x:f>IF(COUNTA(J399:L399,N399)=0,"",IFERROR(AVERAGE(J399:L399,N399),""))</x:f>
      </x:c>
      <x:c r="V399" s="16" t="inlineStr">
        <x:is>
          <x:t xml:space="preserve"/>
        </x:is>
      </x:c>
    </x:row>
    <x:row r="400">
      <x:c r="A400" s="17" t="inlineStr">
        <x:is>
          <x:t xml:space="preserve">P033</x:t>
        </x:is>
      </x:c>
      <x:c r="B400" s="17" t="n">
        <x:v>12</x:v>
      </x:c>
      <x:c r="C400" s="17" t="inlineStr">
        <x:is>
          <x:t xml:space="preserve">V11</x:t>
        </x:is>
      </x:c>
      <x:c r="D400" s="17" t="inlineStr">
        <x:is>
          <x:t xml:space="preserve">Creator strategy</x:t>
        </x:is>
      </x:c>
      <x:c r="E400" s="17" t="inlineStr">
        <x:is>
          <x:t xml:space="preserve">Full transcript</x:t>
        </x:is>
      </x:c>
      <x:c r="F400" s="17" t="inlineStr">
        <x:is>
          <x:t xml:space="preserve">Audio-on</x:t>
        </x:is>
      </x:c>
      <x:c r="G400" s="24" t="n">
        <x:v>17</x:v>
      </x:c>
      <x:c r="H400" s="24" t="inlineStr">
        <x:is>
          <x:t xml:space="preserve"/>
        </x:is>
      </x:c>
      <x:c r="I400" s="24" t="inlineStr">
        <x:is>
          <x:t xml:space="preserve"/>
        </x:is>
      </x:c>
      <x:c r="J400" s="24" t="inlineStr">
        <x:is>
          <x:t xml:space="preserve"/>
        </x:is>
      </x:c>
      <x:c r="K400" s="24" t="inlineStr">
        <x:is>
          <x:t xml:space="preserve"/>
        </x:is>
      </x:c>
      <x:c r="L400" s="24" t="inlineStr">
        <x:is>
          <x:t xml:space="preserve"/>
        </x:is>
      </x:c>
      <x:c r="M400" s="24" t="inlineStr">
        <x:is>
          <x:t xml:space="preserve"/>
        </x:is>
      </x:c>
      <x:c r="N400" s="24" t="inlineStr">
        <x:is>
          <x:t xml:space="preserve"/>
        </x:is>
      </x:c>
      <x:c r="O400" s="24" t="inlineStr">
        <x:is>
          <x:t xml:space="preserve"/>
        </x:is>
      </x:c>
      <x:c r="P400" s="24" t="inlineStr">
        <x:is>
          <x:t xml:space="preserve"/>
        </x:is>
      </x:c>
      <x:c r="Q400" s="24" t="inlineStr">
        <x:is>
          <x:t xml:space="preserve"/>
        </x:is>
      </x:c>
      <x:c r="R400" s="24" t="inlineStr">
        <x:is>
          <x:t xml:space="preserve"/>
        </x:is>
      </x:c>
      <x:c r="S400" s="25">
        <x:f>IF(H400="","",IFERROR(H400/G400,""))</x:f>
      </x:c>
      <x:c r="T400" s="26">
        <x:f>IF(H400="","",IFERROR((J400+K400+L400+N400)/H400,""))</x:f>
      </x:c>
      <x:c r="U400" s="25">
        <x:f>IF(COUNTA(J400:L400,N400)=0,"",IFERROR(AVERAGE(J400:L400,N400),""))</x:f>
      </x:c>
      <x:c r="V400" s="17" t="inlineStr">
        <x:is>
          <x:t xml:space="preserve"/>
        </x:is>
      </x:c>
    </x:row>
    <x:row r="401">
      <x:c r="A401" s="16" t="inlineStr">
        <x:is>
          <x:t xml:space="preserve">P034</x:t>
        </x:is>
      </x:c>
      <x:c r="B401" s="16" t="n">
        <x:v>1</x:v>
      </x:c>
      <x:c r="C401" s="16" t="inlineStr">
        <x:is>
          <x:t xml:space="preserve">V05</x:t>
        </x:is>
      </x:c>
      <x:c r="D401" s="16" t="inlineStr">
        <x:is>
          <x:t xml:space="preserve">Tutorial</x:t>
        </x:is>
      </x:c>
      <x:c r="E401" s="16" t="inlineStr">
        <x:is>
          <x:t xml:space="preserve">Keyword highlight</x:t>
        </x:is>
      </x:c>
      <x:c r="F401" s="16" t="inlineStr">
        <x:is>
          <x:t xml:space="preserve">Audio-on</x:t>
        </x:is>
      </x:c>
      <x:c r="G401" s="21" t="n">
        <x:v>20</x:v>
      </x:c>
      <x:c r="H401" s="21" t="inlineStr">
        <x:is>
          <x:t xml:space="preserve"/>
        </x:is>
      </x:c>
      <x:c r="I401" s="21" t="inlineStr">
        <x:is>
          <x:t xml:space="preserve"/>
        </x:is>
      </x:c>
      <x:c r="J401" s="21" t="inlineStr">
        <x:is>
          <x:t xml:space="preserve"/>
        </x:is>
      </x:c>
      <x:c r="K401" s="21" t="inlineStr">
        <x:is>
          <x:t xml:space="preserve"/>
        </x:is>
      </x:c>
      <x:c r="L401" s="21" t="inlineStr">
        <x:is>
          <x:t xml:space="preserve"/>
        </x:is>
      </x:c>
      <x:c r="M401" s="21" t="inlineStr">
        <x:is>
          <x:t xml:space="preserve"/>
        </x:is>
      </x:c>
      <x:c r="N401" s="21" t="inlineStr">
        <x:is>
          <x:t xml:space="preserve"/>
        </x:is>
      </x:c>
      <x:c r="O401" s="21" t="inlineStr">
        <x:is>
          <x:t xml:space="preserve"/>
        </x:is>
      </x:c>
      <x:c r="P401" s="21" t="inlineStr">
        <x:is>
          <x:t xml:space="preserve"/>
        </x:is>
      </x:c>
      <x:c r="Q401" s="21" t="inlineStr">
        <x:is>
          <x:t xml:space="preserve"/>
        </x:is>
      </x:c>
      <x:c r="R401" s="21" t="inlineStr">
        <x:is>
          <x:t xml:space="preserve"/>
        </x:is>
      </x:c>
      <x:c r="S401" s="22">
        <x:f>IF(H401="","",IFERROR(H401/G401,""))</x:f>
      </x:c>
      <x:c r="T401" s="23">
        <x:f>IF(H401="","",IFERROR((J401+K401+L401+N401)/H401,""))</x:f>
      </x:c>
      <x:c r="U401" s="22">
        <x:f>IF(COUNTA(J401:L401,N401)=0,"",IFERROR(AVERAGE(J401:L401,N401),""))</x:f>
      </x:c>
      <x:c r="V401" s="16" t="inlineStr">
        <x:is>
          <x:t xml:space="preserve"/>
        </x:is>
      </x:c>
    </x:row>
    <x:row r="402">
      <x:c r="A402" s="17" t="inlineStr">
        <x:is>
          <x:t xml:space="preserve">P034</x:t>
        </x:is>
      </x:c>
      <x:c r="B402" s="17" t="n">
        <x:v>2</x:v>
      </x:c>
      <x:c r="C402" s="17" t="inlineStr">
        <x:is>
          <x:t xml:space="preserve">V03</x:t>
        </x:is>
      </x:c>
      <x:c r="D402" s="17" t="inlineStr">
        <x:is>
          <x:t xml:space="preserve">Fitness</x:t>
        </x:is>
      </x:c>
      <x:c r="E402" s="17" t="inlineStr">
        <x:is>
          <x:t xml:space="preserve">Heavy bionic</x:t>
        </x:is>
      </x:c>
      <x:c r="F402" s="17" t="inlineStr">
        <x:is>
          <x:t xml:space="preserve">Audio-on</x:t>
        </x:is>
      </x:c>
      <x:c r="G402" s="24" t="n">
        <x:v>18</x:v>
      </x:c>
      <x:c r="H402" s="24" t="inlineStr">
        <x:is>
          <x:t xml:space="preserve"/>
        </x:is>
      </x:c>
      <x:c r="I402" s="24" t="inlineStr">
        <x:is>
          <x:t xml:space="preserve"/>
        </x:is>
      </x:c>
      <x:c r="J402" s="24" t="inlineStr">
        <x:is>
          <x:t xml:space="preserve"/>
        </x:is>
      </x:c>
      <x:c r="K402" s="24" t="inlineStr">
        <x:is>
          <x:t xml:space="preserve"/>
        </x:is>
      </x:c>
      <x:c r="L402" s="24" t="inlineStr">
        <x:is>
          <x:t xml:space="preserve"/>
        </x:is>
      </x:c>
      <x:c r="M402" s="24" t="inlineStr">
        <x:is>
          <x:t xml:space="preserve"/>
        </x:is>
      </x:c>
      <x:c r="N402" s="24" t="inlineStr">
        <x:is>
          <x:t xml:space="preserve"/>
        </x:is>
      </x:c>
      <x:c r="O402" s="24" t="inlineStr">
        <x:is>
          <x:t xml:space="preserve"/>
        </x:is>
      </x:c>
      <x:c r="P402" s="24" t="inlineStr">
        <x:is>
          <x:t xml:space="preserve"/>
        </x:is>
      </x:c>
      <x:c r="Q402" s="24" t="inlineStr">
        <x:is>
          <x:t xml:space="preserve"/>
        </x:is>
      </x:c>
      <x:c r="R402" s="24" t="inlineStr">
        <x:is>
          <x:t xml:space="preserve"/>
        </x:is>
      </x:c>
      <x:c r="S402" s="25">
        <x:f>IF(H402="","",IFERROR(H402/G402,""))</x:f>
      </x:c>
      <x:c r="T402" s="26">
        <x:f>IF(H402="","",IFERROR((J402+K402+L402+N402)/H402,""))</x:f>
      </x:c>
      <x:c r="U402" s="25">
        <x:f>IF(COUNTA(J402:L402,N402)=0,"",IFERROR(AVERAGE(J402:L402,N402),""))</x:f>
      </x:c>
      <x:c r="V402" s="17" t="inlineStr">
        <x:is>
          <x:t xml:space="preserve"/>
        </x:is>
      </x:c>
    </x:row>
    <x:row r="403">
      <x:c r="A403" s="16" t="inlineStr">
        <x:is>
          <x:t xml:space="preserve">P034</x:t>
        </x:is>
      </x:c>
      <x:c r="B403" s="16" t="n">
        <x:v>3</x:v>
      </x:c>
      <x:c r="C403" s="16" t="inlineStr">
        <x:is>
          <x:t xml:space="preserve">V06</x:t>
        </x:is>
      </x:c>
      <x:c r="D403" s="16" t="inlineStr">
        <x:is>
          <x:t xml:space="preserve">Overload</x:t>
        </x:is>
      </x:c>
      <x:c r="E403" s="16" t="inlineStr">
        <x:is>
          <x:t xml:space="preserve">Semantic compression</x:t>
        </x:is>
      </x:c>
      <x:c r="F403" s="16" t="inlineStr">
        <x:is>
          <x:t xml:space="preserve">Audio-on</x:t>
        </x:is>
      </x:c>
      <x:c r="G403" s="21" t="n">
        <x:v>16</x:v>
      </x:c>
      <x:c r="H403" s="21" t="inlineStr">
        <x:is>
          <x:t xml:space="preserve"/>
        </x:is>
      </x:c>
      <x:c r="I403" s="21" t="inlineStr">
        <x:is>
          <x:t xml:space="preserve"/>
        </x:is>
      </x:c>
      <x:c r="J403" s="21" t="inlineStr">
        <x:is>
          <x:t xml:space="preserve"/>
        </x:is>
      </x:c>
      <x:c r="K403" s="21" t="inlineStr">
        <x:is>
          <x:t xml:space="preserve"/>
        </x:is>
      </x:c>
      <x:c r="L403" s="21" t="inlineStr">
        <x:is>
          <x:t xml:space="preserve"/>
        </x:is>
      </x:c>
      <x:c r="M403" s="21" t="inlineStr">
        <x:is>
          <x:t xml:space="preserve"/>
        </x:is>
      </x:c>
      <x:c r="N403" s="21" t="inlineStr">
        <x:is>
          <x:t xml:space="preserve"/>
        </x:is>
      </x:c>
      <x:c r="O403" s="21" t="inlineStr">
        <x:is>
          <x:t xml:space="preserve"/>
        </x:is>
      </x:c>
      <x:c r="P403" s="21" t="inlineStr">
        <x:is>
          <x:t xml:space="preserve"/>
        </x:is>
      </x:c>
      <x:c r="Q403" s="21" t="inlineStr">
        <x:is>
          <x:t xml:space="preserve"/>
        </x:is>
      </x:c>
      <x:c r="R403" s="21" t="inlineStr">
        <x:is>
          <x:t xml:space="preserve"/>
        </x:is>
      </x:c>
      <x:c r="S403" s="22">
        <x:f>IF(H403="","",IFERROR(H403/G403,""))</x:f>
      </x:c>
      <x:c r="T403" s="23">
        <x:f>IF(H403="","",IFERROR((J403+K403+L403+N403)/H403,""))</x:f>
      </x:c>
      <x:c r="U403" s="22">
        <x:f>IF(COUNTA(J403:L403,N403)=0,"",IFERROR(AVERAGE(J403:L403,N403),""))</x:f>
      </x:c>
      <x:c r="V403" s="16" t="inlineStr">
        <x:is>
          <x:t xml:space="preserve"/>
        </x:is>
      </x:c>
    </x:row>
    <x:row r="404">
      <x:c r="A404" s="17" t="inlineStr">
        <x:is>
          <x:t xml:space="preserve">P034</x:t>
        </x:is>
      </x:c>
      <x:c r="B404" s="17" t="n">
        <x:v>4</x:v>
      </x:c>
      <x:c r="C404" s="17" t="inlineStr">
        <x:is>
          <x:t xml:space="preserve">V07</x:t>
        </x:is>
      </x:c>
      <x:c r="D404" s="17" t="inlineStr">
        <x:is>
          <x:t xml:space="preserve">Business</x:t>
        </x:is>
      </x:c>
      <x:c r="E404" s="17" t="inlineStr">
        <x:is>
          <x:t xml:space="preserve">BCC</x:t>
        </x:is>
      </x:c>
      <x:c r="F404" s="17" t="inlineStr">
        <x:is>
          <x:t xml:space="preserve">Audio-on</x:t>
        </x:is>
      </x:c>
      <x:c r="G404" s="24" t="n">
        <x:v>18</x:v>
      </x:c>
      <x:c r="H404" s="24" t="inlineStr">
        <x:is>
          <x:t xml:space="preserve"/>
        </x:is>
      </x:c>
      <x:c r="I404" s="24" t="inlineStr">
        <x:is>
          <x:t xml:space="preserve"/>
        </x:is>
      </x:c>
      <x:c r="J404" s="24" t="inlineStr">
        <x:is>
          <x:t xml:space="preserve"/>
        </x:is>
      </x:c>
      <x:c r="K404" s="24" t="inlineStr">
        <x:is>
          <x:t xml:space="preserve"/>
        </x:is>
      </x:c>
      <x:c r="L404" s="24" t="inlineStr">
        <x:is>
          <x:t xml:space="preserve"/>
        </x:is>
      </x:c>
      <x:c r="M404" s="24" t="inlineStr">
        <x:is>
          <x:t xml:space="preserve"/>
        </x:is>
      </x:c>
      <x:c r="N404" s="24" t="inlineStr">
        <x:is>
          <x:t xml:space="preserve"/>
        </x:is>
      </x:c>
      <x:c r="O404" s="24" t="inlineStr">
        <x:is>
          <x:t xml:space="preserve"/>
        </x:is>
      </x:c>
      <x:c r="P404" s="24" t="inlineStr">
        <x:is>
          <x:t xml:space="preserve"/>
        </x:is>
      </x:c>
      <x:c r="Q404" s="24" t="inlineStr">
        <x:is>
          <x:t xml:space="preserve"/>
        </x:is>
      </x:c>
      <x:c r="R404" s="24" t="inlineStr">
        <x:is>
          <x:t xml:space="preserve"/>
        </x:is>
      </x:c>
      <x:c r="S404" s="25">
        <x:f>IF(H404="","",IFERROR(H404/G404,""))</x:f>
      </x:c>
      <x:c r="T404" s="26">
        <x:f>IF(H404="","",IFERROR((J404+K404+L404+N404)/H404,""))</x:f>
      </x:c>
      <x:c r="U404" s="25">
        <x:f>IF(COUNTA(J404:L404,N404)=0,"",IFERROR(AVERAGE(J404:L404,N404),""))</x:f>
      </x:c>
      <x:c r="V404" s="17" t="inlineStr">
        <x:is>
          <x:t xml:space="preserve"/>
        </x:is>
      </x:c>
    </x:row>
    <x:row r="405">
      <x:c r="A405" s="16" t="inlineStr">
        <x:is>
          <x:t xml:space="preserve">P034</x:t>
        </x:is>
      </x:c>
      <x:c r="B405" s="16" t="n">
        <x:v>5</x:v>
      </x:c>
      <x:c r="C405" s="16" t="inlineStr">
        <x:is>
          <x:t xml:space="preserve">V08</x:t>
        </x:is>
      </x:c>
      <x:c r="D405" s="16" t="inlineStr">
        <x:is>
          <x:t xml:space="preserve">Coding</x:t>
        </x:is>
      </x:c>
      <x:c r="E405" s="16" t="inlineStr">
        <x:is>
          <x:t xml:space="preserve">BCC+</x:t>
        </x:is>
      </x:c>
      <x:c r="F405" s="16" t="inlineStr">
        <x:is>
          <x:t xml:space="preserve">Audio-on</x:t>
        </x:is>
      </x:c>
      <x:c r="G405" s="21" t="n">
        <x:v>24</x:v>
      </x:c>
      <x:c r="H405" s="21" t="inlineStr">
        <x:is>
          <x:t xml:space="preserve"/>
        </x:is>
      </x:c>
      <x:c r="I405" s="21" t="inlineStr">
        <x:is>
          <x:t xml:space="preserve"/>
        </x:is>
      </x:c>
      <x:c r="J405" s="21" t="inlineStr">
        <x:is>
          <x:t xml:space="preserve"/>
        </x:is>
      </x:c>
      <x:c r="K405" s="21" t="inlineStr">
        <x:is>
          <x:t xml:space="preserve"/>
        </x:is>
      </x:c>
      <x:c r="L405" s="21" t="inlineStr">
        <x:is>
          <x:t xml:space="preserve"/>
        </x:is>
      </x:c>
      <x:c r="M405" s="21" t="inlineStr">
        <x:is>
          <x:t xml:space="preserve"/>
        </x:is>
      </x:c>
      <x:c r="N405" s="21" t="inlineStr">
        <x:is>
          <x:t xml:space="preserve"/>
        </x:is>
      </x:c>
      <x:c r="O405" s="21" t="inlineStr">
        <x:is>
          <x:t xml:space="preserve"/>
        </x:is>
      </x:c>
      <x:c r="P405" s="21" t="inlineStr">
        <x:is>
          <x:t xml:space="preserve"/>
        </x:is>
      </x:c>
      <x:c r="Q405" s="21" t="inlineStr">
        <x:is>
          <x:t xml:space="preserve"/>
        </x:is>
      </x:c>
      <x:c r="R405" s="21" t="inlineStr">
        <x:is>
          <x:t xml:space="preserve"/>
        </x:is>
      </x:c>
      <x:c r="S405" s="22">
        <x:f>IF(H405="","",IFERROR(H405/G405,""))</x:f>
      </x:c>
      <x:c r="T405" s="23">
        <x:f>IF(H405="","",IFERROR((J405+K405+L405+N405)/H405,""))</x:f>
      </x:c>
      <x:c r="U405" s="22">
        <x:f>IF(COUNTA(J405:L405,N405)=0,"",IFERROR(AVERAGE(J405:L405,N405),""))</x:f>
      </x:c>
      <x:c r="V405" s="16" t="inlineStr">
        <x:is>
          <x:t xml:space="preserve"/>
        </x:is>
      </x:c>
    </x:row>
    <x:row r="406">
      <x:c r="A406" s="17" t="inlineStr">
        <x:is>
          <x:t xml:space="preserve">P034</x:t>
        </x:is>
      </x:c>
      <x:c r="B406" s="17" t="n">
        <x:v>6</x:v>
      </x:c>
      <x:c r="C406" s="17" t="inlineStr">
        <x:is>
          <x:t xml:space="preserve">V12</x:t>
        </x:is>
      </x:c>
      <x:c r="D406" s="17" t="inlineStr">
        <x:is>
          <x:t xml:space="preserve">Time management</x:t>
        </x:is>
      </x:c>
      <x:c r="E406" s="17" t="inlineStr">
        <x:is>
          <x:t xml:space="preserve">Semantic compression</x:t>
        </x:is>
      </x:c>
      <x:c r="F406" s="17" t="inlineStr">
        <x:is>
          <x:t xml:space="preserve">Audio-on</x:t>
        </x:is>
      </x:c>
      <x:c r="G406" s="24" t="n">
        <x:v>21</x:v>
      </x:c>
      <x:c r="H406" s="24" t="inlineStr">
        <x:is>
          <x:t xml:space="preserve"/>
        </x:is>
      </x:c>
      <x:c r="I406" s="24" t="inlineStr">
        <x:is>
          <x:t xml:space="preserve"/>
        </x:is>
      </x:c>
      <x:c r="J406" s="24" t="inlineStr">
        <x:is>
          <x:t xml:space="preserve"/>
        </x:is>
      </x:c>
      <x:c r="K406" s="24" t="inlineStr">
        <x:is>
          <x:t xml:space="preserve"/>
        </x:is>
      </x:c>
      <x:c r="L406" s="24" t="inlineStr">
        <x:is>
          <x:t xml:space="preserve"/>
        </x:is>
      </x:c>
      <x:c r="M406" s="24" t="inlineStr">
        <x:is>
          <x:t xml:space="preserve"/>
        </x:is>
      </x:c>
      <x:c r="N406" s="24" t="inlineStr">
        <x:is>
          <x:t xml:space="preserve"/>
        </x:is>
      </x:c>
      <x:c r="O406" s="24" t="inlineStr">
        <x:is>
          <x:t xml:space="preserve"/>
        </x:is>
      </x:c>
      <x:c r="P406" s="24" t="inlineStr">
        <x:is>
          <x:t xml:space="preserve"/>
        </x:is>
      </x:c>
      <x:c r="Q406" s="24" t="inlineStr">
        <x:is>
          <x:t xml:space="preserve"/>
        </x:is>
      </x:c>
      <x:c r="R406" s="24" t="inlineStr">
        <x:is>
          <x:t xml:space="preserve"/>
        </x:is>
      </x:c>
      <x:c r="S406" s="25">
        <x:f>IF(H406="","",IFERROR(H406/G406,""))</x:f>
      </x:c>
      <x:c r="T406" s="26">
        <x:f>IF(H406="","",IFERROR((J406+K406+L406+N406)/H406,""))</x:f>
      </x:c>
      <x:c r="U406" s="25">
        <x:f>IF(COUNTA(J406:L406,N406)=0,"",IFERROR(AVERAGE(J406:L406,N406),""))</x:f>
      </x:c>
      <x:c r="V406" s="17" t="inlineStr">
        <x:is>
          <x:t xml:space="preserve"/>
        </x:is>
      </x:c>
    </x:row>
    <x:row r="407">
      <x:c r="A407" s="16" t="inlineStr">
        <x:is>
          <x:t xml:space="preserve">P034</x:t>
        </x:is>
      </x:c>
      <x:c r="B407" s="16" t="n">
        <x:v>7</x:v>
      </x:c>
      <x:c r="C407" s="16" t="inlineStr">
        <x:is>
          <x:t xml:space="preserve">V04</x:t>
        </x:is>
      </x:c>
      <x:c r="D407" s="16" t="inlineStr">
        <x:is>
          <x:t xml:space="preserve">Finance</x:t>
        </x:is>
      </x:c>
      <x:c r="E407" s="16" t="inlineStr">
        <x:is>
          <x:t xml:space="preserve">Full transcript</x:t>
        </x:is>
      </x:c>
      <x:c r="F407" s="16" t="inlineStr">
        <x:is>
          <x:t xml:space="preserve">Audio-on</x:t>
        </x:is>
      </x:c>
      <x:c r="G407" s="21" t="n">
        <x:v>20</x:v>
      </x:c>
      <x:c r="H407" s="21" t="inlineStr">
        <x:is>
          <x:t xml:space="preserve"/>
        </x:is>
      </x:c>
      <x:c r="I407" s="21" t="inlineStr">
        <x:is>
          <x:t xml:space="preserve"/>
        </x:is>
      </x:c>
      <x:c r="J407" s="21" t="inlineStr">
        <x:is>
          <x:t xml:space="preserve"/>
        </x:is>
      </x:c>
      <x:c r="K407" s="21" t="inlineStr">
        <x:is>
          <x:t xml:space="preserve"/>
        </x:is>
      </x:c>
      <x:c r="L407" s="21" t="inlineStr">
        <x:is>
          <x:t xml:space="preserve"/>
        </x:is>
      </x:c>
      <x:c r="M407" s="21" t="inlineStr">
        <x:is>
          <x:t xml:space="preserve"/>
        </x:is>
      </x:c>
      <x:c r="N407" s="21" t="inlineStr">
        <x:is>
          <x:t xml:space="preserve"/>
        </x:is>
      </x:c>
      <x:c r="O407" s="21" t="inlineStr">
        <x:is>
          <x:t xml:space="preserve"/>
        </x:is>
      </x:c>
      <x:c r="P407" s="21" t="inlineStr">
        <x:is>
          <x:t xml:space="preserve"/>
        </x:is>
      </x:c>
      <x:c r="Q407" s="21" t="inlineStr">
        <x:is>
          <x:t xml:space="preserve"/>
        </x:is>
      </x:c>
      <x:c r="R407" s="21" t="inlineStr">
        <x:is>
          <x:t xml:space="preserve"/>
        </x:is>
      </x:c>
      <x:c r="S407" s="22">
        <x:f>IF(H407="","",IFERROR(H407/G407,""))</x:f>
      </x:c>
      <x:c r="T407" s="23">
        <x:f>IF(H407="","",IFERROR((J407+K407+L407+N407)/H407,""))</x:f>
      </x:c>
      <x:c r="U407" s="22">
        <x:f>IF(COUNTA(J407:L407,N407)=0,"",IFERROR(AVERAGE(J407:L407,N407),""))</x:f>
      </x:c>
      <x:c r="V407" s="16" t="inlineStr">
        <x:is>
          <x:t xml:space="preserve"/>
        </x:is>
      </x:c>
    </x:row>
    <x:row r="408">
      <x:c r="A408" s="17" t="inlineStr">
        <x:is>
          <x:t xml:space="preserve">P034</x:t>
        </x:is>
      </x:c>
      <x:c r="B408" s="17" t="n">
        <x:v>8</x:v>
      </x:c>
      <x:c r="C408" s="17" t="inlineStr">
        <x:is>
          <x:t xml:space="preserve">V09</x:t>
        </x:is>
      </x:c>
      <x:c r="D408" s="17" t="inlineStr">
        <x:is>
          <x:t xml:space="preserve">Sleep habit</x:t>
        </x:is>
      </x:c>
      <x:c r="E408" s="17" t="inlineStr">
        <x:is>
          <x:t xml:space="preserve">Heavy bionic</x:t>
        </x:is>
      </x:c>
      <x:c r="F408" s="17" t="inlineStr">
        <x:is>
          <x:t xml:space="preserve">Audio-on</x:t>
        </x:is>
      </x:c>
      <x:c r="G408" s="24" t="n">
        <x:v>19</x:v>
      </x:c>
      <x:c r="H408" s="24" t="inlineStr">
        <x:is>
          <x:t xml:space="preserve"/>
        </x:is>
      </x:c>
      <x:c r="I408" s="24" t="inlineStr">
        <x:is>
          <x:t xml:space="preserve"/>
        </x:is>
      </x:c>
      <x:c r="J408" s="24" t="inlineStr">
        <x:is>
          <x:t xml:space="preserve"/>
        </x:is>
      </x:c>
      <x:c r="K408" s="24" t="inlineStr">
        <x:is>
          <x:t xml:space="preserve"/>
        </x:is>
      </x:c>
      <x:c r="L408" s="24" t="inlineStr">
        <x:is>
          <x:t xml:space="preserve"/>
        </x:is>
      </x:c>
      <x:c r="M408" s="24" t="inlineStr">
        <x:is>
          <x:t xml:space="preserve"/>
        </x:is>
      </x:c>
      <x:c r="N408" s="24" t="inlineStr">
        <x:is>
          <x:t xml:space="preserve"/>
        </x:is>
      </x:c>
      <x:c r="O408" s="24" t="inlineStr">
        <x:is>
          <x:t xml:space="preserve"/>
        </x:is>
      </x:c>
      <x:c r="P408" s="24" t="inlineStr">
        <x:is>
          <x:t xml:space="preserve"/>
        </x:is>
      </x:c>
      <x:c r="Q408" s="24" t="inlineStr">
        <x:is>
          <x:t xml:space="preserve"/>
        </x:is>
      </x:c>
      <x:c r="R408" s="24" t="inlineStr">
        <x:is>
          <x:t xml:space="preserve"/>
        </x:is>
      </x:c>
      <x:c r="S408" s="25">
        <x:f>IF(H408="","",IFERROR(H408/G408,""))</x:f>
      </x:c>
      <x:c r="T408" s="26">
        <x:f>IF(H408="","",IFERROR((J408+K408+L408+N408)/H408,""))</x:f>
      </x:c>
      <x:c r="U408" s="25">
        <x:f>IF(COUNTA(J408:L408,N408)=0,"",IFERROR(AVERAGE(J408:L408,N408),""))</x:f>
      </x:c>
      <x:c r="V408" s="17" t="inlineStr">
        <x:is>
          <x:t xml:space="preserve"/>
        </x:is>
      </x:c>
    </x:row>
    <x:row r="409">
      <x:c r="A409" s="16" t="inlineStr">
        <x:is>
          <x:t xml:space="preserve">P034</x:t>
        </x:is>
      </x:c>
      <x:c r="B409" s="16" t="n">
        <x:v>9</x:v>
      </x:c>
      <x:c r="C409" s="16" t="inlineStr">
        <x:is>
          <x:t xml:space="preserve">V10</x:t>
        </x:is>
      </x:c>
      <x:c r="D409" s="16" t="inlineStr">
        <x:is>
          <x:t xml:space="preserve">Product demo</x:t>
        </x:is>
      </x:c>
      <x:c r="E409" s="16" t="inlineStr">
        <x:is>
          <x:t xml:space="preserve">Full transcript</x:t>
        </x:is>
      </x:c>
      <x:c r="F409" s="16" t="inlineStr">
        <x:is>
          <x:t xml:space="preserve">Audio-on</x:t>
        </x:is>
      </x:c>
      <x:c r="G409" s="21" t="n">
        <x:v>15</x:v>
      </x:c>
      <x:c r="H409" s="21" t="inlineStr">
        <x:is>
          <x:t xml:space="preserve"/>
        </x:is>
      </x:c>
      <x:c r="I409" s="21" t="inlineStr">
        <x:is>
          <x:t xml:space="preserve"/>
        </x:is>
      </x:c>
      <x:c r="J409" s="21" t="inlineStr">
        <x:is>
          <x:t xml:space="preserve"/>
        </x:is>
      </x:c>
      <x:c r="K409" s="21" t="inlineStr">
        <x:is>
          <x:t xml:space="preserve"/>
        </x:is>
      </x:c>
      <x:c r="L409" s="21" t="inlineStr">
        <x:is>
          <x:t xml:space="preserve"/>
        </x:is>
      </x:c>
      <x:c r="M409" s="21" t="inlineStr">
        <x:is>
          <x:t xml:space="preserve"/>
        </x:is>
      </x:c>
      <x:c r="N409" s="21" t="inlineStr">
        <x:is>
          <x:t xml:space="preserve"/>
        </x:is>
      </x:c>
      <x:c r="O409" s="21" t="inlineStr">
        <x:is>
          <x:t xml:space="preserve"/>
        </x:is>
      </x:c>
      <x:c r="P409" s="21" t="inlineStr">
        <x:is>
          <x:t xml:space="preserve"/>
        </x:is>
      </x:c>
      <x:c r="Q409" s="21" t="inlineStr">
        <x:is>
          <x:t xml:space="preserve"/>
        </x:is>
      </x:c>
      <x:c r="R409" s="21" t="inlineStr">
        <x:is>
          <x:t xml:space="preserve"/>
        </x:is>
      </x:c>
      <x:c r="S409" s="22">
        <x:f>IF(H409="","",IFERROR(H409/G409,""))</x:f>
      </x:c>
      <x:c r="T409" s="23">
        <x:f>IF(H409="","",IFERROR((J409+K409+L409+N409)/H409,""))</x:f>
      </x:c>
      <x:c r="U409" s="22">
        <x:f>IF(COUNTA(J409:L409,N409)=0,"",IFERROR(AVERAGE(J409:L409,N409),""))</x:f>
      </x:c>
      <x:c r="V409" s="16" t="inlineStr">
        <x:is>
          <x:t xml:space="preserve"/>
        </x:is>
      </x:c>
    </x:row>
    <x:row r="410">
      <x:c r="A410" s="17" t="inlineStr">
        <x:is>
          <x:t xml:space="preserve">P034</x:t>
        </x:is>
      </x:c>
      <x:c r="B410" s="17" t="n">
        <x:v>10</x:v>
      </x:c>
      <x:c r="C410" s="17" t="inlineStr">
        <x:is>
          <x:t xml:space="preserve">V02</x:t>
        </x:is>
      </x:c>
      <x:c r="D410" s="17" t="inlineStr">
        <x:is>
          <x:t xml:space="preserve">Study</x:t>
        </x:is>
      </x:c>
      <x:c r="E410" s="17" t="inlineStr">
        <x:is>
          <x:t xml:space="preserve">BCC+</x:t>
        </x:is>
      </x:c>
      <x:c r="F410" s="17" t="inlineStr">
        <x:is>
          <x:t xml:space="preserve">Audio-on</x:t>
        </x:is>
      </x:c>
      <x:c r="G410" s="24" t="n">
        <x:v>18</x:v>
      </x:c>
      <x:c r="H410" s="24" t="inlineStr">
        <x:is>
          <x:t xml:space="preserve"/>
        </x:is>
      </x:c>
      <x:c r="I410" s="24" t="inlineStr">
        <x:is>
          <x:t xml:space="preserve"/>
        </x:is>
      </x:c>
      <x:c r="J410" s="24" t="inlineStr">
        <x:is>
          <x:t xml:space="preserve"/>
        </x:is>
      </x:c>
      <x:c r="K410" s="24" t="inlineStr">
        <x:is>
          <x:t xml:space="preserve"/>
        </x:is>
      </x:c>
      <x:c r="L410" s="24" t="inlineStr">
        <x:is>
          <x:t xml:space="preserve"/>
        </x:is>
      </x:c>
      <x:c r="M410" s="24" t="inlineStr">
        <x:is>
          <x:t xml:space="preserve"/>
        </x:is>
      </x:c>
      <x:c r="N410" s="24" t="inlineStr">
        <x:is>
          <x:t xml:space="preserve"/>
        </x:is>
      </x:c>
      <x:c r="O410" s="24" t="inlineStr">
        <x:is>
          <x:t xml:space="preserve"/>
        </x:is>
      </x:c>
      <x:c r="P410" s="24" t="inlineStr">
        <x:is>
          <x:t xml:space="preserve"/>
        </x:is>
      </x:c>
      <x:c r="Q410" s="24" t="inlineStr">
        <x:is>
          <x:t xml:space="preserve"/>
        </x:is>
      </x:c>
      <x:c r="R410" s="24" t="inlineStr">
        <x:is>
          <x:t xml:space="preserve"/>
        </x:is>
      </x:c>
      <x:c r="S410" s="25">
        <x:f>IF(H410="","",IFERROR(H410/G410,""))</x:f>
      </x:c>
      <x:c r="T410" s="26">
        <x:f>IF(H410="","",IFERROR((J410+K410+L410+N410)/H410,""))</x:f>
      </x:c>
      <x:c r="U410" s="25">
        <x:f>IF(COUNTA(J410:L410,N410)=0,"",IFERROR(AVERAGE(J410:L410,N410),""))</x:f>
      </x:c>
      <x:c r="V410" s="17" t="inlineStr">
        <x:is>
          <x:t xml:space="preserve"/>
        </x:is>
      </x:c>
    </x:row>
    <x:row r="411">
      <x:c r="A411" s="16" t="inlineStr">
        <x:is>
          <x:t xml:space="preserve">P034</x:t>
        </x:is>
      </x:c>
      <x:c r="B411" s="16" t="n">
        <x:v>11</x:v>
      </x:c>
      <x:c r="C411" s="16" t="inlineStr">
        <x:is>
          <x:t xml:space="preserve">V11</x:t>
        </x:is>
      </x:c>
      <x:c r="D411" s="16" t="inlineStr">
        <x:is>
          <x:t xml:space="preserve">Creator strategy</x:t>
        </x:is>
      </x:c>
      <x:c r="E411" s="16" t="inlineStr">
        <x:is>
          <x:t xml:space="preserve">Keyword highlight</x:t>
        </x:is>
      </x:c>
      <x:c r="F411" s="16" t="inlineStr">
        <x:is>
          <x:t xml:space="preserve">Audio-on</x:t>
        </x:is>
      </x:c>
      <x:c r="G411" s="21" t="n">
        <x:v>17</x:v>
      </x:c>
      <x:c r="H411" s="21" t="inlineStr">
        <x:is>
          <x:t xml:space="preserve"/>
        </x:is>
      </x:c>
      <x:c r="I411" s="21" t="inlineStr">
        <x:is>
          <x:t xml:space="preserve"/>
        </x:is>
      </x:c>
      <x:c r="J411" s="21" t="inlineStr">
        <x:is>
          <x:t xml:space="preserve"/>
        </x:is>
      </x:c>
      <x:c r="K411" s="21" t="inlineStr">
        <x:is>
          <x:t xml:space="preserve"/>
        </x:is>
      </x:c>
      <x:c r="L411" s="21" t="inlineStr">
        <x:is>
          <x:t xml:space="preserve"/>
        </x:is>
      </x:c>
      <x:c r="M411" s="21" t="inlineStr">
        <x:is>
          <x:t xml:space="preserve"/>
        </x:is>
      </x:c>
      <x:c r="N411" s="21" t="inlineStr">
        <x:is>
          <x:t xml:space="preserve"/>
        </x:is>
      </x:c>
      <x:c r="O411" s="21" t="inlineStr">
        <x:is>
          <x:t xml:space="preserve"/>
        </x:is>
      </x:c>
      <x:c r="P411" s="21" t="inlineStr">
        <x:is>
          <x:t xml:space="preserve"/>
        </x:is>
      </x:c>
      <x:c r="Q411" s="21" t="inlineStr">
        <x:is>
          <x:t xml:space="preserve"/>
        </x:is>
      </x:c>
      <x:c r="R411" s="21" t="inlineStr">
        <x:is>
          <x:t xml:space="preserve"/>
        </x:is>
      </x:c>
      <x:c r="S411" s="22">
        <x:f>IF(H411="","",IFERROR(H411/G411,""))</x:f>
      </x:c>
      <x:c r="T411" s="23">
        <x:f>IF(H411="","",IFERROR((J411+K411+L411+N411)/H411,""))</x:f>
      </x:c>
      <x:c r="U411" s="22">
        <x:f>IF(COUNTA(J411:L411,N411)=0,"",IFERROR(AVERAGE(J411:L411,N411),""))</x:f>
      </x:c>
      <x:c r="V411" s="16" t="inlineStr">
        <x:is>
          <x:t xml:space="preserve"/>
        </x:is>
      </x:c>
    </x:row>
    <x:row r="412">
      <x:c r="A412" s="17" t="inlineStr">
        <x:is>
          <x:t xml:space="preserve">P034</x:t>
        </x:is>
      </x:c>
      <x:c r="B412" s="17" t="n">
        <x:v>12</x:v>
      </x:c>
      <x:c r="C412" s="17" t="inlineStr">
        <x:is>
          <x:t xml:space="preserve">V01</x:t>
        </x:is>
      </x:c>
      <x:c r="D412" s="17" t="inlineStr">
        <x:is>
          <x:t xml:space="preserve">Productivity</x:t>
        </x:is>
      </x:c>
      <x:c r="E412" s="17" t="inlineStr">
        <x:is>
          <x:t xml:space="preserve">BCC</x:t>
        </x:is>
      </x:c>
      <x:c r="F412" s="17" t="inlineStr">
        <x:is>
          <x:t xml:space="preserve">Audio-on</x:t>
        </x:is>
      </x:c>
      <x:c r="G412" s="24" t="n">
        <x:v>25</x:v>
      </x:c>
      <x:c r="H412" s="24" t="inlineStr">
        <x:is>
          <x:t xml:space="preserve"/>
        </x:is>
      </x:c>
      <x:c r="I412" s="24" t="inlineStr">
        <x:is>
          <x:t xml:space="preserve"/>
        </x:is>
      </x:c>
      <x:c r="J412" s="24" t="inlineStr">
        <x:is>
          <x:t xml:space="preserve"/>
        </x:is>
      </x:c>
      <x:c r="K412" s="24" t="inlineStr">
        <x:is>
          <x:t xml:space="preserve"/>
        </x:is>
      </x:c>
      <x:c r="L412" s="24" t="inlineStr">
        <x:is>
          <x:t xml:space="preserve"/>
        </x:is>
      </x:c>
      <x:c r="M412" s="24" t="inlineStr">
        <x:is>
          <x:t xml:space="preserve"/>
        </x:is>
      </x:c>
      <x:c r="N412" s="24" t="inlineStr">
        <x:is>
          <x:t xml:space="preserve"/>
        </x:is>
      </x:c>
      <x:c r="O412" s="24" t="inlineStr">
        <x:is>
          <x:t xml:space="preserve"/>
        </x:is>
      </x:c>
      <x:c r="P412" s="24" t="inlineStr">
        <x:is>
          <x:t xml:space="preserve"/>
        </x:is>
      </x:c>
      <x:c r="Q412" s="24" t="inlineStr">
        <x:is>
          <x:t xml:space="preserve"/>
        </x:is>
      </x:c>
      <x:c r="R412" s="24" t="inlineStr">
        <x:is>
          <x:t xml:space="preserve"/>
        </x:is>
      </x:c>
      <x:c r="S412" s="25">
        <x:f>IF(H412="","",IFERROR(H412/G412,""))</x:f>
      </x:c>
      <x:c r="T412" s="26">
        <x:f>IF(H412="","",IFERROR((J412+K412+L412+N412)/H412,""))</x:f>
      </x:c>
      <x:c r="U412" s="25">
        <x:f>IF(COUNTA(J412:L412,N412)=0,"",IFERROR(AVERAGE(J412:L412,N412),""))</x:f>
      </x:c>
      <x:c r="V412" s="17" t="inlineStr">
        <x:is>
          <x:t xml:space="preserve"/>
        </x:is>
      </x:c>
    </x:row>
    <x:row r="413">
      <x:c r="A413" s="16" t="inlineStr">
        <x:is>
          <x:t xml:space="preserve">P035</x:t>
        </x:is>
      </x:c>
      <x:c r="B413" s="16" t="n">
        <x:v>1</x:v>
      </x:c>
      <x:c r="C413" s="16" t="inlineStr">
        <x:is>
          <x:t xml:space="preserve">V02</x:t>
        </x:is>
      </x:c>
      <x:c r="D413" s="16" t="inlineStr">
        <x:is>
          <x:t xml:space="preserve">Study</x:t>
        </x:is>
      </x:c>
      <x:c r="E413" s="16" t="inlineStr">
        <x:is>
          <x:t xml:space="preserve">Heavy bionic</x:t>
        </x:is>
      </x:c>
      <x:c r="F413" s="16" t="inlineStr">
        <x:is>
          <x:t xml:space="preserve">Audio-on</x:t>
        </x:is>
      </x:c>
      <x:c r="G413" s="21" t="n">
        <x:v>18</x:v>
      </x:c>
      <x:c r="H413" s="21" t="inlineStr">
        <x:is>
          <x:t xml:space="preserve"/>
        </x:is>
      </x:c>
      <x:c r="I413" s="21" t="inlineStr">
        <x:is>
          <x:t xml:space="preserve"/>
        </x:is>
      </x:c>
      <x:c r="J413" s="21" t="inlineStr">
        <x:is>
          <x:t xml:space="preserve"/>
        </x:is>
      </x:c>
      <x:c r="K413" s="21" t="inlineStr">
        <x:is>
          <x:t xml:space="preserve"/>
        </x:is>
      </x:c>
      <x:c r="L413" s="21" t="inlineStr">
        <x:is>
          <x:t xml:space="preserve"/>
        </x:is>
      </x:c>
      <x:c r="M413" s="21" t="inlineStr">
        <x:is>
          <x:t xml:space="preserve"/>
        </x:is>
      </x:c>
      <x:c r="N413" s="21" t="inlineStr">
        <x:is>
          <x:t xml:space="preserve"/>
        </x:is>
      </x:c>
      <x:c r="O413" s="21" t="inlineStr">
        <x:is>
          <x:t xml:space="preserve"/>
        </x:is>
      </x:c>
      <x:c r="P413" s="21" t="inlineStr">
        <x:is>
          <x:t xml:space="preserve"/>
        </x:is>
      </x:c>
      <x:c r="Q413" s="21" t="inlineStr">
        <x:is>
          <x:t xml:space="preserve"/>
        </x:is>
      </x:c>
      <x:c r="R413" s="21" t="inlineStr">
        <x:is>
          <x:t xml:space="preserve"/>
        </x:is>
      </x:c>
      <x:c r="S413" s="22">
        <x:f>IF(H413="","",IFERROR(H413/G413,""))</x:f>
      </x:c>
      <x:c r="T413" s="23">
        <x:f>IF(H413="","",IFERROR((J413+K413+L413+N413)/H413,""))</x:f>
      </x:c>
      <x:c r="U413" s="22">
        <x:f>IF(COUNTA(J413:L413,N413)=0,"",IFERROR(AVERAGE(J413:L413,N413),""))</x:f>
      </x:c>
      <x:c r="V413" s="16" t="inlineStr">
        <x:is>
          <x:t xml:space="preserve"/>
        </x:is>
      </x:c>
    </x:row>
    <x:row r="414">
      <x:c r="A414" s="17" t="inlineStr">
        <x:is>
          <x:t xml:space="preserve">P035</x:t>
        </x:is>
      </x:c>
      <x:c r="B414" s="17" t="n">
        <x:v>2</x:v>
      </x:c>
      <x:c r="C414" s="17" t="inlineStr">
        <x:is>
          <x:t xml:space="preserve">V09</x:t>
        </x:is>
      </x:c>
      <x:c r="D414" s="17" t="inlineStr">
        <x:is>
          <x:t xml:space="preserve">Sleep habit</x:t>
        </x:is>
      </x:c>
      <x:c r="E414" s="17" t="inlineStr">
        <x:is>
          <x:t xml:space="preserve">Full transcript</x:t>
        </x:is>
      </x:c>
      <x:c r="F414" s="17" t="inlineStr">
        <x:is>
          <x:t xml:space="preserve">Audio-on</x:t>
        </x:is>
      </x:c>
      <x:c r="G414" s="24" t="n">
        <x:v>19</x:v>
      </x:c>
      <x:c r="H414" s="24" t="inlineStr">
        <x:is>
          <x:t xml:space="preserve"/>
        </x:is>
      </x:c>
      <x:c r="I414" s="24" t="inlineStr">
        <x:is>
          <x:t xml:space="preserve"/>
        </x:is>
      </x:c>
      <x:c r="J414" s="24" t="inlineStr">
        <x:is>
          <x:t xml:space="preserve"/>
        </x:is>
      </x:c>
      <x:c r="K414" s="24" t="inlineStr">
        <x:is>
          <x:t xml:space="preserve"/>
        </x:is>
      </x:c>
      <x:c r="L414" s="24" t="inlineStr">
        <x:is>
          <x:t xml:space="preserve"/>
        </x:is>
      </x:c>
      <x:c r="M414" s="24" t="inlineStr">
        <x:is>
          <x:t xml:space="preserve"/>
        </x:is>
      </x:c>
      <x:c r="N414" s="24" t="inlineStr">
        <x:is>
          <x:t xml:space="preserve"/>
        </x:is>
      </x:c>
      <x:c r="O414" s="24" t="inlineStr">
        <x:is>
          <x:t xml:space="preserve"/>
        </x:is>
      </x:c>
      <x:c r="P414" s="24" t="inlineStr">
        <x:is>
          <x:t xml:space="preserve"/>
        </x:is>
      </x:c>
      <x:c r="Q414" s="24" t="inlineStr">
        <x:is>
          <x:t xml:space="preserve"/>
        </x:is>
      </x:c>
      <x:c r="R414" s="24" t="inlineStr">
        <x:is>
          <x:t xml:space="preserve"/>
        </x:is>
      </x:c>
      <x:c r="S414" s="25">
        <x:f>IF(H414="","",IFERROR(H414/G414,""))</x:f>
      </x:c>
      <x:c r="T414" s="26">
        <x:f>IF(H414="","",IFERROR((J414+K414+L414+N414)/H414,""))</x:f>
      </x:c>
      <x:c r="U414" s="25">
        <x:f>IF(COUNTA(J414:L414,N414)=0,"",IFERROR(AVERAGE(J414:L414,N414),""))</x:f>
      </x:c>
      <x:c r="V414" s="17" t="inlineStr">
        <x:is>
          <x:t xml:space="preserve"/>
        </x:is>
      </x:c>
    </x:row>
    <x:row r="415">
      <x:c r="A415" s="16" t="inlineStr">
        <x:is>
          <x:t xml:space="preserve">P035</x:t>
        </x:is>
      </x:c>
      <x:c r="B415" s="16" t="n">
        <x:v>3</x:v>
      </x:c>
      <x:c r="C415" s="16" t="inlineStr">
        <x:is>
          <x:t xml:space="preserve">V12</x:t>
        </x:is>
      </x:c>
      <x:c r="D415" s="16" t="inlineStr">
        <x:is>
          <x:t xml:space="preserve">Time management</x:t>
        </x:is>
      </x:c>
      <x:c r="E415" s="16" t="inlineStr">
        <x:is>
          <x:t xml:space="preserve">BCC</x:t>
        </x:is>
      </x:c>
      <x:c r="F415" s="16" t="inlineStr">
        <x:is>
          <x:t xml:space="preserve">Audio-on</x:t>
        </x:is>
      </x:c>
      <x:c r="G415" s="21" t="n">
        <x:v>21</x:v>
      </x:c>
      <x:c r="H415" s="21" t="inlineStr">
        <x:is>
          <x:t xml:space="preserve"/>
        </x:is>
      </x:c>
      <x:c r="I415" s="21" t="inlineStr">
        <x:is>
          <x:t xml:space="preserve"/>
        </x:is>
      </x:c>
      <x:c r="J415" s="21" t="inlineStr">
        <x:is>
          <x:t xml:space="preserve"/>
        </x:is>
      </x:c>
      <x:c r="K415" s="21" t="inlineStr">
        <x:is>
          <x:t xml:space="preserve"/>
        </x:is>
      </x:c>
      <x:c r="L415" s="21" t="inlineStr">
        <x:is>
          <x:t xml:space="preserve"/>
        </x:is>
      </x:c>
      <x:c r="M415" s="21" t="inlineStr">
        <x:is>
          <x:t xml:space="preserve"/>
        </x:is>
      </x:c>
      <x:c r="N415" s="21" t="inlineStr">
        <x:is>
          <x:t xml:space="preserve"/>
        </x:is>
      </x:c>
      <x:c r="O415" s="21" t="inlineStr">
        <x:is>
          <x:t xml:space="preserve"/>
        </x:is>
      </x:c>
      <x:c r="P415" s="21" t="inlineStr">
        <x:is>
          <x:t xml:space="preserve"/>
        </x:is>
      </x:c>
      <x:c r="Q415" s="21" t="inlineStr">
        <x:is>
          <x:t xml:space="preserve"/>
        </x:is>
      </x:c>
      <x:c r="R415" s="21" t="inlineStr">
        <x:is>
          <x:t xml:space="preserve"/>
        </x:is>
      </x:c>
      <x:c r="S415" s="22">
        <x:f>IF(H415="","",IFERROR(H415/G415,""))</x:f>
      </x:c>
      <x:c r="T415" s="23">
        <x:f>IF(H415="","",IFERROR((J415+K415+L415+N415)/H415,""))</x:f>
      </x:c>
      <x:c r="U415" s="22">
        <x:f>IF(COUNTA(J415:L415,N415)=0,"",IFERROR(AVERAGE(J415:L415,N415),""))</x:f>
      </x:c>
      <x:c r="V415" s="16" t="inlineStr">
        <x:is>
          <x:t xml:space="preserve"/>
        </x:is>
      </x:c>
    </x:row>
    <x:row r="416">
      <x:c r="A416" s="17" t="inlineStr">
        <x:is>
          <x:t xml:space="preserve">P035</x:t>
        </x:is>
      </x:c>
      <x:c r="B416" s="17" t="n">
        <x:v>4</x:v>
      </x:c>
      <x:c r="C416" s="17" t="inlineStr">
        <x:is>
          <x:t xml:space="preserve">V06</x:t>
        </x:is>
      </x:c>
      <x:c r="D416" s="17" t="inlineStr">
        <x:is>
          <x:t xml:space="preserve">Overload</x:t>
        </x:is>
      </x:c>
      <x:c r="E416" s="17" t="inlineStr">
        <x:is>
          <x:t xml:space="preserve">BCC</x:t>
        </x:is>
      </x:c>
      <x:c r="F416" s="17" t="inlineStr">
        <x:is>
          <x:t xml:space="preserve">Audio-on</x:t>
        </x:is>
      </x:c>
      <x:c r="G416" s="24" t="n">
        <x:v>16</x:v>
      </x:c>
      <x:c r="H416" s="24" t="inlineStr">
        <x:is>
          <x:t xml:space="preserve"/>
        </x:is>
      </x:c>
      <x:c r="I416" s="24" t="inlineStr">
        <x:is>
          <x:t xml:space="preserve"/>
        </x:is>
      </x:c>
      <x:c r="J416" s="24" t="inlineStr">
        <x:is>
          <x:t xml:space="preserve"/>
        </x:is>
      </x:c>
      <x:c r="K416" s="24" t="inlineStr">
        <x:is>
          <x:t xml:space="preserve"/>
        </x:is>
      </x:c>
      <x:c r="L416" s="24" t="inlineStr">
        <x:is>
          <x:t xml:space="preserve"/>
        </x:is>
      </x:c>
      <x:c r="M416" s="24" t="inlineStr">
        <x:is>
          <x:t xml:space="preserve"/>
        </x:is>
      </x:c>
      <x:c r="N416" s="24" t="inlineStr">
        <x:is>
          <x:t xml:space="preserve"/>
        </x:is>
      </x:c>
      <x:c r="O416" s="24" t="inlineStr">
        <x:is>
          <x:t xml:space="preserve"/>
        </x:is>
      </x:c>
      <x:c r="P416" s="24" t="inlineStr">
        <x:is>
          <x:t xml:space="preserve"/>
        </x:is>
      </x:c>
      <x:c r="Q416" s="24" t="inlineStr">
        <x:is>
          <x:t xml:space="preserve"/>
        </x:is>
      </x:c>
      <x:c r="R416" s="24" t="inlineStr">
        <x:is>
          <x:t xml:space="preserve"/>
        </x:is>
      </x:c>
      <x:c r="S416" s="25">
        <x:f>IF(H416="","",IFERROR(H416/G416,""))</x:f>
      </x:c>
      <x:c r="T416" s="26">
        <x:f>IF(H416="","",IFERROR((J416+K416+L416+N416)/H416,""))</x:f>
      </x:c>
      <x:c r="U416" s="25">
        <x:f>IF(COUNTA(J416:L416,N416)=0,"",IFERROR(AVERAGE(J416:L416,N416),""))</x:f>
      </x:c>
      <x:c r="V416" s="17" t="inlineStr">
        <x:is>
          <x:t xml:space="preserve"/>
        </x:is>
      </x:c>
    </x:row>
    <x:row r="417">
      <x:c r="A417" s="16" t="inlineStr">
        <x:is>
          <x:t xml:space="preserve">P035</x:t>
        </x:is>
      </x:c>
      <x:c r="B417" s="16" t="n">
        <x:v>5</x:v>
      </x:c>
      <x:c r="C417" s="16" t="inlineStr">
        <x:is>
          <x:t xml:space="preserve">V04</x:t>
        </x:is>
      </x:c>
      <x:c r="D417" s="16" t="inlineStr">
        <x:is>
          <x:t xml:space="preserve">Finance</x:t>
        </x:is>
      </x:c>
      <x:c r="E417" s="16" t="inlineStr">
        <x:is>
          <x:t xml:space="preserve">Keyword highlight</x:t>
        </x:is>
      </x:c>
      <x:c r="F417" s="16" t="inlineStr">
        <x:is>
          <x:t xml:space="preserve">Audio-on</x:t>
        </x:is>
      </x:c>
      <x:c r="G417" s="21" t="n">
        <x:v>20</x:v>
      </x:c>
      <x:c r="H417" s="21" t="inlineStr">
        <x:is>
          <x:t xml:space="preserve"/>
        </x:is>
      </x:c>
      <x:c r="I417" s="21" t="inlineStr">
        <x:is>
          <x:t xml:space="preserve"/>
        </x:is>
      </x:c>
      <x:c r="J417" s="21" t="inlineStr">
        <x:is>
          <x:t xml:space="preserve"/>
        </x:is>
      </x:c>
      <x:c r="K417" s="21" t="inlineStr">
        <x:is>
          <x:t xml:space="preserve"/>
        </x:is>
      </x:c>
      <x:c r="L417" s="21" t="inlineStr">
        <x:is>
          <x:t xml:space="preserve"/>
        </x:is>
      </x:c>
      <x:c r="M417" s="21" t="inlineStr">
        <x:is>
          <x:t xml:space="preserve"/>
        </x:is>
      </x:c>
      <x:c r="N417" s="21" t="inlineStr">
        <x:is>
          <x:t xml:space="preserve"/>
        </x:is>
      </x:c>
      <x:c r="O417" s="21" t="inlineStr">
        <x:is>
          <x:t xml:space="preserve"/>
        </x:is>
      </x:c>
      <x:c r="P417" s="21" t="inlineStr">
        <x:is>
          <x:t xml:space="preserve"/>
        </x:is>
      </x:c>
      <x:c r="Q417" s="21" t="inlineStr">
        <x:is>
          <x:t xml:space="preserve"/>
        </x:is>
      </x:c>
      <x:c r="R417" s="21" t="inlineStr">
        <x:is>
          <x:t xml:space="preserve"/>
        </x:is>
      </x:c>
      <x:c r="S417" s="22">
        <x:f>IF(H417="","",IFERROR(H417/G417,""))</x:f>
      </x:c>
      <x:c r="T417" s="23">
        <x:f>IF(H417="","",IFERROR((J417+K417+L417+N417)/H417,""))</x:f>
      </x:c>
      <x:c r="U417" s="22">
        <x:f>IF(COUNTA(J417:L417,N417)=0,"",IFERROR(AVERAGE(J417:L417,N417),""))</x:f>
      </x:c>
      <x:c r="V417" s="16" t="inlineStr">
        <x:is>
          <x:t xml:space="preserve"/>
        </x:is>
      </x:c>
    </x:row>
    <x:row r="418">
      <x:c r="A418" s="17" t="inlineStr">
        <x:is>
          <x:t xml:space="preserve">P035</x:t>
        </x:is>
      </x:c>
      <x:c r="B418" s="17" t="n">
        <x:v>6</x:v>
      </x:c>
      <x:c r="C418" s="17" t="inlineStr">
        <x:is>
          <x:t xml:space="preserve">V07</x:t>
        </x:is>
      </x:c>
      <x:c r="D418" s="17" t="inlineStr">
        <x:is>
          <x:t xml:space="preserve">Business</x:t>
        </x:is>
      </x:c>
      <x:c r="E418" s="17" t="inlineStr">
        <x:is>
          <x:t xml:space="preserve">BCC+</x:t>
        </x:is>
      </x:c>
      <x:c r="F418" s="17" t="inlineStr">
        <x:is>
          <x:t xml:space="preserve">Audio-on</x:t>
        </x:is>
      </x:c>
      <x:c r="G418" s="24" t="n">
        <x:v>18</x:v>
      </x:c>
      <x:c r="H418" s="24" t="inlineStr">
        <x:is>
          <x:t xml:space="preserve"/>
        </x:is>
      </x:c>
      <x:c r="I418" s="24" t="inlineStr">
        <x:is>
          <x:t xml:space="preserve"/>
        </x:is>
      </x:c>
      <x:c r="J418" s="24" t="inlineStr">
        <x:is>
          <x:t xml:space="preserve"/>
        </x:is>
      </x:c>
      <x:c r="K418" s="24" t="inlineStr">
        <x:is>
          <x:t xml:space="preserve"/>
        </x:is>
      </x:c>
      <x:c r="L418" s="24" t="inlineStr">
        <x:is>
          <x:t xml:space="preserve"/>
        </x:is>
      </x:c>
      <x:c r="M418" s="24" t="inlineStr">
        <x:is>
          <x:t xml:space="preserve"/>
        </x:is>
      </x:c>
      <x:c r="N418" s="24" t="inlineStr">
        <x:is>
          <x:t xml:space="preserve"/>
        </x:is>
      </x:c>
      <x:c r="O418" s="24" t="inlineStr">
        <x:is>
          <x:t xml:space="preserve"/>
        </x:is>
      </x:c>
      <x:c r="P418" s="24" t="inlineStr">
        <x:is>
          <x:t xml:space="preserve"/>
        </x:is>
      </x:c>
      <x:c r="Q418" s="24" t="inlineStr">
        <x:is>
          <x:t xml:space="preserve"/>
        </x:is>
      </x:c>
      <x:c r="R418" s="24" t="inlineStr">
        <x:is>
          <x:t xml:space="preserve"/>
        </x:is>
      </x:c>
      <x:c r="S418" s="25">
        <x:f>IF(H418="","",IFERROR(H418/G418,""))</x:f>
      </x:c>
      <x:c r="T418" s="26">
        <x:f>IF(H418="","",IFERROR((J418+K418+L418+N418)/H418,""))</x:f>
      </x:c>
      <x:c r="U418" s="25">
        <x:f>IF(COUNTA(J418:L418,N418)=0,"",IFERROR(AVERAGE(J418:L418,N418),""))</x:f>
      </x:c>
      <x:c r="V418" s="17" t="inlineStr">
        <x:is>
          <x:t xml:space="preserve"/>
        </x:is>
      </x:c>
    </x:row>
    <x:row r="419">
      <x:c r="A419" s="16" t="inlineStr">
        <x:is>
          <x:t xml:space="preserve">P035</x:t>
        </x:is>
      </x:c>
      <x:c r="B419" s="16" t="n">
        <x:v>7</x:v>
      </x:c>
      <x:c r="C419" s="16" t="inlineStr">
        <x:is>
          <x:t xml:space="preserve">V01</x:t>
        </x:is>
      </x:c>
      <x:c r="D419" s="16" t="inlineStr">
        <x:is>
          <x:t xml:space="preserve">Productivity</x:t>
        </x:is>
      </x:c>
      <x:c r="E419" s="16" t="inlineStr">
        <x:is>
          <x:t xml:space="preserve">BCC+</x:t>
        </x:is>
      </x:c>
      <x:c r="F419" s="16" t="inlineStr">
        <x:is>
          <x:t xml:space="preserve">Audio-on</x:t>
        </x:is>
      </x:c>
      <x:c r="G419" s="21" t="n">
        <x:v>25</x:v>
      </x:c>
      <x:c r="H419" s="21" t="inlineStr">
        <x:is>
          <x:t xml:space="preserve"/>
        </x:is>
      </x:c>
      <x:c r="I419" s="21" t="inlineStr">
        <x:is>
          <x:t xml:space="preserve"/>
        </x:is>
      </x:c>
      <x:c r="J419" s="21" t="inlineStr">
        <x:is>
          <x:t xml:space="preserve"/>
        </x:is>
      </x:c>
      <x:c r="K419" s="21" t="inlineStr">
        <x:is>
          <x:t xml:space="preserve"/>
        </x:is>
      </x:c>
      <x:c r="L419" s="21" t="inlineStr">
        <x:is>
          <x:t xml:space="preserve"/>
        </x:is>
      </x:c>
      <x:c r="M419" s="21" t="inlineStr">
        <x:is>
          <x:t xml:space="preserve"/>
        </x:is>
      </x:c>
      <x:c r="N419" s="21" t="inlineStr">
        <x:is>
          <x:t xml:space="preserve"/>
        </x:is>
      </x:c>
      <x:c r="O419" s="21" t="inlineStr">
        <x:is>
          <x:t xml:space="preserve"/>
        </x:is>
      </x:c>
      <x:c r="P419" s="21" t="inlineStr">
        <x:is>
          <x:t xml:space="preserve"/>
        </x:is>
      </x:c>
      <x:c r="Q419" s="21" t="inlineStr">
        <x:is>
          <x:t xml:space="preserve"/>
        </x:is>
      </x:c>
      <x:c r="R419" s="21" t="inlineStr">
        <x:is>
          <x:t xml:space="preserve"/>
        </x:is>
      </x:c>
      <x:c r="S419" s="22">
        <x:f>IF(H419="","",IFERROR(H419/G419,""))</x:f>
      </x:c>
      <x:c r="T419" s="23">
        <x:f>IF(H419="","",IFERROR((J419+K419+L419+N419)/H419,""))</x:f>
      </x:c>
      <x:c r="U419" s="22">
        <x:f>IF(COUNTA(J419:L419,N419)=0,"",IFERROR(AVERAGE(J419:L419,N419),""))</x:f>
      </x:c>
      <x:c r="V419" s="16" t="inlineStr">
        <x:is>
          <x:t xml:space="preserve"/>
        </x:is>
      </x:c>
    </x:row>
    <x:row r="420">
      <x:c r="A420" s="17" t="inlineStr">
        <x:is>
          <x:t xml:space="preserve">P035</x:t>
        </x:is>
      </x:c>
      <x:c r="B420" s="17" t="n">
        <x:v>8</x:v>
      </x:c>
      <x:c r="C420" s="17" t="inlineStr">
        <x:is>
          <x:t xml:space="preserve">V10</x:t>
        </x:is>
      </x:c>
      <x:c r="D420" s="17" t="inlineStr">
        <x:is>
          <x:t xml:space="preserve">Product demo</x:t>
        </x:is>
      </x:c>
      <x:c r="E420" s="17" t="inlineStr">
        <x:is>
          <x:t xml:space="preserve">Keyword highlight</x:t>
        </x:is>
      </x:c>
      <x:c r="F420" s="17" t="inlineStr">
        <x:is>
          <x:t xml:space="preserve">Audio-on</x:t>
        </x:is>
      </x:c>
      <x:c r="G420" s="24" t="n">
        <x:v>15</x:v>
      </x:c>
      <x:c r="H420" s="24" t="inlineStr">
        <x:is>
          <x:t xml:space="preserve"/>
        </x:is>
      </x:c>
      <x:c r="I420" s="24" t="inlineStr">
        <x:is>
          <x:t xml:space="preserve"/>
        </x:is>
      </x:c>
      <x:c r="J420" s="24" t="inlineStr">
        <x:is>
          <x:t xml:space="preserve"/>
        </x:is>
      </x:c>
      <x:c r="K420" s="24" t="inlineStr">
        <x:is>
          <x:t xml:space="preserve"/>
        </x:is>
      </x:c>
      <x:c r="L420" s="24" t="inlineStr">
        <x:is>
          <x:t xml:space="preserve"/>
        </x:is>
      </x:c>
      <x:c r="M420" s="24" t="inlineStr">
        <x:is>
          <x:t xml:space="preserve"/>
        </x:is>
      </x:c>
      <x:c r="N420" s="24" t="inlineStr">
        <x:is>
          <x:t xml:space="preserve"/>
        </x:is>
      </x:c>
      <x:c r="O420" s="24" t="inlineStr">
        <x:is>
          <x:t xml:space="preserve"/>
        </x:is>
      </x:c>
      <x:c r="P420" s="24" t="inlineStr">
        <x:is>
          <x:t xml:space="preserve"/>
        </x:is>
      </x:c>
      <x:c r="Q420" s="24" t="inlineStr">
        <x:is>
          <x:t xml:space="preserve"/>
        </x:is>
      </x:c>
      <x:c r="R420" s="24" t="inlineStr">
        <x:is>
          <x:t xml:space="preserve"/>
        </x:is>
      </x:c>
      <x:c r="S420" s="25">
        <x:f>IF(H420="","",IFERROR(H420/G420,""))</x:f>
      </x:c>
      <x:c r="T420" s="26">
        <x:f>IF(H420="","",IFERROR((J420+K420+L420+N420)/H420,""))</x:f>
      </x:c>
      <x:c r="U420" s="25">
        <x:f>IF(COUNTA(J420:L420,N420)=0,"",IFERROR(AVERAGE(J420:L420,N420),""))</x:f>
      </x:c>
      <x:c r="V420" s="17" t="inlineStr">
        <x:is>
          <x:t xml:space="preserve"/>
        </x:is>
      </x:c>
    </x:row>
    <x:row r="421">
      <x:c r="A421" s="16" t="inlineStr">
        <x:is>
          <x:t xml:space="preserve">P035</x:t>
        </x:is>
      </x:c>
      <x:c r="B421" s="16" t="n">
        <x:v>9</x:v>
      </x:c>
      <x:c r="C421" s="16" t="inlineStr">
        <x:is>
          <x:t xml:space="preserve">V05</x:t>
        </x:is>
      </x:c>
      <x:c r="D421" s="16" t="inlineStr">
        <x:is>
          <x:t xml:space="preserve">Tutorial</x:t>
        </x:is>
      </x:c>
      <x:c r="E421" s="16" t="inlineStr">
        <x:is>
          <x:t xml:space="preserve">Semantic compression</x:t>
        </x:is>
      </x:c>
      <x:c r="F421" s="16" t="inlineStr">
        <x:is>
          <x:t xml:space="preserve">Audio-on</x:t>
        </x:is>
      </x:c>
      <x:c r="G421" s="21" t="n">
        <x:v>20</x:v>
      </x:c>
      <x:c r="H421" s="21" t="inlineStr">
        <x:is>
          <x:t xml:space="preserve"/>
        </x:is>
      </x:c>
      <x:c r="I421" s="21" t="inlineStr">
        <x:is>
          <x:t xml:space="preserve"/>
        </x:is>
      </x:c>
      <x:c r="J421" s="21" t="inlineStr">
        <x:is>
          <x:t xml:space="preserve"/>
        </x:is>
      </x:c>
      <x:c r="K421" s="21" t="inlineStr">
        <x:is>
          <x:t xml:space="preserve"/>
        </x:is>
      </x:c>
      <x:c r="L421" s="21" t="inlineStr">
        <x:is>
          <x:t xml:space="preserve"/>
        </x:is>
      </x:c>
      <x:c r="M421" s="21" t="inlineStr">
        <x:is>
          <x:t xml:space="preserve"/>
        </x:is>
      </x:c>
      <x:c r="N421" s="21" t="inlineStr">
        <x:is>
          <x:t xml:space="preserve"/>
        </x:is>
      </x:c>
      <x:c r="O421" s="21" t="inlineStr">
        <x:is>
          <x:t xml:space="preserve"/>
        </x:is>
      </x:c>
      <x:c r="P421" s="21" t="inlineStr">
        <x:is>
          <x:t xml:space="preserve"/>
        </x:is>
      </x:c>
      <x:c r="Q421" s="21" t="inlineStr">
        <x:is>
          <x:t xml:space="preserve"/>
        </x:is>
      </x:c>
      <x:c r="R421" s="21" t="inlineStr">
        <x:is>
          <x:t xml:space="preserve"/>
        </x:is>
      </x:c>
      <x:c r="S421" s="22">
        <x:f>IF(H421="","",IFERROR(H421/G421,""))</x:f>
      </x:c>
      <x:c r="T421" s="23">
        <x:f>IF(H421="","",IFERROR((J421+K421+L421+N421)/H421,""))</x:f>
      </x:c>
      <x:c r="U421" s="22">
        <x:f>IF(COUNTA(J421:L421,N421)=0,"",IFERROR(AVERAGE(J421:L421,N421),""))</x:f>
      </x:c>
      <x:c r="V421" s="16" t="inlineStr">
        <x:is>
          <x:t xml:space="preserve"/>
        </x:is>
      </x:c>
    </x:row>
    <x:row r="422">
      <x:c r="A422" s="17" t="inlineStr">
        <x:is>
          <x:t xml:space="preserve">P035</x:t>
        </x:is>
      </x:c>
      <x:c r="B422" s="17" t="n">
        <x:v>10</x:v>
      </x:c>
      <x:c r="C422" s="17" t="inlineStr">
        <x:is>
          <x:t xml:space="preserve">V03</x:t>
        </x:is>
      </x:c>
      <x:c r="D422" s="17" t="inlineStr">
        <x:is>
          <x:t xml:space="preserve">Fitness</x:t>
        </x:is>
      </x:c>
      <x:c r="E422" s="17" t="inlineStr">
        <x:is>
          <x:t xml:space="preserve">Full transcript</x:t>
        </x:is>
      </x:c>
      <x:c r="F422" s="17" t="inlineStr">
        <x:is>
          <x:t xml:space="preserve">Audio-on</x:t>
        </x:is>
      </x:c>
      <x:c r="G422" s="24" t="n">
        <x:v>18</x:v>
      </x:c>
      <x:c r="H422" s="24" t="inlineStr">
        <x:is>
          <x:t xml:space="preserve"/>
        </x:is>
      </x:c>
      <x:c r="I422" s="24" t="inlineStr">
        <x:is>
          <x:t xml:space="preserve"/>
        </x:is>
      </x:c>
      <x:c r="J422" s="24" t="inlineStr">
        <x:is>
          <x:t xml:space="preserve"/>
        </x:is>
      </x:c>
      <x:c r="K422" s="24" t="inlineStr">
        <x:is>
          <x:t xml:space="preserve"/>
        </x:is>
      </x:c>
      <x:c r="L422" s="24" t="inlineStr">
        <x:is>
          <x:t xml:space="preserve"/>
        </x:is>
      </x:c>
      <x:c r="M422" s="24" t="inlineStr">
        <x:is>
          <x:t xml:space="preserve"/>
        </x:is>
      </x:c>
      <x:c r="N422" s="24" t="inlineStr">
        <x:is>
          <x:t xml:space="preserve"/>
        </x:is>
      </x:c>
      <x:c r="O422" s="24" t="inlineStr">
        <x:is>
          <x:t xml:space="preserve"/>
        </x:is>
      </x:c>
      <x:c r="P422" s="24" t="inlineStr">
        <x:is>
          <x:t xml:space="preserve"/>
        </x:is>
      </x:c>
      <x:c r="Q422" s="24" t="inlineStr">
        <x:is>
          <x:t xml:space="preserve"/>
        </x:is>
      </x:c>
      <x:c r="R422" s="24" t="inlineStr">
        <x:is>
          <x:t xml:space="preserve"/>
        </x:is>
      </x:c>
      <x:c r="S422" s="25">
        <x:f>IF(H422="","",IFERROR(H422/G422,""))</x:f>
      </x:c>
      <x:c r="T422" s="26">
        <x:f>IF(H422="","",IFERROR((J422+K422+L422+N422)/H422,""))</x:f>
      </x:c>
      <x:c r="U422" s="25">
        <x:f>IF(COUNTA(J422:L422,N422)=0,"",IFERROR(AVERAGE(J422:L422,N422),""))</x:f>
      </x:c>
      <x:c r="V422" s="17" t="inlineStr">
        <x:is>
          <x:t xml:space="preserve"/>
        </x:is>
      </x:c>
    </x:row>
    <x:row r="423">
      <x:c r="A423" s="16" t="inlineStr">
        <x:is>
          <x:t xml:space="preserve">P035</x:t>
        </x:is>
      </x:c>
      <x:c r="B423" s="16" t="n">
        <x:v>11</x:v>
      </x:c>
      <x:c r="C423" s="16" t="inlineStr">
        <x:is>
          <x:t xml:space="preserve">V08</x:t>
        </x:is>
      </x:c>
      <x:c r="D423" s="16" t="inlineStr">
        <x:is>
          <x:t xml:space="preserve">Coding</x:t>
        </x:is>
      </x:c>
      <x:c r="E423" s="16" t="inlineStr">
        <x:is>
          <x:t xml:space="preserve">Heavy bionic</x:t>
        </x:is>
      </x:c>
      <x:c r="F423" s="16" t="inlineStr">
        <x:is>
          <x:t xml:space="preserve">Audio-on</x:t>
        </x:is>
      </x:c>
      <x:c r="G423" s="21" t="n">
        <x:v>24</x:v>
      </x:c>
      <x:c r="H423" s="21" t="inlineStr">
        <x:is>
          <x:t xml:space="preserve"/>
        </x:is>
      </x:c>
      <x:c r="I423" s="21" t="inlineStr">
        <x:is>
          <x:t xml:space="preserve"/>
        </x:is>
      </x:c>
      <x:c r="J423" s="21" t="inlineStr">
        <x:is>
          <x:t xml:space="preserve"/>
        </x:is>
      </x:c>
      <x:c r="K423" s="21" t="inlineStr">
        <x:is>
          <x:t xml:space="preserve"/>
        </x:is>
      </x:c>
      <x:c r="L423" s="21" t="inlineStr">
        <x:is>
          <x:t xml:space="preserve"/>
        </x:is>
      </x:c>
      <x:c r="M423" s="21" t="inlineStr">
        <x:is>
          <x:t xml:space="preserve"/>
        </x:is>
      </x:c>
      <x:c r="N423" s="21" t="inlineStr">
        <x:is>
          <x:t xml:space="preserve"/>
        </x:is>
      </x:c>
      <x:c r="O423" s="21" t="inlineStr">
        <x:is>
          <x:t xml:space="preserve"/>
        </x:is>
      </x:c>
      <x:c r="P423" s="21" t="inlineStr">
        <x:is>
          <x:t xml:space="preserve"/>
        </x:is>
      </x:c>
      <x:c r="Q423" s="21" t="inlineStr">
        <x:is>
          <x:t xml:space="preserve"/>
        </x:is>
      </x:c>
      <x:c r="R423" s="21" t="inlineStr">
        <x:is>
          <x:t xml:space="preserve"/>
        </x:is>
      </x:c>
      <x:c r="S423" s="22">
        <x:f>IF(H423="","",IFERROR(H423/G423,""))</x:f>
      </x:c>
      <x:c r="T423" s="23">
        <x:f>IF(H423="","",IFERROR((J423+K423+L423+N423)/H423,""))</x:f>
      </x:c>
      <x:c r="U423" s="22">
        <x:f>IF(COUNTA(J423:L423,N423)=0,"",IFERROR(AVERAGE(J423:L423,N423),""))</x:f>
      </x:c>
      <x:c r="V423" s="16" t="inlineStr">
        <x:is>
          <x:t xml:space="preserve"/>
        </x:is>
      </x:c>
    </x:row>
    <x:row r="424">
      <x:c r="A424" s="17" t="inlineStr">
        <x:is>
          <x:t xml:space="preserve">P035</x:t>
        </x:is>
      </x:c>
      <x:c r="B424" s="17" t="n">
        <x:v>12</x:v>
      </x:c>
      <x:c r="C424" s="17" t="inlineStr">
        <x:is>
          <x:t xml:space="preserve">V11</x:t>
        </x:is>
      </x:c>
      <x:c r="D424" s="17" t="inlineStr">
        <x:is>
          <x:t xml:space="preserve">Creator strategy</x:t>
        </x:is>
      </x:c>
      <x:c r="E424" s="17" t="inlineStr">
        <x:is>
          <x:t xml:space="preserve">Semantic compression</x:t>
        </x:is>
      </x:c>
      <x:c r="F424" s="17" t="inlineStr">
        <x:is>
          <x:t xml:space="preserve">Audio-on</x:t>
        </x:is>
      </x:c>
      <x:c r="G424" s="24" t="n">
        <x:v>17</x:v>
      </x:c>
      <x:c r="H424" s="24" t="inlineStr">
        <x:is>
          <x:t xml:space="preserve"/>
        </x:is>
      </x:c>
      <x:c r="I424" s="24" t="inlineStr">
        <x:is>
          <x:t xml:space="preserve"/>
        </x:is>
      </x:c>
      <x:c r="J424" s="24" t="inlineStr">
        <x:is>
          <x:t xml:space="preserve"/>
        </x:is>
      </x:c>
      <x:c r="K424" s="24" t="inlineStr">
        <x:is>
          <x:t xml:space="preserve"/>
        </x:is>
      </x:c>
      <x:c r="L424" s="24" t="inlineStr">
        <x:is>
          <x:t xml:space="preserve"/>
        </x:is>
      </x:c>
      <x:c r="M424" s="24" t="inlineStr">
        <x:is>
          <x:t xml:space="preserve"/>
        </x:is>
      </x:c>
      <x:c r="N424" s="24" t="inlineStr">
        <x:is>
          <x:t xml:space="preserve"/>
        </x:is>
      </x:c>
      <x:c r="O424" s="24" t="inlineStr">
        <x:is>
          <x:t xml:space="preserve"/>
        </x:is>
      </x:c>
      <x:c r="P424" s="24" t="inlineStr">
        <x:is>
          <x:t xml:space="preserve"/>
        </x:is>
      </x:c>
      <x:c r="Q424" s="24" t="inlineStr">
        <x:is>
          <x:t xml:space="preserve"/>
        </x:is>
      </x:c>
      <x:c r="R424" s="24" t="inlineStr">
        <x:is>
          <x:t xml:space="preserve"/>
        </x:is>
      </x:c>
      <x:c r="S424" s="25">
        <x:f>IF(H424="","",IFERROR(H424/G424,""))</x:f>
      </x:c>
      <x:c r="T424" s="26">
        <x:f>IF(H424="","",IFERROR((J424+K424+L424+N424)/H424,""))</x:f>
      </x:c>
      <x:c r="U424" s="25">
        <x:f>IF(COUNTA(J424:L424,N424)=0,"",IFERROR(AVERAGE(J424:L424,N424),""))</x:f>
      </x:c>
      <x:c r="V424" s="17" t="inlineStr">
        <x:is>
          <x:t xml:space="preserve"/>
        </x:is>
      </x:c>
    </x:row>
    <x:row r="425">
      <x:c r="A425" s="16" t="inlineStr">
        <x:is>
          <x:t xml:space="preserve">P036</x:t>
        </x:is>
      </x:c>
      <x:c r="B425" s="16" t="n">
        <x:v>1</x:v>
      </x:c>
      <x:c r="C425" s="16" t="inlineStr">
        <x:is>
          <x:t xml:space="preserve">V06</x:t>
        </x:is>
      </x:c>
      <x:c r="D425" s="16" t="inlineStr">
        <x:is>
          <x:t xml:space="preserve">Overload</x:t>
        </x:is>
      </x:c>
      <x:c r="E425" s="16" t="inlineStr">
        <x:is>
          <x:t xml:space="preserve">BCC+</x:t>
        </x:is>
      </x:c>
      <x:c r="F425" s="16" t="inlineStr">
        <x:is>
          <x:t xml:space="preserve">Audio-on</x:t>
        </x:is>
      </x:c>
      <x:c r="G425" s="21" t="n">
        <x:v>16</x:v>
      </x:c>
      <x:c r="H425" s="21" t="inlineStr">
        <x:is>
          <x:t xml:space="preserve"/>
        </x:is>
      </x:c>
      <x:c r="I425" s="21" t="inlineStr">
        <x:is>
          <x:t xml:space="preserve"/>
        </x:is>
      </x:c>
      <x:c r="J425" s="21" t="inlineStr">
        <x:is>
          <x:t xml:space="preserve"/>
        </x:is>
      </x:c>
      <x:c r="K425" s="21" t="inlineStr">
        <x:is>
          <x:t xml:space="preserve"/>
        </x:is>
      </x:c>
      <x:c r="L425" s="21" t="inlineStr">
        <x:is>
          <x:t xml:space="preserve"/>
        </x:is>
      </x:c>
      <x:c r="M425" s="21" t="inlineStr">
        <x:is>
          <x:t xml:space="preserve"/>
        </x:is>
      </x:c>
      <x:c r="N425" s="21" t="inlineStr">
        <x:is>
          <x:t xml:space="preserve"/>
        </x:is>
      </x:c>
      <x:c r="O425" s="21" t="inlineStr">
        <x:is>
          <x:t xml:space="preserve"/>
        </x:is>
      </x:c>
      <x:c r="P425" s="21" t="inlineStr">
        <x:is>
          <x:t xml:space="preserve"/>
        </x:is>
      </x:c>
      <x:c r="Q425" s="21" t="inlineStr">
        <x:is>
          <x:t xml:space="preserve"/>
        </x:is>
      </x:c>
      <x:c r="R425" s="21" t="inlineStr">
        <x:is>
          <x:t xml:space="preserve"/>
        </x:is>
      </x:c>
      <x:c r="S425" s="22">
        <x:f>IF(H425="","",IFERROR(H425/G425,""))</x:f>
      </x:c>
      <x:c r="T425" s="23">
        <x:f>IF(H425="","",IFERROR((J425+K425+L425+N425)/H425,""))</x:f>
      </x:c>
      <x:c r="U425" s="22">
        <x:f>IF(COUNTA(J425:L425,N425)=0,"",IFERROR(AVERAGE(J425:L425,N425),""))</x:f>
      </x:c>
      <x:c r="V425" s="16" t="inlineStr">
        <x:is>
          <x:t xml:space="preserve"/>
        </x:is>
      </x:c>
    </x:row>
    <x:row r="426">
      <x:c r="A426" s="17" t="inlineStr">
        <x:is>
          <x:t xml:space="preserve">P036</x:t>
        </x:is>
      </x:c>
      <x:c r="B426" s="17" t="n">
        <x:v>2</x:v>
      </x:c>
      <x:c r="C426" s="17" t="inlineStr">
        <x:is>
          <x:t xml:space="preserve">V05</x:t>
        </x:is>
      </x:c>
      <x:c r="D426" s="17" t="inlineStr">
        <x:is>
          <x:t xml:space="preserve">Tutorial</x:t>
        </x:is>
      </x:c>
      <x:c r="E426" s="17" t="inlineStr">
        <x:is>
          <x:t xml:space="preserve">BCC</x:t>
        </x:is>
      </x:c>
      <x:c r="F426" s="17" t="inlineStr">
        <x:is>
          <x:t xml:space="preserve">Audio-on</x:t>
        </x:is>
      </x:c>
      <x:c r="G426" s="24" t="n">
        <x:v>20</x:v>
      </x:c>
      <x:c r="H426" s="24" t="inlineStr">
        <x:is>
          <x:t xml:space="preserve"/>
        </x:is>
      </x:c>
      <x:c r="I426" s="24" t="inlineStr">
        <x:is>
          <x:t xml:space="preserve"/>
        </x:is>
      </x:c>
      <x:c r="J426" s="24" t="inlineStr">
        <x:is>
          <x:t xml:space="preserve"/>
        </x:is>
      </x:c>
      <x:c r="K426" s="24" t="inlineStr">
        <x:is>
          <x:t xml:space="preserve"/>
        </x:is>
      </x:c>
      <x:c r="L426" s="24" t="inlineStr">
        <x:is>
          <x:t xml:space="preserve"/>
        </x:is>
      </x:c>
      <x:c r="M426" s="24" t="inlineStr">
        <x:is>
          <x:t xml:space="preserve"/>
        </x:is>
      </x:c>
      <x:c r="N426" s="24" t="inlineStr">
        <x:is>
          <x:t xml:space="preserve"/>
        </x:is>
      </x:c>
      <x:c r="O426" s="24" t="inlineStr">
        <x:is>
          <x:t xml:space="preserve"/>
        </x:is>
      </x:c>
      <x:c r="P426" s="24" t="inlineStr">
        <x:is>
          <x:t xml:space="preserve"/>
        </x:is>
      </x:c>
      <x:c r="Q426" s="24" t="inlineStr">
        <x:is>
          <x:t xml:space="preserve"/>
        </x:is>
      </x:c>
      <x:c r="R426" s="24" t="inlineStr">
        <x:is>
          <x:t xml:space="preserve"/>
        </x:is>
      </x:c>
      <x:c r="S426" s="25">
        <x:f>IF(H426="","",IFERROR(H426/G426,""))</x:f>
      </x:c>
      <x:c r="T426" s="26">
        <x:f>IF(H426="","",IFERROR((J426+K426+L426+N426)/H426,""))</x:f>
      </x:c>
      <x:c r="U426" s="25">
        <x:f>IF(COUNTA(J426:L426,N426)=0,"",IFERROR(AVERAGE(J426:L426,N426),""))</x:f>
      </x:c>
      <x:c r="V426" s="17" t="inlineStr">
        <x:is>
          <x:t xml:space="preserve"/>
        </x:is>
      </x:c>
    </x:row>
    <x:row r="427">
      <x:c r="A427" s="16" t="inlineStr">
        <x:is>
          <x:t xml:space="preserve">P036</x:t>
        </x:is>
      </x:c>
      <x:c r="B427" s="16" t="n">
        <x:v>3</x:v>
      </x:c>
      <x:c r="C427" s="16" t="inlineStr">
        <x:is>
          <x:t xml:space="preserve">V12</x:t>
        </x:is>
      </x:c>
      <x:c r="D427" s="16" t="inlineStr">
        <x:is>
          <x:t xml:space="preserve">Time management</x:t>
        </x:is>
      </x:c>
      <x:c r="E427" s="16" t="inlineStr">
        <x:is>
          <x:t xml:space="preserve">BCC+</x:t>
        </x:is>
      </x:c>
      <x:c r="F427" s="16" t="inlineStr">
        <x:is>
          <x:t xml:space="preserve">Audio-on</x:t>
        </x:is>
      </x:c>
      <x:c r="G427" s="21" t="n">
        <x:v>21</x:v>
      </x:c>
      <x:c r="H427" s="21" t="inlineStr">
        <x:is>
          <x:t xml:space="preserve"/>
        </x:is>
      </x:c>
      <x:c r="I427" s="21" t="inlineStr">
        <x:is>
          <x:t xml:space="preserve"/>
        </x:is>
      </x:c>
      <x:c r="J427" s="21" t="inlineStr">
        <x:is>
          <x:t xml:space="preserve"/>
        </x:is>
      </x:c>
      <x:c r="K427" s="21" t="inlineStr">
        <x:is>
          <x:t xml:space="preserve"/>
        </x:is>
      </x:c>
      <x:c r="L427" s="21" t="inlineStr">
        <x:is>
          <x:t xml:space="preserve"/>
        </x:is>
      </x:c>
      <x:c r="M427" s="21" t="inlineStr">
        <x:is>
          <x:t xml:space="preserve"/>
        </x:is>
      </x:c>
      <x:c r="N427" s="21" t="inlineStr">
        <x:is>
          <x:t xml:space="preserve"/>
        </x:is>
      </x:c>
      <x:c r="O427" s="21" t="inlineStr">
        <x:is>
          <x:t xml:space="preserve"/>
        </x:is>
      </x:c>
      <x:c r="P427" s="21" t="inlineStr">
        <x:is>
          <x:t xml:space="preserve"/>
        </x:is>
      </x:c>
      <x:c r="Q427" s="21" t="inlineStr">
        <x:is>
          <x:t xml:space="preserve"/>
        </x:is>
      </x:c>
      <x:c r="R427" s="21" t="inlineStr">
        <x:is>
          <x:t xml:space="preserve"/>
        </x:is>
      </x:c>
      <x:c r="S427" s="22">
        <x:f>IF(H427="","",IFERROR(H427/G427,""))</x:f>
      </x:c>
      <x:c r="T427" s="23">
        <x:f>IF(H427="","",IFERROR((J427+K427+L427+N427)/H427,""))</x:f>
      </x:c>
      <x:c r="U427" s="22">
        <x:f>IF(COUNTA(J427:L427,N427)=0,"",IFERROR(AVERAGE(J427:L427,N427),""))</x:f>
      </x:c>
      <x:c r="V427" s="16" t="inlineStr">
        <x:is>
          <x:t xml:space="preserve"/>
        </x:is>
      </x:c>
    </x:row>
    <x:row r="428">
      <x:c r="A428" s="17" t="inlineStr">
        <x:is>
          <x:t xml:space="preserve">P036</x:t>
        </x:is>
      </x:c>
      <x:c r="B428" s="17" t="n">
        <x:v>4</x:v>
      </x:c>
      <x:c r="C428" s="17" t="inlineStr">
        <x:is>
          <x:t xml:space="preserve">V09</x:t>
        </x:is>
      </x:c>
      <x:c r="D428" s="17" t="inlineStr">
        <x:is>
          <x:t xml:space="preserve">Sleep habit</x:t>
        </x:is>
      </x:c>
      <x:c r="E428" s="17" t="inlineStr">
        <x:is>
          <x:t xml:space="preserve">Keyword highlight</x:t>
        </x:is>
      </x:c>
      <x:c r="F428" s="17" t="inlineStr">
        <x:is>
          <x:t xml:space="preserve">Audio-on</x:t>
        </x:is>
      </x:c>
      <x:c r="G428" s="24" t="n">
        <x:v>19</x:v>
      </x:c>
      <x:c r="H428" s="24" t="inlineStr">
        <x:is>
          <x:t xml:space="preserve"/>
        </x:is>
      </x:c>
      <x:c r="I428" s="24" t="inlineStr">
        <x:is>
          <x:t xml:space="preserve"/>
        </x:is>
      </x:c>
      <x:c r="J428" s="24" t="inlineStr">
        <x:is>
          <x:t xml:space="preserve"/>
        </x:is>
      </x:c>
      <x:c r="K428" s="24" t="inlineStr">
        <x:is>
          <x:t xml:space="preserve"/>
        </x:is>
      </x:c>
      <x:c r="L428" s="24" t="inlineStr">
        <x:is>
          <x:t xml:space="preserve"/>
        </x:is>
      </x:c>
      <x:c r="M428" s="24" t="inlineStr">
        <x:is>
          <x:t xml:space="preserve"/>
        </x:is>
      </x:c>
      <x:c r="N428" s="24" t="inlineStr">
        <x:is>
          <x:t xml:space="preserve"/>
        </x:is>
      </x:c>
      <x:c r="O428" s="24" t="inlineStr">
        <x:is>
          <x:t xml:space="preserve"/>
        </x:is>
      </x:c>
      <x:c r="P428" s="24" t="inlineStr">
        <x:is>
          <x:t xml:space="preserve"/>
        </x:is>
      </x:c>
      <x:c r="Q428" s="24" t="inlineStr">
        <x:is>
          <x:t xml:space="preserve"/>
        </x:is>
      </x:c>
      <x:c r="R428" s="24" t="inlineStr">
        <x:is>
          <x:t xml:space="preserve"/>
        </x:is>
      </x:c>
      <x:c r="S428" s="25">
        <x:f>IF(H428="","",IFERROR(H428/G428,""))</x:f>
      </x:c>
      <x:c r="T428" s="26">
        <x:f>IF(H428="","",IFERROR((J428+K428+L428+N428)/H428,""))</x:f>
      </x:c>
      <x:c r="U428" s="25">
        <x:f>IF(COUNTA(J428:L428,N428)=0,"",IFERROR(AVERAGE(J428:L428,N428),""))</x:f>
      </x:c>
      <x:c r="V428" s="17" t="inlineStr">
        <x:is>
          <x:t xml:space="preserve"/>
        </x:is>
      </x:c>
    </x:row>
    <x:row r="429">
      <x:c r="A429" s="16" t="inlineStr">
        <x:is>
          <x:t xml:space="preserve">P036</x:t>
        </x:is>
      </x:c>
      <x:c r="B429" s="16" t="n">
        <x:v>5</x:v>
      </x:c>
      <x:c r="C429" s="16" t="inlineStr">
        <x:is>
          <x:t xml:space="preserve">V04</x:t>
        </x:is>
      </x:c>
      <x:c r="D429" s="16" t="inlineStr">
        <x:is>
          <x:t xml:space="preserve">Finance</x:t>
        </x:is>
      </x:c>
      <x:c r="E429" s="16" t="inlineStr">
        <x:is>
          <x:t xml:space="preserve">Semantic compression</x:t>
        </x:is>
      </x:c>
      <x:c r="F429" s="16" t="inlineStr">
        <x:is>
          <x:t xml:space="preserve">Audio-on</x:t>
        </x:is>
      </x:c>
      <x:c r="G429" s="21" t="n">
        <x:v>20</x:v>
      </x:c>
      <x:c r="H429" s="21" t="inlineStr">
        <x:is>
          <x:t xml:space="preserve"/>
        </x:is>
      </x:c>
      <x:c r="I429" s="21" t="inlineStr">
        <x:is>
          <x:t xml:space="preserve"/>
        </x:is>
      </x:c>
      <x:c r="J429" s="21" t="inlineStr">
        <x:is>
          <x:t xml:space="preserve"/>
        </x:is>
      </x:c>
      <x:c r="K429" s="21" t="inlineStr">
        <x:is>
          <x:t xml:space="preserve"/>
        </x:is>
      </x:c>
      <x:c r="L429" s="21" t="inlineStr">
        <x:is>
          <x:t xml:space="preserve"/>
        </x:is>
      </x:c>
      <x:c r="M429" s="21" t="inlineStr">
        <x:is>
          <x:t xml:space="preserve"/>
        </x:is>
      </x:c>
      <x:c r="N429" s="21" t="inlineStr">
        <x:is>
          <x:t xml:space="preserve"/>
        </x:is>
      </x:c>
      <x:c r="O429" s="21" t="inlineStr">
        <x:is>
          <x:t xml:space="preserve"/>
        </x:is>
      </x:c>
      <x:c r="P429" s="21" t="inlineStr">
        <x:is>
          <x:t xml:space="preserve"/>
        </x:is>
      </x:c>
      <x:c r="Q429" s="21" t="inlineStr">
        <x:is>
          <x:t xml:space="preserve"/>
        </x:is>
      </x:c>
      <x:c r="R429" s="21" t="inlineStr">
        <x:is>
          <x:t xml:space="preserve"/>
        </x:is>
      </x:c>
      <x:c r="S429" s="22">
        <x:f>IF(H429="","",IFERROR(H429/G429,""))</x:f>
      </x:c>
      <x:c r="T429" s="23">
        <x:f>IF(H429="","",IFERROR((J429+K429+L429+N429)/H429,""))</x:f>
      </x:c>
      <x:c r="U429" s="22">
        <x:f>IF(COUNTA(J429:L429,N429)=0,"",IFERROR(AVERAGE(J429:L429,N429),""))</x:f>
      </x:c>
      <x:c r="V429" s="16" t="inlineStr">
        <x:is>
          <x:t xml:space="preserve"/>
        </x:is>
      </x:c>
    </x:row>
    <x:row r="430">
      <x:c r="A430" s="17" t="inlineStr">
        <x:is>
          <x:t xml:space="preserve">P036</x:t>
        </x:is>
      </x:c>
      <x:c r="B430" s="17" t="n">
        <x:v>6</x:v>
      </x:c>
      <x:c r="C430" s="17" t="inlineStr">
        <x:is>
          <x:t xml:space="preserve">V03</x:t>
        </x:is>
      </x:c>
      <x:c r="D430" s="17" t="inlineStr">
        <x:is>
          <x:t xml:space="preserve">Fitness</x:t>
        </x:is>
      </x:c>
      <x:c r="E430" s="17" t="inlineStr">
        <x:is>
          <x:t xml:space="preserve">Keyword highlight</x:t>
        </x:is>
      </x:c>
      <x:c r="F430" s="17" t="inlineStr">
        <x:is>
          <x:t xml:space="preserve">Audio-on</x:t>
        </x:is>
      </x:c>
      <x:c r="G430" s="24" t="n">
        <x:v>18</x:v>
      </x:c>
      <x:c r="H430" s="24" t="inlineStr">
        <x:is>
          <x:t xml:space="preserve"/>
        </x:is>
      </x:c>
      <x:c r="I430" s="24" t="inlineStr">
        <x:is>
          <x:t xml:space="preserve"/>
        </x:is>
      </x:c>
      <x:c r="J430" s="24" t="inlineStr">
        <x:is>
          <x:t xml:space="preserve"/>
        </x:is>
      </x:c>
      <x:c r="K430" s="24" t="inlineStr">
        <x:is>
          <x:t xml:space="preserve"/>
        </x:is>
      </x:c>
      <x:c r="L430" s="24" t="inlineStr">
        <x:is>
          <x:t xml:space="preserve"/>
        </x:is>
      </x:c>
      <x:c r="M430" s="24" t="inlineStr">
        <x:is>
          <x:t xml:space="preserve"/>
        </x:is>
      </x:c>
      <x:c r="N430" s="24" t="inlineStr">
        <x:is>
          <x:t xml:space="preserve"/>
        </x:is>
      </x:c>
      <x:c r="O430" s="24" t="inlineStr">
        <x:is>
          <x:t xml:space="preserve"/>
        </x:is>
      </x:c>
      <x:c r="P430" s="24" t="inlineStr">
        <x:is>
          <x:t xml:space="preserve"/>
        </x:is>
      </x:c>
      <x:c r="Q430" s="24" t="inlineStr">
        <x:is>
          <x:t xml:space="preserve"/>
        </x:is>
      </x:c>
      <x:c r="R430" s="24" t="inlineStr">
        <x:is>
          <x:t xml:space="preserve"/>
        </x:is>
      </x:c>
      <x:c r="S430" s="25">
        <x:f>IF(H430="","",IFERROR(H430/G430,""))</x:f>
      </x:c>
      <x:c r="T430" s="26">
        <x:f>IF(H430="","",IFERROR((J430+K430+L430+N430)/H430,""))</x:f>
      </x:c>
      <x:c r="U430" s="25">
        <x:f>IF(COUNTA(J430:L430,N430)=0,"",IFERROR(AVERAGE(J430:L430,N430),""))</x:f>
      </x:c>
      <x:c r="V430" s="17" t="inlineStr">
        <x:is>
          <x:t xml:space="preserve"/>
        </x:is>
      </x:c>
    </x:row>
    <x:row r="431">
      <x:c r="A431" s="16" t="inlineStr">
        <x:is>
          <x:t xml:space="preserve">P036</x:t>
        </x:is>
      </x:c>
      <x:c r="B431" s="16" t="n">
        <x:v>7</x:v>
      </x:c>
      <x:c r="C431" s="16" t="inlineStr">
        <x:is>
          <x:t xml:space="preserve">V08</x:t>
        </x:is>
      </x:c>
      <x:c r="D431" s="16" t="inlineStr">
        <x:is>
          <x:t xml:space="preserve">Coding</x:t>
        </x:is>
      </x:c>
      <x:c r="E431" s="16" t="inlineStr">
        <x:is>
          <x:t xml:space="preserve">Full transcript</x:t>
        </x:is>
      </x:c>
      <x:c r="F431" s="16" t="inlineStr">
        <x:is>
          <x:t xml:space="preserve">Audio-on</x:t>
        </x:is>
      </x:c>
      <x:c r="G431" s="21" t="n">
        <x:v>24</x:v>
      </x:c>
      <x:c r="H431" s="21" t="inlineStr">
        <x:is>
          <x:t xml:space="preserve"/>
        </x:is>
      </x:c>
      <x:c r="I431" s="21" t="inlineStr">
        <x:is>
          <x:t xml:space="preserve"/>
        </x:is>
      </x:c>
      <x:c r="J431" s="21" t="inlineStr">
        <x:is>
          <x:t xml:space="preserve"/>
        </x:is>
      </x:c>
      <x:c r="K431" s="21" t="inlineStr">
        <x:is>
          <x:t xml:space="preserve"/>
        </x:is>
      </x:c>
      <x:c r="L431" s="21" t="inlineStr">
        <x:is>
          <x:t xml:space="preserve"/>
        </x:is>
      </x:c>
      <x:c r="M431" s="21" t="inlineStr">
        <x:is>
          <x:t xml:space="preserve"/>
        </x:is>
      </x:c>
      <x:c r="N431" s="21" t="inlineStr">
        <x:is>
          <x:t xml:space="preserve"/>
        </x:is>
      </x:c>
      <x:c r="O431" s="21" t="inlineStr">
        <x:is>
          <x:t xml:space="preserve"/>
        </x:is>
      </x:c>
      <x:c r="P431" s="21" t="inlineStr">
        <x:is>
          <x:t xml:space="preserve"/>
        </x:is>
      </x:c>
      <x:c r="Q431" s="21" t="inlineStr">
        <x:is>
          <x:t xml:space="preserve"/>
        </x:is>
      </x:c>
      <x:c r="R431" s="21" t="inlineStr">
        <x:is>
          <x:t xml:space="preserve"/>
        </x:is>
      </x:c>
      <x:c r="S431" s="22">
        <x:f>IF(H431="","",IFERROR(H431/G431,""))</x:f>
      </x:c>
      <x:c r="T431" s="23">
        <x:f>IF(H431="","",IFERROR((J431+K431+L431+N431)/H431,""))</x:f>
      </x:c>
      <x:c r="U431" s="22">
        <x:f>IF(COUNTA(J431:L431,N431)=0,"",IFERROR(AVERAGE(J431:L431,N431),""))</x:f>
      </x:c>
      <x:c r="V431" s="16" t="inlineStr">
        <x:is>
          <x:t xml:space="preserve"/>
        </x:is>
      </x:c>
    </x:row>
    <x:row r="432">
      <x:c r="A432" s="17" t="inlineStr">
        <x:is>
          <x:t xml:space="preserve">P036</x:t>
        </x:is>
      </x:c>
      <x:c r="B432" s="17" t="n">
        <x:v>8</x:v>
      </x:c>
      <x:c r="C432" s="17" t="inlineStr">
        <x:is>
          <x:t xml:space="preserve">V01</x:t>
        </x:is>
      </x:c>
      <x:c r="D432" s="17" t="inlineStr">
        <x:is>
          <x:t xml:space="preserve">Productivity</x:t>
        </x:is>
      </x:c>
      <x:c r="E432" s="17" t="inlineStr">
        <x:is>
          <x:t xml:space="preserve">Heavy bionic</x:t>
        </x:is>
      </x:c>
      <x:c r="F432" s="17" t="inlineStr">
        <x:is>
          <x:t xml:space="preserve">Audio-on</x:t>
        </x:is>
      </x:c>
      <x:c r="G432" s="24" t="n">
        <x:v>25</x:v>
      </x:c>
      <x:c r="H432" s="24" t="inlineStr">
        <x:is>
          <x:t xml:space="preserve"/>
        </x:is>
      </x:c>
      <x:c r="I432" s="24" t="inlineStr">
        <x:is>
          <x:t xml:space="preserve"/>
        </x:is>
      </x:c>
      <x:c r="J432" s="24" t="inlineStr">
        <x:is>
          <x:t xml:space="preserve"/>
        </x:is>
      </x:c>
      <x:c r="K432" s="24" t="inlineStr">
        <x:is>
          <x:t xml:space="preserve"/>
        </x:is>
      </x:c>
      <x:c r="L432" s="24" t="inlineStr">
        <x:is>
          <x:t xml:space="preserve"/>
        </x:is>
      </x:c>
      <x:c r="M432" s="24" t="inlineStr">
        <x:is>
          <x:t xml:space="preserve"/>
        </x:is>
      </x:c>
      <x:c r="N432" s="24" t="inlineStr">
        <x:is>
          <x:t xml:space="preserve"/>
        </x:is>
      </x:c>
      <x:c r="O432" s="24" t="inlineStr">
        <x:is>
          <x:t xml:space="preserve"/>
        </x:is>
      </x:c>
      <x:c r="P432" s="24" t="inlineStr">
        <x:is>
          <x:t xml:space="preserve"/>
        </x:is>
      </x:c>
      <x:c r="Q432" s="24" t="inlineStr">
        <x:is>
          <x:t xml:space="preserve"/>
        </x:is>
      </x:c>
      <x:c r="R432" s="24" t="inlineStr">
        <x:is>
          <x:t xml:space="preserve"/>
        </x:is>
      </x:c>
      <x:c r="S432" s="25">
        <x:f>IF(H432="","",IFERROR(H432/G432,""))</x:f>
      </x:c>
      <x:c r="T432" s="26">
        <x:f>IF(H432="","",IFERROR((J432+K432+L432+N432)/H432,""))</x:f>
      </x:c>
      <x:c r="U432" s="25">
        <x:f>IF(COUNTA(J432:L432,N432)=0,"",IFERROR(AVERAGE(J432:L432,N432),""))</x:f>
      </x:c>
      <x:c r="V432" s="17" t="inlineStr">
        <x:is>
          <x:t xml:space="preserve"/>
        </x:is>
      </x:c>
    </x:row>
    <x:row r="433">
      <x:c r="A433" s="16" t="inlineStr">
        <x:is>
          <x:t xml:space="preserve">P036</x:t>
        </x:is>
      </x:c>
      <x:c r="B433" s="16" t="n">
        <x:v>9</x:v>
      </x:c>
      <x:c r="C433" s="16" t="inlineStr">
        <x:is>
          <x:t xml:space="preserve">V10</x:t>
        </x:is>
      </x:c>
      <x:c r="D433" s="16" t="inlineStr">
        <x:is>
          <x:t xml:space="preserve">Product demo</x:t>
        </x:is>
      </x:c>
      <x:c r="E433" s="16" t="inlineStr">
        <x:is>
          <x:t xml:space="preserve">Semantic compression</x:t>
        </x:is>
      </x:c>
      <x:c r="F433" s="16" t="inlineStr">
        <x:is>
          <x:t xml:space="preserve">Audio-on</x:t>
        </x:is>
      </x:c>
      <x:c r="G433" s="21" t="n">
        <x:v>15</x:v>
      </x:c>
      <x:c r="H433" s="21" t="inlineStr">
        <x:is>
          <x:t xml:space="preserve"/>
        </x:is>
      </x:c>
      <x:c r="I433" s="21" t="inlineStr">
        <x:is>
          <x:t xml:space="preserve"/>
        </x:is>
      </x:c>
      <x:c r="J433" s="21" t="inlineStr">
        <x:is>
          <x:t xml:space="preserve"/>
        </x:is>
      </x:c>
      <x:c r="K433" s="21" t="inlineStr">
        <x:is>
          <x:t xml:space="preserve"/>
        </x:is>
      </x:c>
      <x:c r="L433" s="21" t="inlineStr">
        <x:is>
          <x:t xml:space="preserve"/>
        </x:is>
      </x:c>
      <x:c r="M433" s="21" t="inlineStr">
        <x:is>
          <x:t xml:space="preserve"/>
        </x:is>
      </x:c>
      <x:c r="N433" s="21" t="inlineStr">
        <x:is>
          <x:t xml:space="preserve"/>
        </x:is>
      </x:c>
      <x:c r="O433" s="21" t="inlineStr">
        <x:is>
          <x:t xml:space="preserve"/>
        </x:is>
      </x:c>
      <x:c r="P433" s="21" t="inlineStr">
        <x:is>
          <x:t xml:space="preserve"/>
        </x:is>
      </x:c>
      <x:c r="Q433" s="21" t="inlineStr">
        <x:is>
          <x:t xml:space="preserve"/>
        </x:is>
      </x:c>
      <x:c r="R433" s="21" t="inlineStr">
        <x:is>
          <x:t xml:space="preserve"/>
        </x:is>
      </x:c>
      <x:c r="S433" s="22">
        <x:f>IF(H433="","",IFERROR(H433/G433,""))</x:f>
      </x:c>
      <x:c r="T433" s="23">
        <x:f>IF(H433="","",IFERROR((J433+K433+L433+N433)/H433,""))</x:f>
      </x:c>
      <x:c r="U433" s="22">
        <x:f>IF(COUNTA(J433:L433,N433)=0,"",IFERROR(AVERAGE(J433:L433,N433),""))</x:f>
      </x:c>
      <x:c r="V433" s="16" t="inlineStr">
        <x:is>
          <x:t xml:space="preserve"/>
        </x:is>
      </x:c>
    </x:row>
    <x:row r="434">
      <x:c r="A434" s="17" t="inlineStr">
        <x:is>
          <x:t xml:space="preserve">P036</x:t>
        </x:is>
      </x:c>
      <x:c r="B434" s="17" t="n">
        <x:v>10</x:v>
      </x:c>
      <x:c r="C434" s="17" t="inlineStr">
        <x:is>
          <x:t xml:space="preserve">V02</x:t>
        </x:is>
      </x:c>
      <x:c r="D434" s="17" t="inlineStr">
        <x:is>
          <x:t xml:space="preserve">Study</x:t>
        </x:is>
      </x:c>
      <x:c r="E434" s="17" t="inlineStr">
        <x:is>
          <x:t xml:space="preserve">Full transcript</x:t>
        </x:is>
      </x:c>
      <x:c r="F434" s="17" t="inlineStr">
        <x:is>
          <x:t xml:space="preserve">Audio-on</x:t>
        </x:is>
      </x:c>
      <x:c r="G434" s="24" t="n">
        <x:v>18</x:v>
      </x:c>
      <x:c r="H434" s="24" t="inlineStr">
        <x:is>
          <x:t xml:space="preserve"/>
        </x:is>
      </x:c>
      <x:c r="I434" s="24" t="inlineStr">
        <x:is>
          <x:t xml:space="preserve"/>
        </x:is>
      </x:c>
      <x:c r="J434" s="24" t="inlineStr">
        <x:is>
          <x:t xml:space="preserve"/>
        </x:is>
      </x:c>
      <x:c r="K434" s="24" t="inlineStr">
        <x:is>
          <x:t xml:space="preserve"/>
        </x:is>
      </x:c>
      <x:c r="L434" s="24" t="inlineStr">
        <x:is>
          <x:t xml:space="preserve"/>
        </x:is>
      </x:c>
      <x:c r="M434" s="24" t="inlineStr">
        <x:is>
          <x:t xml:space="preserve"/>
        </x:is>
      </x:c>
      <x:c r="N434" s="24" t="inlineStr">
        <x:is>
          <x:t xml:space="preserve"/>
        </x:is>
      </x:c>
      <x:c r="O434" s="24" t="inlineStr">
        <x:is>
          <x:t xml:space="preserve"/>
        </x:is>
      </x:c>
      <x:c r="P434" s="24" t="inlineStr">
        <x:is>
          <x:t xml:space="preserve"/>
        </x:is>
      </x:c>
      <x:c r="Q434" s="24" t="inlineStr">
        <x:is>
          <x:t xml:space="preserve"/>
        </x:is>
      </x:c>
      <x:c r="R434" s="24" t="inlineStr">
        <x:is>
          <x:t xml:space="preserve"/>
        </x:is>
      </x:c>
      <x:c r="S434" s="25">
        <x:f>IF(H434="","",IFERROR(H434/G434,""))</x:f>
      </x:c>
      <x:c r="T434" s="26">
        <x:f>IF(H434="","",IFERROR((J434+K434+L434+N434)/H434,""))</x:f>
      </x:c>
      <x:c r="U434" s="25">
        <x:f>IF(COUNTA(J434:L434,N434)=0,"",IFERROR(AVERAGE(J434:L434,N434),""))</x:f>
      </x:c>
      <x:c r="V434" s="17" t="inlineStr">
        <x:is>
          <x:t xml:space="preserve"/>
        </x:is>
      </x:c>
    </x:row>
    <x:row r="435">
      <x:c r="A435" s="16" t="inlineStr">
        <x:is>
          <x:t xml:space="preserve">P036</x:t>
        </x:is>
      </x:c>
      <x:c r="B435" s="16" t="n">
        <x:v>11</x:v>
      </x:c>
      <x:c r="C435" s="16" t="inlineStr">
        <x:is>
          <x:t xml:space="preserve">V11</x:t>
        </x:is>
      </x:c>
      <x:c r="D435" s="16" t="inlineStr">
        <x:is>
          <x:t xml:space="preserve">Creator strategy</x:t>
        </x:is>
      </x:c>
      <x:c r="E435" s="16" t="inlineStr">
        <x:is>
          <x:t xml:space="preserve">BCC</x:t>
        </x:is>
      </x:c>
      <x:c r="F435" s="16" t="inlineStr">
        <x:is>
          <x:t xml:space="preserve">Audio-on</x:t>
        </x:is>
      </x:c>
      <x:c r="G435" s="21" t="n">
        <x:v>17</x:v>
      </x:c>
      <x:c r="H435" s="21" t="inlineStr">
        <x:is>
          <x:t xml:space="preserve"/>
        </x:is>
      </x:c>
      <x:c r="I435" s="21" t="inlineStr">
        <x:is>
          <x:t xml:space="preserve"/>
        </x:is>
      </x:c>
      <x:c r="J435" s="21" t="inlineStr">
        <x:is>
          <x:t xml:space="preserve"/>
        </x:is>
      </x:c>
      <x:c r="K435" s="21" t="inlineStr">
        <x:is>
          <x:t xml:space="preserve"/>
        </x:is>
      </x:c>
      <x:c r="L435" s="21" t="inlineStr">
        <x:is>
          <x:t xml:space="preserve"/>
        </x:is>
      </x:c>
      <x:c r="M435" s="21" t="inlineStr">
        <x:is>
          <x:t xml:space="preserve"/>
        </x:is>
      </x:c>
      <x:c r="N435" s="21" t="inlineStr">
        <x:is>
          <x:t xml:space="preserve"/>
        </x:is>
      </x:c>
      <x:c r="O435" s="21" t="inlineStr">
        <x:is>
          <x:t xml:space="preserve"/>
        </x:is>
      </x:c>
      <x:c r="P435" s="21" t="inlineStr">
        <x:is>
          <x:t xml:space="preserve"/>
        </x:is>
      </x:c>
      <x:c r="Q435" s="21" t="inlineStr">
        <x:is>
          <x:t xml:space="preserve"/>
        </x:is>
      </x:c>
      <x:c r="R435" s="21" t="inlineStr">
        <x:is>
          <x:t xml:space="preserve"/>
        </x:is>
      </x:c>
      <x:c r="S435" s="22">
        <x:f>IF(H435="","",IFERROR(H435/G435,""))</x:f>
      </x:c>
      <x:c r="T435" s="23">
        <x:f>IF(H435="","",IFERROR((J435+K435+L435+N435)/H435,""))</x:f>
      </x:c>
      <x:c r="U435" s="22">
        <x:f>IF(COUNTA(J435:L435,N435)=0,"",IFERROR(AVERAGE(J435:L435,N435),""))</x:f>
      </x:c>
      <x:c r="V435" s="16" t="inlineStr">
        <x:is>
          <x:t xml:space="preserve"/>
        </x:is>
      </x:c>
    </x:row>
    <x:row r="436">
      <x:c r="A436" s="17" t="inlineStr">
        <x:is>
          <x:t xml:space="preserve">P036</x:t>
        </x:is>
      </x:c>
      <x:c r="B436" s="17" t="n">
        <x:v>12</x:v>
      </x:c>
      <x:c r="C436" s="17" t="inlineStr">
        <x:is>
          <x:t xml:space="preserve">V07</x:t>
        </x:is>
      </x:c>
      <x:c r="D436" s="17" t="inlineStr">
        <x:is>
          <x:t xml:space="preserve">Business</x:t>
        </x:is>
      </x:c>
      <x:c r="E436" s="17" t="inlineStr">
        <x:is>
          <x:t xml:space="preserve">Heavy bionic</x:t>
        </x:is>
      </x:c>
      <x:c r="F436" s="17" t="inlineStr">
        <x:is>
          <x:t xml:space="preserve">Audio-on</x:t>
        </x:is>
      </x:c>
      <x:c r="G436" s="24" t="n">
        <x:v>18</x:v>
      </x:c>
      <x:c r="H436" s="24" t="inlineStr">
        <x:is>
          <x:t xml:space="preserve"/>
        </x:is>
      </x:c>
      <x:c r="I436" s="24" t="inlineStr">
        <x:is>
          <x:t xml:space="preserve"/>
        </x:is>
      </x:c>
      <x:c r="J436" s="24" t="inlineStr">
        <x:is>
          <x:t xml:space="preserve"/>
        </x:is>
      </x:c>
      <x:c r="K436" s="24" t="inlineStr">
        <x:is>
          <x:t xml:space="preserve"/>
        </x:is>
      </x:c>
      <x:c r="L436" s="24" t="inlineStr">
        <x:is>
          <x:t xml:space="preserve"/>
        </x:is>
      </x:c>
      <x:c r="M436" s="24" t="inlineStr">
        <x:is>
          <x:t xml:space="preserve"/>
        </x:is>
      </x:c>
      <x:c r="N436" s="24" t="inlineStr">
        <x:is>
          <x:t xml:space="preserve"/>
        </x:is>
      </x:c>
      <x:c r="O436" s="24" t="inlineStr">
        <x:is>
          <x:t xml:space="preserve"/>
        </x:is>
      </x:c>
      <x:c r="P436" s="24" t="inlineStr">
        <x:is>
          <x:t xml:space="preserve"/>
        </x:is>
      </x:c>
      <x:c r="Q436" s="24" t="inlineStr">
        <x:is>
          <x:t xml:space="preserve"/>
        </x:is>
      </x:c>
      <x:c r="R436" s="24" t="inlineStr">
        <x:is>
          <x:t xml:space="preserve"/>
        </x:is>
      </x:c>
      <x:c r="S436" s="25">
        <x:f>IF(H436="","",IFERROR(H436/G436,""))</x:f>
      </x:c>
      <x:c r="T436" s="26">
        <x:f>IF(H436="","",IFERROR((J436+K436+L436+N436)/H436,""))</x:f>
      </x:c>
      <x:c r="U436" s="25">
        <x:f>IF(COUNTA(J436:L436,N436)=0,"",IFERROR(AVERAGE(J436:L436,N436),""))</x:f>
      </x:c>
      <x:c r="V436" s="17" t="inlineStr">
        <x:is>
          <x:t xml:space="preserve"/>
        </x:is>
      </x:c>
    </x:row>
    <x:row r="437">
      <x:c r="A437" s="16" t="inlineStr">
        <x:is>
          <x:t xml:space="preserve">P037</x:t>
        </x:is>
      </x:c>
      <x:c r="B437" s="16" t="n">
        <x:v>1</x:v>
      </x:c>
      <x:c r="C437" s="16" t="inlineStr">
        <x:is>
          <x:t xml:space="preserve">V04</x:t>
        </x:is>
      </x:c>
      <x:c r="D437" s="16" t="inlineStr">
        <x:is>
          <x:t xml:space="preserve">Finance</x:t>
        </x:is>
      </x:c>
      <x:c r="E437" s="16" t="inlineStr">
        <x:is>
          <x:t xml:space="preserve">BCC</x:t>
        </x:is>
      </x:c>
      <x:c r="F437" s="16" t="inlineStr">
        <x:is>
          <x:t xml:space="preserve">Muted</x:t>
        </x:is>
      </x:c>
      <x:c r="G437" s="21" t="n">
        <x:v>20</x:v>
      </x:c>
      <x:c r="H437" s="21" t="inlineStr">
        <x:is>
          <x:t xml:space="preserve"/>
        </x:is>
      </x:c>
      <x:c r="I437" s="21" t="inlineStr">
        <x:is>
          <x:t xml:space="preserve"/>
        </x:is>
      </x:c>
      <x:c r="J437" s="21" t="inlineStr">
        <x:is>
          <x:t xml:space="preserve"/>
        </x:is>
      </x:c>
      <x:c r="K437" s="21" t="inlineStr">
        <x:is>
          <x:t xml:space="preserve"/>
        </x:is>
      </x:c>
      <x:c r="L437" s="21" t="inlineStr">
        <x:is>
          <x:t xml:space="preserve"/>
        </x:is>
      </x:c>
      <x:c r="M437" s="21" t="inlineStr">
        <x:is>
          <x:t xml:space="preserve"/>
        </x:is>
      </x:c>
      <x:c r="N437" s="21" t="inlineStr">
        <x:is>
          <x:t xml:space="preserve"/>
        </x:is>
      </x:c>
      <x:c r="O437" s="21" t="inlineStr">
        <x:is>
          <x:t xml:space="preserve"/>
        </x:is>
      </x:c>
      <x:c r="P437" s="21" t="inlineStr">
        <x:is>
          <x:t xml:space="preserve"/>
        </x:is>
      </x:c>
      <x:c r="Q437" s="21" t="inlineStr">
        <x:is>
          <x:t xml:space="preserve"/>
        </x:is>
      </x:c>
      <x:c r="R437" s="21" t="inlineStr">
        <x:is>
          <x:t xml:space="preserve"/>
        </x:is>
      </x:c>
      <x:c r="S437" s="22">
        <x:f>IF(H437="","",IFERROR(H437/G437,""))</x:f>
      </x:c>
      <x:c r="T437" s="23">
        <x:f>IF(H437="","",IFERROR((J437+K437+L437+N437)/H437,""))</x:f>
      </x:c>
      <x:c r="U437" s="22">
        <x:f>IF(COUNTA(J437:L437,N437)=0,"",IFERROR(AVERAGE(J437:L437,N437),""))</x:f>
      </x:c>
      <x:c r="V437" s="16" t="inlineStr">
        <x:is>
          <x:t xml:space="preserve"/>
        </x:is>
      </x:c>
    </x:row>
    <x:row r="438">
      <x:c r="A438" s="17" t="inlineStr">
        <x:is>
          <x:t xml:space="preserve">P037</x:t>
        </x:is>
      </x:c>
      <x:c r="B438" s="17" t="n">
        <x:v>2</x:v>
      </x:c>
      <x:c r="C438" s="17" t="inlineStr">
        <x:is>
          <x:t xml:space="preserve">V07</x:t>
        </x:is>
      </x:c>
      <x:c r="D438" s="17" t="inlineStr">
        <x:is>
          <x:t xml:space="preserve">Business</x:t>
        </x:is>
      </x:c>
      <x:c r="E438" s="17" t="inlineStr">
        <x:is>
          <x:t xml:space="preserve">Full transcript</x:t>
        </x:is>
      </x:c>
      <x:c r="F438" s="17" t="inlineStr">
        <x:is>
          <x:t xml:space="preserve">Muted</x:t>
        </x:is>
      </x:c>
      <x:c r="G438" s="24" t="n">
        <x:v>18</x:v>
      </x:c>
      <x:c r="H438" s="24" t="inlineStr">
        <x:is>
          <x:t xml:space="preserve"/>
        </x:is>
      </x:c>
      <x:c r="I438" s="24" t="inlineStr">
        <x:is>
          <x:t xml:space="preserve"/>
        </x:is>
      </x:c>
      <x:c r="J438" s="24" t="inlineStr">
        <x:is>
          <x:t xml:space="preserve"/>
        </x:is>
      </x:c>
      <x:c r="K438" s="24" t="inlineStr">
        <x:is>
          <x:t xml:space="preserve"/>
        </x:is>
      </x:c>
      <x:c r="L438" s="24" t="inlineStr">
        <x:is>
          <x:t xml:space="preserve"/>
        </x:is>
      </x:c>
      <x:c r="M438" s="24" t="inlineStr">
        <x:is>
          <x:t xml:space="preserve"/>
        </x:is>
      </x:c>
      <x:c r="N438" s="24" t="inlineStr">
        <x:is>
          <x:t xml:space="preserve"/>
        </x:is>
      </x:c>
      <x:c r="O438" s="24" t="inlineStr">
        <x:is>
          <x:t xml:space="preserve"/>
        </x:is>
      </x:c>
      <x:c r="P438" s="24" t="inlineStr">
        <x:is>
          <x:t xml:space="preserve"/>
        </x:is>
      </x:c>
      <x:c r="Q438" s="24" t="inlineStr">
        <x:is>
          <x:t xml:space="preserve"/>
        </x:is>
      </x:c>
      <x:c r="R438" s="24" t="inlineStr">
        <x:is>
          <x:t xml:space="preserve"/>
        </x:is>
      </x:c>
      <x:c r="S438" s="25">
        <x:f>IF(H438="","",IFERROR(H438/G438,""))</x:f>
      </x:c>
      <x:c r="T438" s="26">
        <x:f>IF(H438="","",IFERROR((J438+K438+L438+N438)/H438,""))</x:f>
      </x:c>
      <x:c r="U438" s="25">
        <x:f>IF(COUNTA(J438:L438,N438)=0,"",IFERROR(AVERAGE(J438:L438,N438),""))</x:f>
      </x:c>
      <x:c r="V438" s="17" t="inlineStr">
        <x:is>
          <x:t xml:space="preserve"/>
        </x:is>
      </x:c>
    </x:row>
    <x:row r="439">
      <x:c r="A439" s="16" t="inlineStr">
        <x:is>
          <x:t xml:space="preserve">P037</x:t>
        </x:is>
      </x:c>
      <x:c r="B439" s="16" t="n">
        <x:v>3</x:v>
      </x:c>
      <x:c r="C439" s="16" t="inlineStr">
        <x:is>
          <x:t xml:space="preserve">V05</x:t>
        </x:is>
      </x:c>
      <x:c r="D439" s="16" t="inlineStr">
        <x:is>
          <x:t xml:space="preserve">Tutorial</x:t>
        </x:is>
      </x:c>
      <x:c r="E439" s="16" t="inlineStr">
        <x:is>
          <x:t xml:space="preserve">BCC+</x:t>
        </x:is>
      </x:c>
      <x:c r="F439" s="16" t="inlineStr">
        <x:is>
          <x:t xml:space="preserve">Muted</x:t>
        </x:is>
      </x:c>
      <x:c r="G439" s="21" t="n">
        <x:v>20</x:v>
      </x:c>
      <x:c r="H439" s="21" t="inlineStr">
        <x:is>
          <x:t xml:space="preserve"/>
        </x:is>
      </x:c>
      <x:c r="I439" s="21" t="inlineStr">
        <x:is>
          <x:t xml:space="preserve"/>
        </x:is>
      </x:c>
      <x:c r="J439" s="21" t="inlineStr">
        <x:is>
          <x:t xml:space="preserve"/>
        </x:is>
      </x:c>
      <x:c r="K439" s="21" t="inlineStr">
        <x:is>
          <x:t xml:space="preserve"/>
        </x:is>
      </x:c>
      <x:c r="L439" s="21" t="inlineStr">
        <x:is>
          <x:t xml:space="preserve"/>
        </x:is>
      </x:c>
      <x:c r="M439" s="21" t="inlineStr">
        <x:is>
          <x:t xml:space="preserve"/>
        </x:is>
      </x:c>
      <x:c r="N439" s="21" t="inlineStr">
        <x:is>
          <x:t xml:space="preserve"/>
        </x:is>
      </x:c>
      <x:c r="O439" s="21" t="inlineStr">
        <x:is>
          <x:t xml:space="preserve"/>
        </x:is>
      </x:c>
      <x:c r="P439" s="21" t="inlineStr">
        <x:is>
          <x:t xml:space="preserve"/>
        </x:is>
      </x:c>
      <x:c r="Q439" s="21" t="inlineStr">
        <x:is>
          <x:t xml:space="preserve"/>
        </x:is>
      </x:c>
      <x:c r="R439" s="21" t="inlineStr">
        <x:is>
          <x:t xml:space="preserve"/>
        </x:is>
      </x:c>
      <x:c r="S439" s="22">
        <x:f>IF(H439="","",IFERROR(H439/G439,""))</x:f>
      </x:c>
      <x:c r="T439" s="23">
        <x:f>IF(H439="","",IFERROR((J439+K439+L439+N439)/H439,""))</x:f>
      </x:c>
      <x:c r="U439" s="22">
        <x:f>IF(COUNTA(J439:L439,N439)=0,"",IFERROR(AVERAGE(J439:L439,N439),""))</x:f>
      </x:c>
      <x:c r="V439" s="16" t="inlineStr">
        <x:is>
          <x:t xml:space="preserve"/>
        </x:is>
      </x:c>
    </x:row>
    <x:row r="440">
      <x:c r="A440" s="17" t="inlineStr">
        <x:is>
          <x:t xml:space="preserve">P037</x:t>
        </x:is>
      </x:c>
      <x:c r="B440" s="17" t="n">
        <x:v>4</x:v>
      </x:c>
      <x:c r="C440" s="17" t="inlineStr">
        <x:is>
          <x:t xml:space="preserve">V09</x:t>
        </x:is>
      </x:c>
      <x:c r="D440" s="17" t="inlineStr">
        <x:is>
          <x:t xml:space="preserve">Sleep habit</x:t>
        </x:is>
      </x:c>
      <x:c r="E440" s="17" t="inlineStr">
        <x:is>
          <x:t xml:space="preserve">Semantic compression</x:t>
        </x:is>
      </x:c>
      <x:c r="F440" s="17" t="inlineStr">
        <x:is>
          <x:t xml:space="preserve">Muted</x:t>
        </x:is>
      </x:c>
      <x:c r="G440" s="24" t="n">
        <x:v>19</x:v>
      </x:c>
      <x:c r="H440" s="24" t="inlineStr">
        <x:is>
          <x:t xml:space="preserve"/>
        </x:is>
      </x:c>
      <x:c r="I440" s="24" t="inlineStr">
        <x:is>
          <x:t xml:space="preserve"/>
        </x:is>
      </x:c>
      <x:c r="J440" s="24" t="inlineStr">
        <x:is>
          <x:t xml:space="preserve"/>
        </x:is>
      </x:c>
      <x:c r="K440" s="24" t="inlineStr">
        <x:is>
          <x:t xml:space="preserve"/>
        </x:is>
      </x:c>
      <x:c r="L440" s="24" t="inlineStr">
        <x:is>
          <x:t xml:space="preserve"/>
        </x:is>
      </x:c>
      <x:c r="M440" s="24" t="inlineStr">
        <x:is>
          <x:t xml:space="preserve"/>
        </x:is>
      </x:c>
      <x:c r="N440" s="24" t="inlineStr">
        <x:is>
          <x:t xml:space="preserve"/>
        </x:is>
      </x:c>
      <x:c r="O440" s="24" t="inlineStr">
        <x:is>
          <x:t xml:space="preserve"/>
        </x:is>
      </x:c>
      <x:c r="P440" s="24" t="inlineStr">
        <x:is>
          <x:t xml:space="preserve"/>
        </x:is>
      </x:c>
      <x:c r="Q440" s="24" t="inlineStr">
        <x:is>
          <x:t xml:space="preserve"/>
        </x:is>
      </x:c>
      <x:c r="R440" s="24" t="inlineStr">
        <x:is>
          <x:t xml:space="preserve"/>
        </x:is>
      </x:c>
      <x:c r="S440" s="25">
        <x:f>IF(H440="","",IFERROR(H440/G440,""))</x:f>
      </x:c>
      <x:c r="T440" s="26">
        <x:f>IF(H440="","",IFERROR((J440+K440+L440+N440)/H440,""))</x:f>
      </x:c>
      <x:c r="U440" s="25">
        <x:f>IF(COUNTA(J440:L440,N440)=0,"",IFERROR(AVERAGE(J440:L440,N440),""))</x:f>
      </x:c>
      <x:c r="V440" s="17" t="inlineStr">
        <x:is>
          <x:t xml:space="preserve"/>
        </x:is>
      </x:c>
    </x:row>
    <x:row r="441">
      <x:c r="A441" s="16" t="inlineStr">
        <x:is>
          <x:t xml:space="preserve">P037</x:t>
        </x:is>
      </x:c>
      <x:c r="B441" s="16" t="n">
        <x:v>5</x:v>
      </x:c>
      <x:c r="C441" s="16" t="inlineStr">
        <x:is>
          <x:t xml:space="preserve">V06</x:t>
        </x:is>
      </x:c>
      <x:c r="D441" s="16" t="inlineStr">
        <x:is>
          <x:t xml:space="preserve">Overload</x:t>
        </x:is>
      </x:c>
      <x:c r="E441" s="16" t="inlineStr">
        <x:is>
          <x:t xml:space="preserve">Heavy bionic</x:t>
        </x:is>
      </x:c>
      <x:c r="F441" s="16" t="inlineStr">
        <x:is>
          <x:t xml:space="preserve">Muted</x:t>
        </x:is>
      </x:c>
      <x:c r="G441" s="21" t="n">
        <x:v>16</x:v>
      </x:c>
      <x:c r="H441" s="21" t="inlineStr">
        <x:is>
          <x:t xml:space="preserve"/>
        </x:is>
      </x:c>
      <x:c r="I441" s="21" t="inlineStr">
        <x:is>
          <x:t xml:space="preserve"/>
        </x:is>
      </x:c>
      <x:c r="J441" s="21" t="inlineStr">
        <x:is>
          <x:t xml:space="preserve"/>
        </x:is>
      </x:c>
      <x:c r="K441" s="21" t="inlineStr">
        <x:is>
          <x:t xml:space="preserve"/>
        </x:is>
      </x:c>
      <x:c r="L441" s="21" t="inlineStr">
        <x:is>
          <x:t xml:space="preserve"/>
        </x:is>
      </x:c>
      <x:c r="M441" s="21" t="inlineStr">
        <x:is>
          <x:t xml:space="preserve"/>
        </x:is>
      </x:c>
      <x:c r="N441" s="21" t="inlineStr">
        <x:is>
          <x:t xml:space="preserve"/>
        </x:is>
      </x:c>
      <x:c r="O441" s="21" t="inlineStr">
        <x:is>
          <x:t xml:space="preserve"/>
        </x:is>
      </x:c>
      <x:c r="P441" s="21" t="inlineStr">
        <x:is>
          <x:t xml:space="preserve"/>
        </x:is>
      </x:c>
      <x:c r="Q441" s="21" t="inlineStr">
        <x:is>
          <x:t xml:space="preserve"/>
        </x:is>
      </x:c>
      <x:c r="R441" s="21" t="inlineStr">
        <x:is>
          <x:t xml:space="preserve"/>
        </x:is>
      </x:c>
      <x:c r="S441" s="22">
        <x:f>IF(H441="","",IFERROR(H441/G441,""))</x:f>
      </x:c>
      <x:c r="T441" s="23">
        <x:f>IF(H441="","",IFERROR((J441+K441+L441+N441)/H441,""))</x:f>
      </x:c>
      <x:c r="U441" s="22">
        <x:f>IF(COUNTA(J441:L441,N441)=0,"",IFERROR(AVERAGE(J441:L441,N441),""))</x:f>
      </x:c>
      <x:c r="V441" s="16" t="inlineStr">
        <x:is>
          <x:t xml:space="preserve"/>
        </x:is>
      </x:c>
    </x:row>
    <x:row r="442">
      <x:c r="A442" s="17" t="inlineStr">
        <x:is>
          <x:t xml:space="preserve">P037</x:t>
        </x:is>
      </x:c>
      <x:c r="B442" s="17" t="n">
        <x:v>6</x:v>
      </x:c>
      <x:c r="C442" s="17" t="inlineStr">
        <x:is>
          <x:t xml:space="preserve">V03</x:t>
        </x:is>
      </x:c>
      <x:c r="D442" s="17" t="inlineStr">
        <x:is>
          <x:t xml:space="preserve">Fitness</x:t>
        </x:is>
      </x:c>
      <x:c r="E442" s="17" t="inlineStr">
        <x:is>
          <x:t xml:space="preserve">Semantic compression</x:t>
        </x:is>
      </x:c>
      <x:c r="F442" s="17" t="inlineStr">
        <x:is>
          <x:t xml:space="preserve">Muted</x:t>
        </x:is>
      </x:c>
      <x:c r="G442" s="24" t="n">
        <x:v>18</x:v>
      </x:c>
      <x:c r="H442" s="24" t="inlineStr">
        <x:is>
          <x:t xml:space="preserve"/>
        </x:is>
      </x:c>
      <x:c r="I442" s="24" t="inlineStr">
        <x:is>
          <x:t xml:space="preserve"/>
        </x:is>
      </x:c>
      <x:c r="J442" s="24" t="inlineStr">
        <x:is>
          <x:t xml:space="preserve"/>
        </x:is>
      </x:c>
      <x:c r="K442" s="24" t="inlineStr">
        <x:is>
          <x:t xml:space="preserve"/>
        </x:is>
      </x:c>
      <x:c r="L442" s="24" t="inlineStr">
        <x:is>
          <x:t xml:space="preserve"/>
        </x:is>
      </x:c>
      <x:c r="M442" s="24" t="inlineStr">
        <x:is>
          <x:t xml:space="preserve"/>
        </x:is>
      </x:c>
      <x:c r="N442" s="24" t="inlineStr">
        <x:is>
          <x:t xml:space="preserve"/>
        </x:is>
      </x:c>
      <x:c r="O442" s="24" t="inlineStr">
        <x:is>
          <x:t xml:space="preserve"/>
        </x:is>
      </x:c>
      <x:c r="P442" s="24" t="inlineStr">
        <x:is>
          <x:t xml:space="preserve"/>
        </x:is>
      </x:c>
      <x:c r="Q442" s="24" t="inlineStr">
        <x:is>
          <x:t xml:space="preserve"/>
        </x:is>
      </x:c>
      <x:c r="R442" s="24" t="inlineStr">
        <x:is>
          <x:t xml:space="preserve"/>
        </x:is>
      </x:c>
      <x:c r="S442" s="25">
        <x:f>IF(H442="","",IFERROR(H442/G442,""))</x:f>
      </x:c>
      <x:c r="T442" s="26">
        <x:f>IF(H442="","",IFERROR((J442+K442+L442+N442)/H442,""))</x:f>
      </x:c>
      <x:c r="U442" s="25">
        <x:f>IF(COUNTA(J442:L442,N442)=0,"",IFERROR(AVERAGE(J442:L442,N442),""))</x:f>
      </x:c>
      <x:c r="V442" s="17" t="inlineStr">
        <x:is>
          <x:t xml:space="preserve"/>
        </x:is>
      </x:c>
    </x:row>
    <x:row r="443">
      <x:c r="A443" s="16" t="inlineStr">
        <x:is>
          <x:t xml:space="preserve">P037</x:t>
        </x:is>
      </x:c>
      <x:c r="B443" s="16" t="n">
        <x:v>7</x:v>
      </x:c>
      <x:c r="C443" s="16" t="inlineStr">
        <x:is>
          <x:t xml:space="preserve">V10</x:t>
        </x:is>
      </x:c>
      <x:c r="D443" s="16" t="inlineStr">
        <x:is>
          <x:t xml:space="preserve">Product demo</x:t>
        </x:is>
      </x:c>
      <x:c r="E443" s="16" t="inlineStr">
        <x:is>
          <x:t xml:space="preserve">BCC</x:t>
        </x:is>
      </x:c>
      <x:c r="F443" s="16" t="inlineStr">
        <x:is>
          <x:t xml:space="preserve">Muted</x:t>
        </x:is>
      </x:c>
      <x:c r="G443" s="21" t="n">
        <x:v>15</x:v>
      </x:c>
      <x:c r="H443" s="21" t="inlineStr">
        <x:is>
          <x:t xml:space="preserve"/>
        </x:is>
      </x:c>
      <x:c r="I443" s="21" t="inlineStr">
        <x:is>
          <x:t xml:space="preserve"/>
        </x:is>
      </x:c>
      <x:c r="J443" s="21" t="inlineStr">
        <x:is>
          <x:t xml:space="preserve"/>
        </x:is>
      </x:c>
      <x:c r="K443" s="21" t="inlineStr">
        <x:is>
          <x:t xml:space="preserve"/>
        </x:is>
      </x:c>
      <x:c r="L443" s="21" t="inlineStr">
        <x:is>
          <x:t xml:space="preserve"/>
        </x:is>
      </x:c>
      <x:c r="M443" s="21" t="inlineStr">
        <x:is>
          <x:t xml:space="preserve"/>
        </x:is>
      </x:c>
      <x:c r="N443" s="21" t="inlineStr">
        <x:is>
          <x:t xml:space="preserve"/>
        </x:is>
      </x:c>
      <x:c r="O443" s="21" t="inlineStr">
        <x:is>
          <x:t xml:space="preserve"/>
        </x:is>
      </x:c>
      <x:c r="P443" s="21" t="inlineStr">
        <x:is>
          <x:t xml:space="preserve"/>
        </x:is>
      </x:c>
      <x:c r="Q443" s="21" t="inlineStr">
        <x:is>
          <x:t xml:space="preserve"/>
        </x:is>
      </x:c>
      <x:c r="R443" s="21" t="inlineStr">
        <x:is>
          <x:t xml:space="preserve"/>
        </x:is>
      </x:c>
      <x:c r="S443" s="22">
        <x:f>IF(H443="","",IFERROR(H443/G443,""))</x:f>
      </x:c>
      <x:c r="T443" s="23">
        <x:f>IF(H443="","",IFERROR((J443+K443+L443+N443)/H443,""))</x:f>
      </x:c>
      <x:c r="U443" s="22">
        <x:f>IF(COUNTA(J443:L443,N443)=0,"",IFERROR(AVERAGE(J443:L443,N443),""))</x:f>
      </x:c>
      <x:c r="V443" s="16" t="inlineStr">
        <x:is>
          <x:t xml:space="preserve"/>
        </x:is>
      </x:c>
    </x:row>
    <x:row r="444">
      <x:c r="A444" s="17" t="inlineStr">
        <x:is>
          <x:t xml:space="preserve">P037</x:t>
        </x:is>
      </x:c>
      <x:c r="B444" s="17" t="n">
        <x:v>8</x:v>
      </x:c>
      <x:c r="C444" s="17" t="inlineStr">
        <x:is>
          <x:t xml:space="preserve">V01</x:t>
        </x:is>
      </x:c>
      <x:c r="D444" s="17" t="inlineStr">
        <x:is>
          <x:t xml:space="preserve">Productivity</x:t>
        </x:is>
      </x:c>
      <x:c r="E444" s="17" t="inlineStr">
        <x:is>
          <x:t xml:space="preserve">Full transcript</x:t>
        </x:is>
      </x:c>
      <x:c r="F444" s="17" t="inlineStr">
        <x:is>
          <x:t xml:space="preserve">Muted</x:t>
        </x:is>
      </x:c>
      <x:c r="G444" s="24" t="n">
        <x:v>25</x:v>
      </x:c>
      <x:c r="H444" s="24" t="inlineStr">
        <x:is>
          <x:t xml:space="preserve"/>
        </x:is>
      </x:c>
      <x:c r="I444" s="24" t="inlineStr">
        <x:is>
          <x:t xml:space="preserve"/>
        </x:is>
      </x:c>
      <x:c r="J444" s="24" t="inlineStr">
        <x:is>
          <x:t xml:space="preserve"/>
        </x:is>
      </x:c>
      <x:c r="K444" s="24" t="inlineStr">
        <x:is>
          <x:t xml:space="preserve"/>
        </x:is>
      </x:c>
      <x:c r="L444" s="24" t="inlineStr">
        <x:is>
          <x:t xml:space="preserve"/>
        </x:is>
      </x:c>
      <x:c r="M444" s="24" t="inlineStr">
        <x:is>
          <x:t xml:space="preserve"/>
        </x:is>
      </x:c>
      <x:c r="N444" s="24" t="inlineStr">
        <x:is>
          <x:t xml:space="preserve"/>
        </x:is>
      </x:c>
      <x:c r="O444" s="24" t="inlineStr">
        <x:is>
          <x:t xml:space="preserve"/>
        </x:is>
      </x:c>
      <x:c r="P444" s="24" t="inlineStr">
        <x:is>
          <x:t xml:space="preserve"/>
        </x:is>
      </x:c>
      <x:c r="Q444" s="24" t="inlineStr">
        <x:is>
          <x:t xml:space="preserve"/>
        </x:is>
      </x:c>
      <x:c r="R444" s="24" t="inlineStr">
        <x:is>
          <x:t xml:space="preserve"/>
        </x:is>
      </x:c>
      <x:c r="S444" s="25">
        <x:f>IF(H444="","",IFERROR(H444/G444,""))</x:f>
      </x:c>
      <x:c r="T444" s="26">
        <x:f>IF(H444="","",IFERROR((J444+K444+L444+N444)/H444,""))</x:f>
      </x:c>
      <x:c r="U444" s="25">
        <x:f>IF(COUNTA(J444:L444,N444)=0,"",IFERROR(AVERAGE(J444:L444,N444),""))</x:f>
      </x:c>
      <x:c r="V444" s="17" t="inlineStr">
        <x:is>
          <x:t xml:space="preserve"/>
        </x:is>
      </x:c>
    </x:row>
    <x:row r="445">
      <x:c r="A445" s="16" t="inlineStr">
        <x:is>
          <x:t xml:space="preserve">P037</x:t>
        </x:is>
      </x:c>
      <x:c r="B445" s="16" t="n">
        <x:v>9</x:v>
      </x:c>
      <x:c r="C445" s="16" t="inlineStr">
        <x:is>
          <x:t xml:space="preserve">V12</x:t>
        </x:is>
      </x:c>
      <x:c r="D445" s="16" t="inlineStr">
        <x:is>
          <x:t xml:space="preserve">Time management</x:t>
        </x:is>
      </x:c>
      <x:c r="E445" s="16" t="inlineStr">
        <x:is>
          <x:t xml:space="preserve">Heavy bionic</x:t>
        </x:is>
      </x:c>
      <x:c r="F445" s="16" t="inlineStr">
        <x:is>
          <x:t xml:space="preserve">Muted</x:t>
        </x:is>
      </x:c>
      <x:c r="G445" s="21" t="n">
        <x:v>21</x:v>
      </x:c>
      <x:c r="H445" s="21" t="inlineStr">
        <x:is>
          <x:t xml:space="preserve"/>
        </x:is>
      </x:c>
      <x:c r="I445" s="21" t="inlineStr">
        <x:is>
          <x:t xml:space="preserve"/>
        </x:is>
      </x:c>
      <x:c r="J445" s="21" t="inlineStr">
        <x:is>
          <x:t xml:space="preserve"/>
        </x:is>
      </x:c>
      <x:c r="K445" s="21" t="inlineStr">
        <x:is>
          <x:t xml:space="preserve"/>
        </x:is>
      </x:c>
      <x:c r="L445" s="21" t="inlineStr">
        <x:is>
          <x:t xml:space="preserve"/>
        </x:is>
      </x:c>
      <x:c r="M445" s="21" t="inlineStr">
        <x:is>
          <x:t xml:space="preserve"/>
        </x:is>
      </x:c>
      <x:c r="N445" s="21" t="inlineStr">
        <x:is>
          <x:t xml:space="preserve"/>
        </x:is>
      </x:c>
      <x:c r="O445" s="21" t="inlineStr">
        <x:is>
          <x:t xml:space="preserve"/>
        </x:is>
      </x:c>
      <x:c r="P445" s="21" t="inlineStr">
        <x:is>
          <x:t xml:space="preserve"/>
        </x:is>
      </x:c>
      <x:c r="Q445" s="21" t="inlineStr">
        <x:is>
          <x:t xml:space="preserve"/>
        </x:is>
      </x:c>
      <x:c r="R445" s="21" t="inlineStr">
        <x:is>
          <x:t xml:space="preserve"/>
        </x:is>
      </x:c>
      <x:c r="S445" s="22">
        <x:f>IF(H445="","",IFERROR(H445/G445,""))</x:f>
      </x:c>
      <x:c r="T445" s="23">
        <x:f>IF(H445="","",IFERROR((J445+K445+L445+N445)/H445,""))</x:f>
      </x:c>
      <x:c r="U445" s="22">
        <x:f>IF(COUNTA(J445:L445,N445)=0,"",IFERROR(AVERAGE(J445:L445,N445),""))</x:f>
      </x:c>
      <x:c r="V445" s="16" t="inlineStr">
        <x:is>
          <x:t xml:space="preserve"/>
        </x:is>
      </x:c>
    </x:row>
    <x:row r="446">
      <x:c r="A446" s="17" t="inlineStr">
        <x:is>
          <x:t xml:space="preserve">P037</x:t>
        </x:is>
      </x:c>
      <x:c r="B446" s="17" t="n">
        <x:v>10</x:v>
      </x:c>
      <x:c r="C446" s="17" t="inlineStr">
        <x:is>
          <x:t xml:space="preserve">V11</x:t>
        </x:is>
      </x:c>
      <x:c r="D446" s="17" t="inlineStr">
        <x:is>
          <x:t xml:space="preserve">Creator strategy</x:t>
        </x:is>
      </x:c>
      <x:c r="E446" s="17" t="inlineStr">
        <x:is>
          <x:t xml:space="preserve">BCC+</x:t>
        </x:is>
      </x:c>
      <x:c r="F446" s="17" t="inlineStr">
        <x:is>
          <x:t xml:space="preserve">Muted</x:t>
        </x:is>
      </x:c>
      <x:c r="G446" s="24" t="n">
        <x:v>17</x:v>
      </x:c>
      <x:c r="H446" s="24" t="inlineStr">
        <x:is>
          <x:t xml:space="preserve"/>
        </x:is>
      </x:c>
      <x:c r="I446" s="24" t="inlineStr">
        <x:is>
          <x:t xml:space="preserve"/>
        </x:is>
      </x:c>
      <x:c r="J446" s="24" t="inlineStr">
        <x:is>
          <x:t xml:space="preserve"/>
        </x:is>
      </x:c>
      <x:c r="K446" s="24" t="inlineStr">
        <x:is>
          <x:t xml:space="preserve"/>
        </x:is>
      </x:c>
      <x:c r="L446" s="24" t="inlineStr">
        <x:is>
          <x:t xml:space="preserve"/>
        </x:is>
      </x:c>
      <x:c r="M446" s="24" t="inlineStr">
        <x:is>
          <x:t xml:space="preserve"/>
        </x:is>
      </x:c>
      <x:c r="N446" s="24" t="inlineStr">
        <x:is>
          <x:t xml:space="preserve"/>
        </x:is>
      </x:c>
      <x:c r="O446" s="24" t="inlineStr">
        <x:is>
          <x:t xml:space="preserve"/>
        </x:is>
      </x:c>
      <x:c r="P446" s="24" t="inlineStr">
        <x:is>
          <x:t xml:space="preserve"/>
        </x:is>
      </x:c>
      <x:c r="Q446" s="24" t="inlineStr">
        <x:is>
          <x:t xml:space="preserve"/>
        </x:is>
      </x:c>
      <x:c r="R446" s="24" t="inlineStr">
        <x:is>
          <x:t xml:space="preserve"/>
        </x:is>
      </x:c>
      <x:c r="S446" s="25">
        <x:f>IF(H446="","",IFERROR(H446/G446,""))</x:f>
      </x:c>
      <x:c r="T446" s="26">
        <x:f>IF(H446="","",IFERROR((J446+K446+L446+N446)/H446,""))</x:f>
      </x:c>
      <x:c r="U446" s="25">
        <x:f>IF(COUNTA(J446:L446,N446)=0,"",IFERROR(AVERAGE(J446:L446,N446),""))</x:f>
      </x:c>
      <x:c r="V446" s="17" t="inlineStr">
        <x:is>
          <x:t xml:space="preserve"/>
        </x:is>
      </x:c>
    </x:row>
    <x:row r="447">
      <x:c r="A447" s="16" t="inlineStr">
        <x:is>
          <x:t xml:space="preserve">P037</x:t>
        </x:is>
      </x:c>
      <x:c r="B447" s="16" t="n">
        <x:v>11</x:v>
      </x:c>
      <x:c r="C447" s="16" t="inlineStr">
        <x:is>
          <x:t xml:space="preserve">V08</x:t>
        </x:is>
      </x:c>
      <x:c r="D447" s="16" t="inlineStr">
        <x:is>
          <x:t xml:space="preserve">Coding</x:t>
        </x:is>
      </x:c>
      <x:c r="E447" s="16" t="inlineStr">
        <x:is>
          <x:t xml:space="preserve">Keyword highlight</x:t>
        </x:is>
      </x:c>
      <x:c r="F447" s="16" t="inlineStr">
        <x:is>
          <x:t xml:space="preserve">Muted</x:t>
        </x:is>
      </x:c>
      <x:c r="G447" s="21" t="n">
        <x:v>24</x:v>
      </x:c>
      <x:c r="H447" s="21" t="inlineStr">
        <x:is>
          <x:t xml:space="preserve"/>
        </x:is>
      </x:c>
      <x:c r="I447" s="21" t="inlineStr">
        <x:is>
          <x:t xml:space="preserve"/>
        </x:is>
      </x:c>
      <x:c r="J447" s="21" t="inlineStr">
        <x:is>
          <x:t xml:space="preserve"/>
        </x:is>
      </x:c>
      <x:c r="K447" s="21" t="inlineStr">
        <x:is>
          <x:t xml:space="preserve"/>
        </x:is>
      </x:c>
      <x:c r="L447" s="21" t="inlineStr">
        <x:is>
          <x:t xml:space="preserve"/>
        </x:is>
      </x:c>
      <x:c r="M447" s="21" t="inlineStr">
        <x:is>
          <x:t xml:space="preserve"/>
        </x:is>
      </x:c>
      <x:c r="N447" s="21" t="inlineStr">
        <x:is>
          <x:t xml:space="preserve"/>
        </x:is>
      </x:c>
      <x:c r="O447" s="21" t="inlineStr">
        <x:is>
          <x:t xml:space="preserve"/>
        </x:is>
      </x:c>
      <x:c r="P447" s="21" t="inlineStr">
        <x:is>
          <x:t xml:space="preserve"/>
        </x:is>
      </x:c>
      <x:c r="Q447" s="21" t="inlineStr">
        <x:is>
          <x:t xml:space="preserve"/>
        </x:is>
      </x:c>
      <x:c r="R447" s="21" t="inlineStr">
        <x:is>
          <x:t xml:space="preserve"/>
        </x:is>
      </x:c>
      <x:c r="S447" s="22">
        <x:f>IF(H447="","",IFERROR(H447/G447,""))</x:f>
      </x:c>
      <x:c r="T447" s="23">
        <x:f>IF(H447="","",IFERROR((J447+K447+L447+N447)/H447,""))</x:f>
      </x:c>
      <x:c r="U447" s="22">
        <x:f>IF(COUNTA(J447:L447,N447)=0,"",IFERROR(AVERAGE(J447:L447,N447),""))</x:f>
      </x:c>
      <x:c r="V447" s="16" t="inlineStr">
        <x:is>
          <x:t xml:space="preserve"/>
        </x:is>
      </x:c>
    </x:row>
    <x:row r="448">
      <x:c r="A448" s="17" t="inlineStr">
        <x:is>
          <x:t xml:space="preserve">P037</x:t>
        </x:is>
      </x:c>
      <x:c r="B448" s="17" t="n">
        <x:v>12</x:v>
      </x:c>
      <x:c r="C448" s="17" t="inlineStr">
        <x:is>
          <x:t xml:space="preserve">V02</x:t>
        </x:is>
      </x:c>
      <x:c r="D448" s="17" t="inlineStr">
        <x:is>
          <x:t xml:space="preserve">Study</x:t>
        </x:is>
      </x:c>
      <x:c r="E448" s="17" t="inlineStr">
        <x:is>
          <x:t xml:space="preserve">Keyword highlight</x:t>
        </x:is>
      </x:c>
      <x:c r="F448" s="17" t="inlineStr">
        <x:is>
          <x:t xml:space="preserve">Muted</x:t>
        </x:is>
      </x:c>
      <x:c r="G448" s="24" t="n">
        <x:v>18</x:v>
      </x:c>
      <x:c r="H448" s="24" t="inlineStr">
        <x:is>
          <x:t xml:space="preserve"/>
        </x:is>
      </x:c>
      <x:c r="I448" s="24" t="inlineStr">
        <x:is>
          <x:t xml:space="preserve"/>
        </x:is>
      </x:c>
      <x:c r="J448" s="24" t="inlineStr">
        <x:is>
          <x:t xml:space="preserve"/>
        </x:is>
      </x:c>
      <x:c r="K448" s="24" t="inlineStr">
        <x:is>
          <x:t xml:space="preserve"/>
        </x:is>
      </x:c>
      <x:c r="L448" s="24" t="inlineStr">
        <x:is>
          <x:t xml:space="preserve"/>
        </x:is>
      </x:c>
      <x:c r="M448" s="24" t="inlineStr">
        <x:is>
          <x:t xml:space="preserve"/>
        </x:is>
      </x:c>
      <x:c r="N448" s="24" t="inlineStr">
        <x:is>
          <x:t xml:space="preserve"/>
        </x:is>
      </x:c>
      <x:c r="O448" s="24" t="inlineStr">
        <x:is>
          <x:t xml:space="preserve"/>
        </x:is>
      </x:c>
      <x:c r="P448" s="24" t="inlineStr">
        <x:is>
          <x:t xml:space="preserve"/>
        </x:is>
      </x:c>
      <x:c r="Q448" s="24" t="inlineStr">
        <x:is>
          <x:t xml:space="preserve"/>
        </x:is>
      </x:c>
      <x:c r="R448" s="24" t="inlineStr">
        <x:is>
          <x:t xml:space="preserve"/>
        </x:is>
      </x:c>
      <x:c r="S448" s="25">
        <x:f>IF(H448="","",IFERROR(H448/G448,""))</x:f>
      </x:c>
      <x:c r="T448" s="26">
        <x:f>IF(H448="","",IFERROR((J448+K448+L448+N448)/H448,""))</x:f>
      </x:c>
      <x:c r="U448" s="25">
        <x:f>IF(COUNTA(J448:L448,N448)=0,"",IFERROR(AVERAGE(J448:L448,N448),""))</x:f>
      </x:c>
      <x:c r="V448" s="17" t="inlineStr">
        <x:is>
          <x:t xml:space="preserve"/>
        </x:is>
      </x:c>
    </x:row>
    <x:row r="449">
      <x:c r="A449" s="16" t="inlineStr">
        <x:is>
          <x:t xml:space="preserve">P038</x:t>
        </x:is>
      </x:c>
      <x:c r="B449" s="16" t="n">
        <x:v>1</x:v>
      </x:c>
      <x:c r="C449" s="16" t="inlineStr">
        <x:is>
          <x:t xml:space="preserve">V10</x:t>
        </x:is>
      </x:c>
      <x:c r="D449" s="16" t="inlineStr">
        <x:is>
          <x:t xml:space="preserve">Product demo</x:t>
        </x:is>
      </x:c>
      <x:c r="E449" s="16" t="inlineStr">
        <x:is>
          <x:t xml:space="preserve">BCC+</x:t>
        </x:is>
      </x:c>
      <x:c r="F449" s="16" t="inlineStr">
        <x:is>
          <x:t xml:space="preserve">Muted</x:t>
        </x:is>
      </x:c>
      <x:c r="G449" s="21" t="n">
        <x:v>15</x:v>
      </x:c>
      <x:c r="H449" s="21" t="inlineStr">
        <x:is>
          <x:t xml:space="preserve"/>
        </x:is>
      </x:c>
      <x:c r="I449" s="21" t="inlineStr">
        <x:is>
          <x:t xml:space="preserve"/>
        </x:is>
      </x:c>
      <x:c r="J449" s="21" t="inlineStr">
        <x:is>
          <x:t xml:space="preserve"/>
        </x:is>
      </x:c>
      <x:c r="K449" s="21" t="inlineStr">
        <x:is>
          <x:t xml:space="preserve"/>
        </x:is>
      </x:c>
      <x:c r="L449" s="21" t="inlineStr">
        <x:is>
          <x:t xml:space="preserve"/>
        </x:is>
      </x:c>
      <x:c r="M449" s="21" t="inlineStr">
        <x:is>
          <x:t xml:space="preserve"/>
        </x:is>
      </x:c>
      <x:c r="N449" s="21" t="inlineStr">
        <x:is>
          <x:t xml:space="preserve"/>
        </x:is>
      </x:c>
      <x:c r="O449" s="21" t="inlineStr">
        <x:is>
          <x:t xml:space="preserve"/>
        </x:is>
      </x:c>
      <x:c r="P449" s="21" t="inlineStr">
        <x:is>
          <x:t xml:space="preserve"/>
        </x:is>
      </x:c>
      <x:c r="Q449" s="21" t="inlineStr">
        <x:is>
          <x:t xml:space="preserve"/>
        </x:is>
      </x:c>
      <x:c r="R449" s="21" t="inlineStr">
        <x:is>
          <x:t xml:space="preserve"/>
        </x:is>
      </x:c>
      <x:c r="S449" s="22">
        <x:f>IF(H449="","",IFERROR(H449/G449,""))</x:f>
      </x:c>
      <x:c r="T449" s="23">
        <x:f>IF(H449="","",IFERROR((J449+K449+L449+N449)/H449,""))</x:f>
      </x:c>
      <x:c r="U449" s="22">
        <x:f>IF(COUNTA(J449:L449,N449)=0,"",IFERROR(AVERAGE(J449:L449,N449),""))</x:f>
      </x:c>
      <x:c r="V449" s="16" t="inlineStr">
        <x:is>
          <x:t xml:space="preserve"/>
        </x:is>
      </x:c>
    </x:row>
    <x:row r="450">
      <x:c r="A450" s="17" t="inlineStr">
        <x:is>
          <x:t xml:space="preserve">P038</x:t>
        </x:is>
      </x:c>
      <x:c r="B450" s="17" t="n">
        <x:v>2</x:v>
      </x:c>
      <x:c r="C450" s="17" t="inlineStr">
        <x:is>
          <x:t xml:space="preserve">V08</x:t>
        </x:is>
      </x:c>
      <x:c r="D450" s="17" t="inlineStr">
        <x:is>
          <x:t xml:space="preserve">Coding</x:t>
        </x:is>
      </x:c>
      <x:c r="E450" s="17" t="inlineStr">
        <x:is>
          <x:t xml:space="preserve">Semantic compression</x:t>
        </x:is>
      </x:c>
      <x:c r="F450" s="17" t="inlineStr">
        <x:is>
          <x:t xml:space="preserve">Muted</x:t>
        </x:is>
      </x:c>
      <x:c r="G450" s="24" t="n">
        <x:v>24</x:v>
      </x:c>
      <x:c r="H450" s="24" t="inlineStr">
        <x:is>
          <x:t xml:space="preserve"/>
        </x:is>
      </x:c>
      <x:c r="I450" s="24" t="inlineStr">
        <x:is>
          <x:t xml:space="preserve"/>
        </x:is>
      </x:c>
      <x:c r="J450" s="24" t="inlineStr">
        <x:is>
          <x:t xml:space="preserve"/>
        </x:is>
      </x:c>
      <x:c r="K450" s="24" t="inlineStr">
        <x:is>
          <x:t xml:space="preserve"/>
        </x:is>
      </x:c>
      <x:c r="L450" s="24" t="inlineStr">
        <x:is>
          <x:t xml:space="preserve"/>
        </x:is>
      </x:c>
      <x:c r="M450" s="24" t="inlineStr">
        <x:is>
          <x:t xml:space="preserve"/>
        </x:is>
      </x:c>
      <x:c r="N450" s="24" t="inlineStr">
        <x:is>
          <x:t xml:space="preserve"/>
        </x:is>
      </x:c>
      <x:c r="O450" s="24" t="inlineStr">
        <x:is>
          <x:t xml:space="preserve"/>
        </x:is>
      </x:c>
      <x:c r="P450" s="24" t="inlineStr">
        <x:is>
          <x:t xml:space="preserve"/>
        </x:is>
      </x:c>
      <x:c r="Q450" s="24" t="inlineStr">
        <x:is>
          <x:t xml:space="preserve"/>
        </x:is>
      </x:c>
      <x:c r="R450" s="24" t="inlineStr">
        <x:is>
          <x:t xml:space="preserve"/>
        </x:is>
      </x:c>
      <x:c r="S450" s="25">
        <x:f>IF(H450="","",IFERROR(H450/G450,""))</x:f>
      </x:c>
      <x:c r="T450" s="26">
        <x:f>IF(H450="","",IFERROR((J450+K450+L450+N450)/H450,""))</x:f>
      </x:c>
      <x:c r="U450" s="25">
        <x:f>IF(COUNTA(J450:L450,N450)=0,"",IFERROR(AVERAGE(J450:L450,N450),""))</x:f>
      </x:c>
      <x:c r="V450" s="17" t="inlineStr">
        <x:is>
          <x:t xml:space="preserve"/>
        </x:is>
      </x:c>
    </x:row>
    <x:row r="451">
      <x:c r="A451" s="16" t="inlineStr">
        <x:is>
          <x:t xml:space="preserve">P038</x:t>
        </x:is>
      </x:c>
      <x:c r="B451" s="16" t="n">
        <x:v>3</x:v>
      </x:c>
      <x:c r="C451" s="16" t="inlineStr">
        <x:is>
          <x:t xml:space="preserve">V07</x:t>
        </x:is>
      </x:c>
      <x:c r="D451" s="16" t="inlineStr">
        <x:is>
          <x:t xml:space="preserve">Business</x:t>
        </x:is>
      </x:c>
      <x:c r="E451" s="16" t="inlineStr">
        <x:is>
          <x:t xml:space="preserve">Keyword highlight</x:t>
        </x:is>
      </x:c>
      <x:c r="F451" s="16" t="inlineStr">
        <x:is>
          <x:t xml:space="preserve">Muted</x:t>
        </x:is>
      </x:c>
      <x:c r="G451" s="21" t="n">
        <x:v>18</x:v>
      </x:c>
      <x:c r="H451" s="21" t="inlineStr">
        <x:is>
          <x:t xml:space="preserve"/>
        </x:is>
      </x:c>
      <x:c r="I451" s="21" t="inlineStr">
        <x:is>
          <x:t xml:space="preserve"/>
        </x:is>
      </x:c>
      <x:c r="J451" s="21" t="inlineStr">
        <x:is>
          <x:t xml:space="preserve"/>
        </x:is>
      </x:c>
      <x:c r="K451" s="21" t="inlineStr">
        <x:is>
          <x:t xml:space="preserve"/>
        </x:is>
      </x:c>
      <x:c r="L451" s="21" t="inlineStr">
        <x:is>
          <x:t xml:space="preserve"/>
        </x:is>
      </x:c>
      <x:c r="M451" s="21" t="inlineStr">
        <x:is>
          <x:t xml:space="preserve"/>
        </x:is>
      </x:c>
      <x:c r="N451" s="21" t="inlineStr">
        <x:is>
          <x:t xml:space="preserve"/>
        </x:is>
      </x:c>
      <x:c r="O451" s="21" t="inlineStr">
        <x:is>
          <x:t xml:space="preserve"/>
        </x:is>
      </x:c>
      <x:c r="P451" s="21" t="inlineStr">
        <x:is>
          <x:t xml:space="preserve"/>
        </x:is>
      </x:c>
      <x:c r="Q451" s="21" t="inlineStr">
        <x:is>
          <x:t xml:space="preserve"/>
        </x:is>
      </x:c>
      <x:c r="R451" s="21" t="inlineStr">
        <x:is>
          <x:t xml:space="preserve"/>
        </x:is>
      </x:c>
      <x:c r="S451" s="22">
        <x:f>IF(H451="","",IFERROR(H451/G451,""))</x:f>
      </x:c>
      <x:c r="T451" s="23">
        <x:f>IF(H451="","",IFERROR((J451+K451+L451+N451)/H451,""))</x:f>
      </x:c>
      <x:c r="U451" s="22">
        <x:f>IF(COUNTA(J451:L451,N451)=0,"",IFERROR(AVERAGE(J451:L451,N451),""))</x:f>
      </x:c>
      <x:c r="V451" s="16" t="inlineStr">
        <x:is>
          <x:t xml:space="preserve"/>
        </x:is>
      </x:c>
    </x:row>
    <x:row r="452">
      <x:c r="A452" s="17" t="inlineStr">
        <x:is>
          <x:t xml:space="preserve">P038</x:t>
        </x:is>
      </x:c>
      <x:c r="B452" s="17" t="n">
        <x:v>4</x:v>
      </x:c>
      <x:c r="C452" s="17" t="inlineStr">
        <x:is>
          <x:t xml:space="preserve">V06</x:t>
        </x:is>
      </x:c>
      <x:c r="D452" s="17" t="inlineStr">
        <x:is>
          <x:t xml:space="preserve">Overload</x:t>
        </x:is>
      </x:c>
      <x:c r="E452" s="17" t="inlineStr">
        <x:is>
          <x:t xml:space="preserve">Full transcript</x:t>
        </x:is>
      </x:c>
      <x:c r="F452" s="17" t="inlineStr">
        <x:is>
          <x:t xml:space="preserve">Muted</x:t>
        </x:is>
      </x:c>
      <x:c r="G452" s="24" t="n">
        <x:v>16</x:v>
      </x:c>
      <x:c r="H452" s="24" t="inlineStr">
        <x:is>
          <x:t xml:space="preserve"/>
        </x:is>
      </x:c>
      <x:c r="I452" s="24" t="inlineStr">
        <x:is>
          <x:t xml:space="preserve"/>
        </x:is>
      </x:c>
      <x:c r="J452" s="24" t="inlineStr">
        <x:is>
          <x:t xml:space="preserve"/>
        </x:is>
      </x:c>
      <x:c r="K452" s="24" t="inlineStr">
        <x:is>
          <x:t xml:space="preserve"/>
        </x:is>
      </x:c>
      <x:c r="L452" s="24" t="inlineStr">
        <x:is>
          <x:t xml:space="preserve"/>
        </x:is>
      </x:c>
      <x:c r="M452" s="24" t="inlineStr">
        <x:is>
          <x:t xml:space="preserve"/>
        </x:is>
      </x:c>
      <x:c r="N452" s="24" t="inlineStr">
        <x:is>
          <x:t xml:space="preserve"/>
        </x:is>
      </x:c>
      <x:c r="O452" s="24" t="inlineStr">
        <x:is>
          <x:t xml:space="preserve"/>
        </x:is>
      </x:c>
      <x:c r="P452" s="24" t="inlineStr">
        <x:is>
          <x:t xml:space="preserve"/>
        </x:is>
      </x:c>
      <x:c r="Q452" s="24" t="inlineStr">
        <x:is>
          <x:t xml:space="preserve"/>
        </x:is>
      </x:c>
      <x:c r="R452" s="24" t="inlineStr">
        <x:is>
          <x:t xml:space="preserve"/>
        </x:is>
      </x:c>
      <x:c r="S452" s="25">
        <x:f>IF(H452="","",IFERROR(H452/G452,""))</x:f>
      </x:c>
      <x:c r="T452" s="26">
        <x:f>IF(H452="","",IFERROR((J452+K452+L452+N452)/H452,""))</x:f>
      </x:c>
      <x:c r="U452" s="25">
        <x:f>IF(COUNTA(J452:L452,N452)=0,"",IFERROR(AVERAGE(J452:L452,N452),""))</x:f>
      </x:c>
      <x:c r="V452" s="17" t="inlineStr">
        <x:is>
          <x:t xml:space="preserve"/>
        </x:is>
      </x:c>
    </x:row>
    <x:row r="453">
      <x:c r="A453" s="16" t="inlineStr">
        <x:is>
          <x:t xml:space="preserve">P038</x:t>
        </x:is>
      </x:c>
      <x:c r="B453" s="16" t="n">
        <x:v>5</x:v>
      </x:c>
      <x:c r="C453" s="16" t="inlineStr">
        <x:is>
          <x:t xml:space="preserve">V01</x:t>
        </x:is>
      </x:c>
      <x:c r="D453" s="16" t="inlineStr">
        <x:is>
          <x:t xml:space="preserve">Productivity</x:t>
        </x:is>
      </x:c>
      <x:c r="E453" s="16" t="inlineStr">
        <x:is>
          <x:t xml:space="preserve">Keyword highlight</x:t>
        </x:is>
      </x:c>
      <x:c r="F453" s="16" t="inlineStr">
        <x:is>
          <x:t xml:space="preserve">Muted</x:t>
        </x:is>
      </x:c>
      <x:c r="G453" s="21" t="n">
        <x:v>25</x:v>
      </x:c>
      <x:c r="H453" s="21" t="inlineStr">
        <x:is>
          <x:t xml:space="preserve"/>
        </x:is>
      </x:c>
      <x:c r="I453" s="21" t="inlineStr">
        <x:is>
          <x:t xml:space="preserve"/>
        </x:is>
      </x:c>
      <x:c r="J453" s="21" t="inlineStr">
        <x:is>
          <x:t xml:space="preserve"/>
        </x:is>
      </x:c>
      <x:c r="K453" s="21" t="inlineStr">
        <x:is>
          <x:t xml:space="preserve"/>
        </x:is>
      </x:c>
      <x:c r="L453" s="21" t="inlineStr">
        <x:is>
          <x:t xml:space="preserve"/>
        </x:is>
      </x:c>
      <x:c r="M453" s="21" t="inlineStr">
        <x:is>
          <x:t xml:space="preserve"/>
        </x:is>
      </x:c>
      <x:c r="N453" s="21" t="inlineStr">
        <x:is>
          <x:t xml:space="preserve"/>
        </x:is>
      </x:c>
      <x:c r="O453" s="21" t="inlineStr">
        <x:is>
          <x:t xml:space="preserve"/>
        </x:is>
      </x:c>
      <x:c r="P453" s="21" t="inlineStr">
        <x:is>
          <x:t xml:space="preserve"/>
        </x:is>
      </x:c>
      <x:c r="Q453" s="21" t="inlineStr">
        <x:is>
          <x:t xml:space="preserve"/>
        </x:is>
      </x:c>
      <x:c r="R453" s="21" t="inlineStr">
        <x:is>
          <x:t xml:space="preserve"/>
        </x:is>
      </x:c>
      <x:c r="S453" s="22">
        <x:f>IF(H453="","",IFERROR(H453/G453,""))</x:f>
      </x:c>
      <x:c r="T453" s="23">
        <x:f>IF(H453="","",IFERROR((J453+K453+L453+N453)/H453,""))</x:f>
      </x:c>
      <x:c r="U453" s="22">
        <x:f>IF(COUNTA(J453:L453,N453)=0,"",IFERROR(AVERAGE(J453:L453,N453),""))</x:f>
      </x:c>
      <x:c r="V453" s="16" t="inlineStr">
        <x:is>
          <x:t xml:space="preserve"/>
        </x:is>
      </x:c>
    </x:row>
    <x:row r="454">
      <x:c r="A454" s="17" t="inlineStr">
        <x:is>
          <x:t xml:space="preserve">P038</x:t>
        </x:is>
      </x:c>
      <x:c r="B454" s="17" t="n">
        <x:v>6</x:v>
      </x:c>
      <x:c r="C454" s="17" t="inlineStr">
        <x:is>
          <x:t xml:space="preserve">V04</x:t>
        </x:is>
      </x:c>
      <x:c r="D454" s="17" t="inlineStr">
        <x:is>
          <x:t xml:space="preserve">Finance</x:t>
        </x:is>
      </x:c>
      <x:c r="E454" s="17" t="inlineStr">
        <x:is>
          <x:t xml:space="preserve">BCC+</x:t>
        </x:is>
      </x:c>
      <x:c r="F454" s="17" t="inlineStr">
        <x:is>
          <x:t xml:space="preserve">Muted</x:t>
        </x:is>
      </x:c>
      <x:c r="G454" s="24" t="n">
        <x:v>20</x:v>
      </x:c>
      <x:c r="H454" s="24" t="inlineStr">
        <x:is>
          <x:t xml:space="preserve"/>
        </x:is>
      </x:c>
      <x:c r="I454" s="24" t="inlineStr">
        <x:is>
          <x:t xml:space="preserve"/>
        </x:is>
      </x:c>
      <x:c r="J454" s="24" t="inlineStr">
        <x:is>
          <x:t xml:space="preserve"/>
        </x:is>
      </x:c>
      <x:c r="K454" s="24" t="inlineStr">
        <x:is>
          <x:t xml:space="preserve"/>
        </x:is>
      </x:c>
      <x:c r="L454" s="24" t="inlineStr">
        <x:is>
          <x:t xml:space="preserve"/>
        </x:is>
      </x:c>
      <x:c r="M454" s="24" t="inlineStr">
        <x:is>
          <x:t xml:space="preserve"/>
        </x:is>
      </x:c>
      <x:c r="N454" s="24" t="inlineStr">
        <x:is>
          <x:t xml:space="preserve"/>
        </x:is>
      </x:c>
      <x:c r="O454" s="24" t="inlineStr">
        <x:is>
          <x:t xml:space="preserve"/>
        </x:is>
      </x:c>
      <x:c r="P454" s="24" t="inlineStr">
        <x:is>
          <x:t xml:space="preserve"/>
        </x:is>
      </x:c>
      <x:c r="Q454" s="24" t="inlineStr">
        <x:is>
          <x:t xml:space="preserve"/>
        </x:is>
      </x:c>
      <x:c r="R454" s="24" t="inlineStr">
        <x:is>
          <x:t xml:space="preserve"/>
        </x:is>
      </x:c>
      <x:c r="S454" s="25">
        <x:f>IF(H454="","",IFERROR(H454/G454,""))</x:f>
      </x:c>
      <x:c r="T454" s="26">
        <x:f>IF(H454="","",IFERROR((J454+K454+L454+N454)/H454,""))</x:f>
      </x:c>
      <x:c r="U454" s="25">
        <x:f>IF(COUNTA(J454:L454,N454)=0,"",IFERROR(AVERAGE(J454:L454,N454),""))</x:f>
      </x:c>
      <x:c r="V454" s="17" t="inlineStr">
        <x:is>
          <x:t xml:space="preserve"/>
        </x:is>
      </x:c>
    </x:row>
    <x:row r="455">
      <x:c r="A455" s="16" t="inlineStr">
        <x:is>
          <x:t xml:space="preserve">P038</x:t>
        </x:is>
      </x:c>
      <x:c r="B455" s="16" t="n">
        <x:v>7</x:v>
      </x:c>
      <x:c r="C455" s="16" t="inlineStr">
        <x:is>
          <x:t xml:space="preserve">V09</x:t>
        </x:is>
      </x:c>
      <x:c r="D455" s="16" t="inlineStr">
        <x:is>
          <x:t xml:space="preserve">Sleep habit</x:t>
        </x:is>
      </x:c>
      <x:c r="E455" s="16" t="inlineStr">
        <x:is>
          <x:t xml:space="preserve">BCC</x:t>
        </x:is>
      </x:c>
      <x:c r="F455" s="16" t="inlineStr">
        <x:is>
          <x:t xml:space="preserve">Muted</x:t>
        </x:is>
      </x:c>
      <x:c r="G455" s="21" t="n">
        <x:v>19</x:v>
      </x:c>
      <x:c r="H455" s="21" t="inlineStr">
        <x:is>
          <x:t xml:space="preserve"/>
        </x:is>
      </x:c>
      <x:c r="I455" s="21" t="inlineStr">
        <x:is>
          <x:t xml:space="preserve"/>
        </x:is>
      </x:c>
      <x:c r="J455" s="21" t="inlineStr">
        <x:is>
          <x:t xml:space="preserve"/>
        </x:is>
      </x:c>
      <x:c r="K455" s="21" t="inlineStr">
        <x:is>
          <x:t xml:space="preserve"/>
        </x:is>
      </x:c>
      <x:c r="L455" s="21" t="inlineStr">
        <x:is>
          <x:t xml:space="preserve"/>
        </x:is>
      </x:c>
      <x:c r="M455" s="21" t="inlineStr">
        <x:is>
          <x:t xml:space="preserve"/>
        </x:is>
      </x:c>
      <x:c r="N455" s="21" t="inlineStr">
        <x:is>
          <x:t xml:space="preserve"/>
        </x:is>
      </x:c>
      <x:c r="O455" s="21" t="inlineStr">
        <x:is>
          <x:t xml:space="preserve"/>
        </x:is>
      </x:c>
      <x:c r="P455" s="21" t="inlineStr">
        <x:is>
          <x:t xml:space="preserve"/>
        </x:is>
      </x:c>
      <x:c r="Q455" s="21" t="inlineStr">
        <x:is>
          <x:t xml:space="preserve"/>
        </x:is>
      </x:c>
      <x:c r="R455" s="21" t="inlineStr">
        <x:is>
          <x:t xml:space="preserve"/>
        </x:is>
      </x:c>
      <x:c r="S455" s="22">
        <x:f>IF(H455="","",IFERROR(H455/G455,""))</x:f>
      </x:c>
      <x:c r="T455" s="23">
        <x:f>IF(H455="","",IFERROR((J455+K455+L455+N455)/H455,""))</x:f>
      </x:c>
      <x:c r="U455" s="22">
        <x:f>IF(COUNTA(J455:L455,N455)=0,"",IFERROR(AVERAGE(J455:L455,N455),""))</x:f>
      </x:c>
      <x:c r="V455" s="16" t="inlineStr">
        <x:is>
          <x:t xml:space="preserve"/>
        </x:is>
      </x:c>
    </x:row>
    <x:row r="456">
      <x:c r="A456" s="17" t="inlineStr">
        <x:is>
          <x:t xml:space="preserve">P038</x:t>
        </x:is>
      </x:c>
      <x:c r="B456" s="17" t="n">
        <x:v>8</x:v>
      </x:c>
      <x:c r="C456" s="17" t="inlineStr">
        <x:is>
          <x:t xml:space="preserve">V11</x:t>
        </x:is>
      </x:c>
      <x:c r="D456" s="17" t="inlineStr">
        <x:is>
          <x:t xml:space="preserve">Creator strategy</x:t>
        </x:is>
      </x:c>
      <x:c r="E456" s="17" t="inlineStr">
        <x:is>
          <x:t xml:space="preserve">Heavy bionic</x:t>
        </x:is>
      </x:c>
      <x:c r="F456" s="17" t="inlineStr">
        <x:is>
          <x:t xml:space="preserve">Muted</x:t>
        </x:is>
      </x:c>
      <x:c r="G456" s="24" t="n">
        <x:v>17</x:v>
      </x:c>
      <x:c r="H456" s="24" t="inlineStr">
        <x:is>
          <x:t xml:space="preserve"/>
        </x:is>
      </x:c>
      <x:c r="I456" s="24" t="inlineStr">
        <x:is>
          <x:t xml:space="preserve"/>
        </x:is>
      </x:c>
      <x:c r="J456" s="24" t="inlineStr">
        <x:is>
          <x:t xml:space="preserve"/>
        </x:is>
      </x:c>
      <x:c r="K456" s="24" t="inlineStr">
        <x:is>
          <x:t xml:space="preserve"/>
        </x:is>
      </x:c>
      <x:c r="L456" s="24" t="inlineStr">
        <x:is>
          <x:t xml:space="preserve"/>
        </x:is>
      </x:c>
      <x:c r="M456" s="24" t="inlineStr">
        <x:is>
          <x:t xml:space="preserve"/>
        </x:is>
      </x:c>
      <x:c r="N456" s="24" t="inlineStr">
        <x:is>
          <x:t xml:space="preserve"/>
        </x:is>
      </x:c>
      <x:c r="O456" s="24" t="inlineStr">
        <x:is>
          <x:t xml:space="preserve"/>
        </x:is>
      </x:c>
      <x:c r="P456" s="24" t="inlineStr">
        <x:is>
          <x:t xml:space="preserve"/>
        </x:is>
      </x:c>
      <x:c r="Q456" s="24" t="inlineStr">
        <x:is>
          <x:t xml:space="preserve"/>
        </x:is>
      </x:c>
      <x:c r="R456" s="24" t="inlineStr">
        <x:is>
          <x:t xml:space="preserve"/>
        </x:is>
      </x:c>
      <x:c r="S456" s="25">
        <x:f>IF(H456="","",IFERROR(H456/G456,""))</x:f>
      </x:c>
      <x:c r="T456" s="26">
        <x:f>IF(H456="","",IFERROR((J456+K456+L456+N456)/H456,""))</x:f>
      </x:c>
      <x:c r="U456" s="25">
        <x:f>IF(COUNTA(J456:L456,N456)=0,"",IFERROR(AVERAGE(J456:L456,N456),""))</x:f>
      </x:c>
      <x:c r="V456" s="17" t="inlineStr">
        <x:is>
          <x:t xml:space="preserve"/>
        </x:is>
      </x:c>
    </x:row>
    <x:row r="457">
      <x:c r="A457" s="16" t="inlineStr">
        <x:is>
          <x:t xml:space="preserve">P038</x:t>
        </x:is>
      </x:c>
      <x:c r="B457" s="16" t="n">
        <x:v>9</x:v>
      </x:c>
      <x:c r="C457" s="16" t="inlineStr">
        <x:is>
          <x:t xml:space="preserve">V03</x:t>
        </x:is>
      </x:c>
      <x:c r="D457" s="16" t="inlineStr">
        <x:is>
          <x:t xml:space="preserve">Fitness</x:t>
        </x:is>
      </x:c>
      <x:c r="E457" s="16" t="inlineStr">
        <x:is>
          <x:t xml:space="preserve">BCC</x:t>
        </x:is>
      </x:c>
      <x:c r="F457" s="16" t="inlineStr">
        <x:is>
          <x:t xml:space="preserve">Muted</x:t>
        </x:is>
      </x:c>
      <x:c r="G457" s="21" t="n">
        <x:v>18</x:v>
      </x:c>
      <x:c r="H457" s="21" t="inlineStr">
        <x:is>
          <x:t xml:space="preserve"/>
        </x:is>
      </x:c>
      <x:c r="I457" s="21" t="inlineStr">
        <x:is>
          <x:t xml:space="preserve"/>
        </x:is>
      </x:c>
      <x:c r="J457" s="21" t="inlineStr">
        <x:is>
          <x:t xml:space="preserve"/>
        </x:is>
      </x:c>
      <x:c r="K457" s="21" t="inlineStr">
        <x:is>
          <x:t xml:space="preserve"/>
        </x:is>
      </x:c>
      <x:c r="L457" s="21" t="inlineStr">
        <x:is>
          <x:t xml:space="preserve"/>
        </x:is>
      </x:c>
      <x:c r="M457" s="21" t="inlineStr">
        <x:is>
          <x:t xml:space="preserve"/>
        </x:is>
      </x:c>
      <x:c r="N457" s="21" t="inlineStr">
        <x:is>
          <x:t xml:space="preserve"/>
        </x:is>
      </x:c>
      <x:c r="O457" s="21" t="inlineStr">
        <x:is>
          <x:t xml:space="preserve"/>
        </x:is>
      </x:c>
      <x:c r="P457" s="21" t="inlineStr">
        <x:is>
          <x:t xml:space="preserve"/>
        </x:is>
      </x:c>
      <x:c r="Q457" s="21" t="inlineStr">
        <x:is>
          <x:t xml:space="preserve"/>
        </x:is>
      </x:c>
      <x:c r="R457" s="21" t="inlineStr">
        <x:is>
          <x:t xml:space="preserve"/>
        </x:is>
      </x:c>
      <x:c r="S457" s="22">
        <x:f>IF(H457="","",IFERROR(H457/G457,""))</x:f>
      </x:c>
      <x:c r="T457" s="23">
        <x:f>IF(H457="","",IFERROR((J457+K457+L457+N457)/H457,""))</x:f>
      </x:c>
      <x:c r="U457" s="22">
        <x:f>IF(COUNTA(J457:L457,N457)=0,"",IFERROR(AVERAGE(J457:L457,N457),""))</x:f>
      </x:c>
      <x:c r="V457" s="16" t="inlineStr">
        <x:is>
          <x:t xml:space="preserve"/>
        </x:is>
      </x:c>
    </x:row>
    <x:row r="458">
      <x:c r="A458" s="17" t="inlineStr">
        <x:is>
          <x:t xml:space="preserve">P038</x:t>
        </x:is>
      </x:c>
      <x:c r="B458" s="17" t="n">
        <x:v>10</x:v>
      </x:c>
      <x:c r="C458" s="17" t="inlineStr">
        <x:is>
          <x:t xml:space="preserve">V05</x:t>
        </x:is>
      </x:c>
      <x:c r="D458" s="17" t="inlineStr">
        <x:is>
          <x:t xml:space="preserve">Tutorial</x:t>
        </x:is>
      </x:c>
      <x:c r="E458" s="17" t="inlineStr">
        <x:is>
          <x:t xml:space="preserve">Heavy bionic</x:t>
        </x:is>
      </x:c>
      <x:c r="F458" s="17" t="inlineStr">
        <x:is>
          <x:t xml:space="preserve">Muted</x:t>
        </x:is>
      </x:c>
      <x:c r="G458" s="24" t="n">
        <x:v>20</x:v>
      </x:c>
      <x:c r="H458" s="24" t="inlineStr">
        <x:is>
          <x:t xml:space="preserve"/>
        </x:is>
      </x:c>
      <x:c r="I458" s="24" t="inlineStr">
        <x:is>
          <x:t xml:space="preserve"/>
        </x:is>
      </x:c>
      <x:c r="J458" s="24" t="inlineStr">
        <x:is>
          <x:t xml:space="preserve"/>
        </x:is>
      </x:c>
      <x:c r="K458" s="24" t="inlineStr">
        <x:is>
          <x:t xml:space="preserve"/>
        </x:is>
      </x:c>
      <x:c r="L458" s="24" t="inlineStr">
        <x:is>
          <x:t xml:space="preserve"/>
        </x:is>
      </x:c>
      <x:c r="M458" s="24" t="inlineStr">
        <x:is>
          <x:t xml:space="preserve"/>
        </x:is>
      </x:c>
      <x:c r="N458" s="24" t="inlineStr">
        <x:is>
          <x:t xml:space="preserve"/>
        </x:is>
      </x:c>
      <x:c r="O458" s="24" t="inlineStr">
        <x:is>
          <x:t xml:space="preserve"/>
        </x:is>
      </x:c>
      <x:c r="P458" s="24" t="inlineStr">
        <x:is>
          <x:t xml:space="preserve"/>
        </x:is>
      </x:c>
      <x:c r="Q458" s="24" t="inlineStr">
        <x:is>
          <x:t xml:space="preserve"/>
        </x:is>
      </x:c>
      <x:c r="R458" s="24" t="inlineStr">
        <x:is>
          <x:t xml:space="preserve"/>
        </x:is>
      </x:c>
      <x:c r="S458" s="25">
        <x:f>IF(H458="","",IFERROR(H458/G458,""))</x:f>
      </x:c>
      <x:c r="T458" s="26">
        <x:f>IF(H458="","",IFERROR((J458+K458+L458+N458)/H458,""))</x:f>
      </x:c>
      <x:c r="U458" s="25">
        <x:f>IF(COUNTA(J458:L458,N458)=0,"",IFERROR(AVERAGE(J458:L458,N458),""))</x:f>
      </x:c>
      <x:c r="V458" s="17" t="inlineStr">
        <x:is>
          <x:t xml:space="preserve"/>
        </x:is>
      </x:c>
    </x:row>
    <x:row r="459">
      <x:c r="A459" s="16" t="inlineStr">
        <x:is>
          <x:t xml:space="preserve">P038</x:t>
        </x:is>
      </x:c>
      <x:c r="B459" s="16" t="n">
        <x:v>11</x:v>
      </x:c>
      <x:c r="C459" s="16" t="inlineStr">
        <x:is>
          <x:t xml:space="preserve">V12</x:t>
        </x:is>
      </x:c>
      <x:c r="D459" s="16" t="inlineStr">
        <x:is>
          <x:t xml:space="preserve">Time management</x:t>
        </x:is>
      </x:c>
      <x:c r="E459" s="16" t="inlineStr">
        <x:is>
          <x:t xml:space="preserve">Full transcript</x:t>
        </x:is>
      </x:c>
      <x:c r="F459" s="16" t="inlineStr">
        <x:is>
          <x:t xml:space="preserve">Muted</x:t>
        </x:is>
      </x:c>
      <x:c r="G459" s="21" t="n">
        <x:v>21</x:v>
      </x:c>
      <x:c r="H459" s="21" t="inlineStr">
        <x:is>
          <x:t xml:space="preserve"/>
        </x:is>
      </x:c>
      <x:c r="I459" s="21" t="inlineStr">
        <x:is>
          <x:t xml:space="preserve"/>
        </x:is>
      </x:c>
      <x:c r="J459" s="21" t="inlineStr">
        <x:is>
          <x:t xml:space="preserve"/>
        </x:is>
      </x:c>
      <x:c r="K459" s="21" t="inlineStr">
        <x:is>
          <x:t xml:space="preserve"/>
        </x:is>
      </x:c>
      <x:c r="L459" s="21" t="inlineStr">
        <x:is>
          <x:t xml:space="preserve"/>
        </x:is>
      </x:c>
      <x:c r="M459" s="21" t="inlineStr">
        <x:is>
          <x:t xml:space="preserve"/>
        </x:is>
      </x:c>
      <x:c r="N459" s="21" t="inlineStr">
        <x:is>
          <x:t xml:space="preserve"/>
        </x:is>
      </x:c>
      <x:c r="O459" s="21" t="inlineStr">
        <x:is>
          <x:t xml:space="preserve"/>
        </x:is>
      </x:c>
      <x:c r="P459" s="21" t="inlineStr">
        <x:is>
          <x:t xml:space="preserve"/>
        </x:is>
      </x:c>
      <x:c r="Q459" s="21" t="inlineStr">
        <x:is>
          <x:t xml:space="preserve"/>
        </x:is>
      </x:c>
      <x:c r="R459" s="21" t="inlineStr">
        <x:is>
          <x:t xml:space="preserve"/>
        </x:is>
      </x:c>
      <x:c r="S459" s="22">
        <x:f>IF(H459="","",IFERROR(H459/G459,""))</x:f>
      </x:c>
      <x:c r="T459" s="23">
        <x:f>IF(H459="","",IFERROR((J459+K459+L459+N459)/H459,""))</x:f>
      </x:c>
      <x:c r="U459" s="22">
        <x:f>IF(COUNTA(J459:L459,N459)=0,"",IFERROR(AVERAGE(J459:L459,N459),""))</x:f>
      </x:c>
      <x:c r="V459" s="16" t="inlineStr">
        <x:is>
          <x:t xml:space="preserve"/>
        </x:is>
      </x:c>
    </x:row>
    <x:row r="460">
      <x:c r="A460" s="17" t="inlineStr">
        <x:is>
          <x:t xml:space="preserve">P038</x:t>
        </x:is>
      </x:c>
      <x:c r="B460" s="17" t="n">
        <x:v>12</x:v>
      </x:c>
      <x:c r="C460" s="17" t="inlineStr">
        <x:is>
          <x:t xml:space="preserve">V02</x:t>
        </x:is>
      </x:c>
      <x:c r="D460" s="17" t="inlineStr">
        <x:is>
          <x:t xml:space="preserve">Study</x:t>
        </x:is>
      </x:c>
      <x:c r="E460" s="17" t="inlineStr">
        <x:is>
          <x:t xml:space="preserve">Semantic compression</x:t>
        </x:is>
      </x:c>
      <x:c r="F460" s="17" t="inlineStr">
        <x:is>
          <x:t xml:space="preserve">Muted</x:t>
        </x:is>
      </x:c>
      <x:c r="G460" s="24" t="n">
        <x:v>18</x:v>
      </x:c>
      <x:c r="H460" s="24" t="inlineStr">
        <x:is>
          <x:t xml:space="preserve"/>
        </x:is>
      </x:c>
      <x:c r="I460" s="24" t="inlineStr">
        <x:is>
          <x:t xml:space="preserve"/>
        </x:is>
      </x:c>
      <x:c r="J460" s="24" t="inlineStr">
        <x:is>
          <x:t xml:space="preserve"/>
        </x:is>
      </x:c>
      <x:c r="K460" s="24" t="inlineStr">
        <x:is>
          <x:t xml:space="preserve"/>
        </x:is>
      </x:c>
      <x:c r="L460" s="24" t="inlineStr">
        <x:is>
          <x:t xml:space="preserve"/>
        </x:is>
      </x:c>
      <x:c r="M460" s="24" t="inlineStr">
        <x:is>
          <x:t xml:space="preserve"/>
        </x:is>
      </x:c>
      <x:c r="N460" s="24" t="inlineStr">
        <x:is>
          <x:t xml:space="preserve"/>
        </x:is>
      </x:c>
      <x:c r="O460" s="24" t="inlineStr">
        <x:is>
          <x:t xml:space="preserve"/>
        </x:is>
      </x:c>
      <x:c r="P460" s="24" t="inlineStr">
        <x:is>
          <x:t xml:space="preserve"/>
        </x:is>
      </x:c>
      <x:c r="Q460" s="24" t="inlineStr">
        <x:is>
          <x:t xml:space="preserve"/>
        </x:is>
      </x:c>
      <x:c r="R460" s="24" t="inlineStr">
        <x:is>
          <x:t xml:space="preserve"/>
        </x:is>
      </x:c>
      <x:c r="S460" s="25">
        <x:f>IF(H460="","",IFERROR(H460/G460,""))</x:f>
      </x:c>
      <x:c r="T460" s="26">
        <x:f>IF(H460="","",IFERROR((J460+K460+L460+N460)/H460,""))</x:f>
      </x:c>
      <x:c r="U460" s="25">
        <x:f>IF(COUNTA(J460:L460,N460)=0,"",IFERROR(AVERAGE(J460:L460,N460),""))</x:f>
      </x:c>
      <x:c r="V460" s="17" t="inlineStr">
        <x:is>
          <x:t xml:space="preserve"/>
        </x:is>
      </x:c>
    </x:row>
    <x:row r="461">
      <x:c r="A461" s="16" t="inlineStr">
        <x:is>
          <x:t xml:space="preserve">P039</x:t>
        </x:is>
      </x:c>
      <x:c r="B461" s="16" t="n">
        <x:v>1</x:v>
      </x:c>
      <x:c r="C461" s="16" t="inlineStr">
        <x:is>
          <x:t xml:space="preserve">V06</x:t>
        </x:is>
      </x:c>
      <x:c r="D461" s="16" t="inlineStr">
        <x:is>
          <x:t xml:space="preserve">Overload</x:t>
        </x:is>
      </x:c>
      <x:c r="E461" s="16" t="inlineStr">
        <x:is>
          <x:t xml:space="preserve">Keyword highlight</x:t>
        </x:is>
      </x:c>
      <x:c r="F461" s="16" t="inlineStr">
        <x:is>
          <x:t xml:space="preserve">Muted</x:t>
        </x:is>
      </x:c>
      <x:c r="G461" s="21" t="n">
        <x:v>16</x:v>
      </x:c>
      <x:c r="H461" s="21" t="inlineStr">
        <x:is>
          <x:t xml:space="preserve"/>
        </x:is>
      </x:c>
      <x:c r="I461" s="21" t="inlineStr">
        <x:is>
          <x:t xml:space="preserve"/>
        </x:is>
      </x:c>
      <x:c r="J461" s="21" t="inlineStr">
        <x:is>
          <x:t xml:space="preserve"/>
        </x:is>
      </x:c>
      <x:c r="K461" s="21" t="inlineStr">
        <x:is>
          <x:t xml:space="preserve"/>
        </x:is>
      </x:c>
      <x:c r="L461" s="21" t="inlineStr">
        <x:is>
          <x:t xml:space="preserve"/>
        </x:is>
      </x:c>
      <x:c r="M461" s="21" t="inlineStr">
        <x:is>
          <x:t xml:space="preserve"/>
        </x:is>
      </x:c>
      <x:c r="N461" s="21" t="inlineStr">
        <x:is>
          <x:t xml:space="preserve"/>
        </x:is>
      </x:c>
      <x:c r="O461" s="21" t="inlineStr">
        <x:is>
          <x:t xml:space="preserve"/>
        </x:is>
      </x:c>
      <x:c r="P461" s="21" t="inlineStr">
        <x:is>
          <x:t xml:space="preserve"/>
        </x:is>
      </x:c>
      <x:c r="Q461" s="21" t="inlineStr">
        <x:is>
          <x:t xml:space="preserve"/>
        </x:is>
      </x:c>
      <x:c r="R461" s="21" t="inlineStr">
        <x:is>
          <x:t xml:space="preserve"/>
        </x:is>
      </x:c>
      <x:c r="S461" s="22">
        <x:f>IF(H461="","",IFERROR(H461/G461,""))</x:f>
      </x:c>
      <x:c r="T461" s="23">
        <x:f>IF(H461="","",IFERROR((J461+K461+L461+N461)/H461,""))</x:f>
      </x:c>
      <x:c r="U461" s="22">
        <x:f>IF(COUNTA(J461:L461,N461)=0,"",IFERROR(AVERAGE(J461:L461,N461),""))</x:f>
      </x:c>
      <x:c r="V461" s="16" t="inlineStr">
        <x:is>
          <x:t xml:space="preserve"/>
        </x:is>
      </x:c>
    </x:row>
    <x:row r="462">
      <x:c r="A462" s="17" t="inlineStr">
        <x:is>
          <x:t xml:space="preserve">P039</x:t>
        </x:is>
      </x:c>
      <x:c r="B462" s="17" t="n">
        <x:v>2</x:v>
      </x:c>
      <x:c r="C462" s="17" t="inlineStr">
        <x:is>
          <x:t xml:space="preserve">V10</x:t>
        </x:is>
      </x:c>
      <x:c r="D462" s="17" t="inlineStr">
        <x:is>
          <x:t xml:space="preserve">Product demo</x:t>
        </x:is>
      </x:c>
      <x:c r="E462" s="17" t="inlineStr">
        <x:is>
          <x:t xml:space="preserve">Heavy bionic</x:t>
        </x:is>
      </x:c>
      <x:c r="F462" s="17" t="inlineStr">
        <x:is>
          <x:t xml:space="preserve">Muted</x:t>
        </x:is>
      </x:c>
      <x:c r="G462" s="24" t="n">
        <x:v>15</x:v>
      </x:c>
      <x:c r="H462" s="24" t="inlineStr">
        <x:is>
          <x:t xml:space="preserve"/>
        </x:is>
      </x:c>
      <x:c r="I462" s="24" t="inlineStr">
        <x:is>
          <x:t xml:space="preserve"/>
        </x:is>
      </x:c>
      <x:c r="J462" s="24" t="inlineStr">
        <x:is>
          <x:t xml:space="preserve"/>
        </x:is>
      </x:c>
      <x:c r="K462" s="24" t="inlineStr">
        <x:is>
          <x:t xml:space="preserve"/>
        </x:is>
      </x:c>
      <x:c r="L462" s="24" t="inlineStr">
        <x:is>
          <x:t xml:space="preserve"/>
        </x:is>
      </x:c>
      <x:c r="M462" s="24" t="inlineStr">
        <x:is>
          <x:t xml:space="preserve"/>
        </x:is>
      </x:c>
      <x:c r="N462" s="24" t="inlineStr">
        <x:is>
          <x:t xml:space="preserve"/>
        </x:is>
      </x:c>
      <x:c r="O462" s="24" t="inlineStr">
        <x:is>
          <x:t xml:space="preserve"/>
        </x:is>
      </x:c>
      <x:c r="P462" s="24" t="inlineStr">
        <x:is>
          <x:t xml:space="preserve"/>
        </x:is>
      </x:c>
      <x:c r="Q462" s="24" t="inlineStr">
        <x:is>
          <x:t xml:space="preserve"/>
        </x:is>
      </x:c>
      <x:c r="R462" s="24" t="inlineStr">
        <x:is>
          <x:t xml:space="preserve"/>
        </x:is>
      </x:c>
      <x:c r="S462" s="25">
        <x:f>IF(H462="","",IFERROR(H462/G462,""))</x:f>
      </x:c>
      <x:c r="T462" s="26">
        <x:f>IF(H462="","",IFERROR((J462+K462+L462+N462)/H462,""))</x:f>
      </x:c>
      <x:c r="U462" s="25">
        <x:f>IF(COUNTA(J462:L462,N462)=0,"",IFERROR(AVERAGE(J462:L462,N462),""))</x:f>
      </x:c>
      <x:c r="V462" s="17" t="inlineStr">
        <x:is>
          <x:t xml:space="preserve"/>
        </x:is>
      </x:c>
    </x:row>
    <x:row r="463">
      <x:c r="A463" s="16" t="inlineStr">
        <x:is>
          <x:t xml:space="preserve">P039</x:t>
        </x:is>
      </x:c>
      <x:c r="B463" s="16" t="n">
        <x:v>3</x:v>
      </x:c>
      <x:c r="C463" s="16" t="inlineStr">
        <x:is>
          <x:t xml:space="preserve">V05</x:t>
        </x:is>
      </x:c>
      <x:c r="D463" s="16" t="inlineStr">
        <x:is>
          <x:t xml:space="preserve">Tutorial</x:t>
        </x:is>
      </x:c>
      <x:c r="E463" s="16" t="inlineStr">
        <x:is>
          <x:t xml:space="preserve">Full transcript</x:t>
        </x:is>
      </x:c>
      <x:c r="F463" s="16" t="inlineStr">
        <x:is>
          <x:t xml:space="preserve">Muted</x:t>
        </x:is>
      </x:c>
      <x:c r="G463" s="21" t="n">
        <x:v>20</x:v>
      </x:c>
      <x:c r="H463" s="21" t="inlineStr">
        <x:is>
          <x:t xml:space="preserve"/>
        </x:is>
      </x:c>
      <x:c r="I463" s="21" t="inlineStr">
        <x:is>
          <x:t xml:space="preserve"/>
        </x:is>
      </x:c>
      <x:c r="J463" s="21" t="inlineStr">
        <x:is>
          <x:t xml:space="preserve"/>
        </x:is>
      </x:c>
      <x:c r="K463" s="21" t="inlineStr">
        <x:is>
          <x:t xml:space="preserve"/>
        </x:is>
      </x:c>
      <x:c r="L463" s="21" t="inlineStr">
        <x:is>
          <x:t xml:space="preserve"/>
        </x:is>
      </x:c>
      <x:c r="M463" s="21" t="inlineStr">
        <x:is>
          <x:t xml:space="preserve"/>
        </x:is>
      </x:c>
      <x:c r="N463" s="21" t="inlineStr">
        <x:is>
          <x:t xml:space="preserve"/>
        </x:is>
      </x:c>
      <x:c r="O463" s="21" t="inlineStr">
        <x:is>
          <x:t xml:space="preserve"/>
        </x:is>
      </x:c>
      <x:c r="P463" s="21" t="inlineStr">
        <x:is>
          <x:t xml:space="preserve"/>
        </x:is>
      </x:c>
      <x:c r="Q463" s="21" t="inlineStr">
        <x:is>
          <x:t xml:space="preserve"/>
        </x:is>
      </x:c>
      <x:c r="R463" s="21" t="inlineStr">
        <x:is>
          <x:t xml:space="preserve"/>
        </x:is>
      </x:c>
      <x:c r="S463" s="22">
        <x:f>IF(H463="","",IFERROR(H463/G463,""))</x:f>
      </x:c>
      <x:c r="T463" s="23">
        <x:f>IF(H463="","",IFERROR((J463+K463+L463+N463)/H463,""))</x:f>
      </x:c>
      <x:c r="U463" s="22">
        <x:f>IF(COUNTA(J463:L463,N463)=0,"",IFERROR(AVERAGE(J463:L463,N463),""))</x:f>
      </x:c>
      <x:c r="V463" s="16" t="inlineStr">
        <x:is>
          <x:t xml:space="preserve"/>
        </x:is>
      </x:c>
    </x:row>
    <x:row r="464">
      <x:c r="A464" s="17" t="inlineStr">
        <x:is>
          <x:t xml:space="preserve">P039</x:t>
        </x:is>
      </x:c>
      <x:c r="B464" s="17" t="n">
        <x:v>4</x:v>
      </x:c>
      <x:c r="C464" s="17" t="inlineStr">
        <x:is>
          <x:t xml:space="preserve">V07</x:t>
        </x:is>
      </x:c>
      <x:c r="D464" s="17" t="inlineStr">
        <x:is>
          <x:t xml:space="preserve">Business</x:t>
        </x:is>
      </x:c>
      <x:c r="E464" s="17" t="inlineStr">
        <x:is>
          <x:t xml:space="preserve">Semantic compression</x:t>
        </x:is>
      </x:c>
      <x:c r="F464" s="17" t="inlineStr">
        <x:is>
          <x:t xml:space="preserve">Muted</x:t>
        </x:is>
      </x:c>
      <x:c r="G464" s="24" t="n">
        <x:v>18</x:v>
      </x:c>
      <x:c r="H464" s="24" t="inlineStr">
        <x:is>
          <x:t xml:space="preserve"/>
        </x:is>
      </x:c>
      <x:c r="I464" s="24" t="inlineStr">
        <x:is>
          <x:t xml:space="preserve"/>
        </x:is>
      </x:c>
      <x:c r="J464" s="24" t="inlineStr">
        <x:is>
          <x:t xml:space="preserve"/>
        </x:is>
      </x:c>
      <x:c r="K464" s="24" t="inlineStr">
        <x:is>
          <x:t xml:space="preserve"/>
        </x:is>
      </x:c>
      <x:c r="L464" s="24" t="inlineStr">
        <x:is>
          <x:t xml:space="preserve"/>
        </x:is>
      </x:c>
      <x:c r="M464" s="24" t="inlineStr">
        <x:is>
          <x:t xml:space="preserve"/>
        </x:is>
      </x:c>
      <x:c r="N464" s="24" t="inlineStr">
        <x:is>
          <x:t xml:space="preserve"/>
        </x:is>
      </x:c>
      <x:c r="O464" s="24" t="inlineStr">
        <x:is>
          <x:t xml:space="preserve"/>
        </x:is>
      </x:c>
      <x:c r="P464" s="24" t="inlineStr">
        <x:is>
          <x:t xml:space="preserve"/>
        </x:is>
      </x:c>
      <x:c r="Q464" s="24" t="inlineStr">
        <x:is>
          <x:t xml:space="preserve"/>
        </x:is>
      </x:c>
      <x:c r="R464" s="24" t="inlineStr">
        <x:is>
          <x:t xml:space="preserve"/>
        </x:is>
      </x:c>
      <x:c r="S464" s="25">
        <x:f>IF(H464="","",IFERROR(H464/G464,""))</x:f>
      </x:c>
      <x:c r="T464" s="26">
        <x:f>IF(H464="","",IFERROR((J464+K464+L464+N464)/H464,""))</x:f>
      </x:c>
      <x:c r="U464" s="25">
        <x:f>IF(COUNTA(J464:L464,N464)=0,"",IFERROR(AVERAGE(J464:L464,N464),""))</x:f>
      </x:c>
      <x:c r="V464" s="17" t="inlineStr">
        <x:is>
          <x:t xml:space="preserve"/>
        </x:is>
      </x:c>
    </x:row>
    <x:row r="465">
      <x:c r="A465" s="16" t="inlineStr">
        <x:is>
          <x:t xml:space="preserve">P039</x:t>
        </x:is>
      </x:c>
      <x:c r="B465" s="16" t="n">
        <x:v>5</x:v>
      </x:c>
      <x:c r="C465" s="16" t="inlineStr">
        <x:is>
          <x:t xml:space="preserve">V09</x:t>
        </x:is>
      </x:c>
      <x:c r="D465" s="16" t="inlineStr">
        <x:is>
          <x:t xml:space="preserve">Sleep habit</x:t>
        </x:is>
      </x:c>
      <x:c r="E465" s="16" t="inlineStr">
        <x:is>
          <x:t xml:space="preserve">BCC+</x:t>
        </x:is>
      </x:c>
      <x:c r="F465" s="16" t="inlineStr">
        <x:is>
          <x:t xml:space="preserve">Muted</x:t>
        </x:is>
      </x:c>
      <x:c r="G465" s="21" t="n">
        <x:v>19</x:v>
      </x:c>
      <x:c r="H465" s="21" t="inlineStr">
        <x:is>
          <x:t xml:space="preserve"/>
        </x:is>
      </x:c>
      <x:c r="I465" s="21" t="inlineStr">
        <x:is>
          <x:t xml:space="preserve"/>
        </x:is>
      </x:c>
      <x:c r="J465" s="21" t="inlineStr">
        <x:is>
          <x:t xml:space="preserve"/>
        </x:is>
      </x:c>
      <x:c r="K465" s="21" t="inlineStr">
        <x:is>
          <x:t xml:space="preserve"/>
        </x:is>
      </x:c>
      <x:c r="L465" s="21" t="inlineStr">
        <x:is>
          <x:t xml:space="preserve"/>
        </x:is>
      </x:c>
      <x:c r="M465" s="21" t="inlineStr">
        <x:is>
          <x:t xml:space="preserve"/>
        </x:is>
      </x:c>
      <x:c r="N465" s="21" t="inlineStr">
        <x:is>
          <x:t xml:space="preserve"/>
        </x:is>
      </x:c>
      <x:c r="O465" s="21" t="inlineStr">
        <x:is>
          <x:t xml:space="preserve"/>
        </x:is>
      </x:c>
      <x:c r="P465" s="21" t="inlineStr">
        <x:is>
          <x:t xml:space="preserve"/>
        </x:is>
      </x:c>
      <x:c r="Q465" s="21" t="inlineStr">
        <x:is>
          <x:t xml:space="preserve"/>
        </x:is>
      </x:c>
      <x:c r="R465" s="21" t="inlineStr">
        <x:is>
          <x:t xml:space="preserve"/>
        </x:is>
      </x:c>
      <x:c r="S465" s="22">
        <x:f>IF(H465="","",IFERROR(H465/G465,""))</x:f>
      </x:c>
      <x:c r="T465" s="23">
        <x:f>IF(H465="","",IFERROR((J465+K465+L465+N465)/H465,""))</x:f>
      </x:c>
      <x:c r="U465" s="22">
        <x:f>IF(COUNTA(J465:L465,N465)=0,"",IFERROR(AVERAGE(J465:L465,N465),""))</x:f>
      </x:c>
      <x:c r="V465" s="16" t="inlineStr">
        <x:is>
          <x:t xml:space="preserve"/>
        </x:is>
      </x:c>
    </x:row>
    <x:row r="466">
      <x:c r="A466" s="17" t="inlineStr">
        <x:is>
          <x:t xml:space="preserve">P039</x:t>
        </x:is>
      </x:c>
      <x:c r="B466" s="17" t="n">
        <x:v>6</x:v>
      </x:c>
      <x:c r="C466" s="17" t="inlineStr">
        <x:is>
          <x:t xml:space="preserve">V08</x:t>
        </x:is>
      </x:c>
      <x:c r="D466" s="17" t="inlineStr">
        <x:is>
          <x:t xml:space="preserve">Coding</x:t>
        </x:is>
      </x:c>
      <x:c r="E466" s="17" t="inlineStr">
        <x:is>
          <x:t xml:space="preserve">BCC</x:t>
        </x:is>
      </x:c>
      <x:c r="F466" s="17" t="inlineStr">
        <x:is>
          <x:t xml:space="preserve">Muted</x:t>
        </x:is>
      </x:c>
      <x:c r="G466" s="24" t="n">
        <x:v>24</x:v>
      </x:c>
      <x:c r="H466" s="24" t="inlineStr">
        <x:is>
          <x:t xml:space="preserve"/>
        </x:is>
      </x:c>
      <x:c r="I466" s="24" t="inlineStr">
        <x:is>
          <x:t xml:space="preserve"/>
        </x:is>
      </x:c>
      <x:c r="J466" s="24" t="inlineStr">
        <x:is>
          <x:t xml:space="preserve"/>
        </x:is>
      </x:c>
      <x:c r="K466" s="24" t="inlineStr">
        <x:is>
          <x:t xml:space="preserve"/>
        </x:is>
      </x:c>
      <x:c r="L466" s="24" t="inlineStr">
        <x:is>
          <x:t xml:space="preserve"/>
        </x:is>
      </x:c>
      <x:c r="M466" s="24" t="inlineStr">
        <x:is>
          <x:t xml:space="preserve"/>
        </x:is>
      </x:c>
      <x:c r="N466" s="24" t="inlineStr">
        <x:is>
          <x:t xml:space="preserve"/>
        </x:is>
      </x:c>
      <x:c r="O466" s="24" t="inlineStr">
        <x:is>
          <x:t xml:space="preserve"/>
        </x:is>
      </x:c>
      <x:c r="P466" s="24" t="inlineStr">
        <x:is>
          <x:t xml:space="preserve"/>
        </x:is>
      </x:c>
      <x:c r="Q466" s="24" t="inlineStr">
        <x:is>
          <x:t xml:space="preserve"/>
        </x:is>
      </x:c>
      <x:c r="R466" s="24" t="inlineStr">
        <x:is>
          <x:t xml:space="preserve"/>
        </x:is>
      </x:c>
      <x:c r="S466" s="25">
        <x:f>IF(H466="","",IFERROR(H466/G466,""))</x:f>
      </x:c>
      <x:c r="T466" s="26">
        <x:f>IF(H466="","",IFERROR((J466+K466+L466+N466)/H466,""))</x:f>
      </x:c>
      <x:c r="U466" s="25">
        <x:f>IF(COUNTA(J466:L466,N466)=0,"",IFERROR(AVERAGE(J466:L466,N466),""))</x:f>
      </x:c>
      <x:c r="V466" s="17" t="inlineStr">
        <x:is>
          <x:t xml:space="preserve"/>
        </x:is>
      </x:c>
    </x:row>
    <x:row r="467">
      <x:c r="A467" s="16" t="inlineStr">
        <x:is>
          <x:t xml:space="preserve">P039</x:t>
        </x:is>
      </x:c>
      <x:c r="B467" s="16" t="n">
        <x:v>7</x:v>
      </x:c>
      <x:c r="C467" s="16" t="inlineStr">
        <x:is>
          <x:t xml:space="preserve">V01</x:t>
        </x:is>
      </x:c>
      <x:c r="D467" s="16" t="inlineStr">
        <x:is>
          <x:t xml:space="preserve">Productivity</x:t>
        </x:is>
      </x:c>
      <x:c r="E467" s="16" t="inlineStr">
        <x:is>
          <x:t xml:space="preserve">Semantic compression</x:t>
        </x:is>
      </x:c>
      <x:c r="F467" s="16" t="inlineStr">
        <x:is>
          <x:t xml:space="preserve">Muted</x:t>
        </x:is>
      </x:c>
      <x:c r="G467" s="21" t="n">
        <x:v>25</x:v>
      </x:c>
      <x:c r="H467" s="21" t="inlineStr">
        <x:is>
          <x:t xml:space="preserve"/>
        </x:is>
      </x:c>
      <x:c r="I467" s="21" t="inlineStr">
        <x:is>
          <x:t xml:space="preserve"/>
        </x:is>
      </x:c>
      <x:c r="J467" s="21" t="inlineStr">
        <x:is>
          <x:t xml:space="preserve"/>
        </x:is>
      </x:c>
      <x:c r="K467" s="21" t="inlineStr">
        <x:is>
          <x:t xml:space="preserve"/>
        </x:is>
      </x:c>
      <x:c r="L467" s="21" t="inlineStr">
        <x:is>
          <x:t xml:space="preserve"/>
        </x:is>
      </x:c>
      <x:c r="M467" s="21" t="inlineStr">
        <x:is>
          <x:t xml:space="preserve"/>
        </x:is>
      </x:c>
      <x:c r="N467" s="21" t="inlineStr">
        <x:is>
          <x:t xml:space="preserve"/>
        </x:is>
      </x:c>
      <x:c r="O467" s="21" t="inlineStr">
        <x:is>
          <x:t xml:space="preserve"/>
        </x:is>
      </x:c>
      <x:c r="P467" s="21" t="inlineStr">
        <x:is>
          <x:t xml:space="preserve"/>
        </x:is>
      </x:c>
      <x:c r="Q467" s="21" t="inlineStr">
        <x:is>
          <x:t xml:space="preserve"/>
        </x:is>
      </x:c>
      <x:c r="R467" s="21" t="inlineStr">
        <x:is>
          <x:t xml:space="preserve"/>
        </x:is>
      </x:c>
      <x:c r="S467" s="22">
        <x:f>IF(H467="","",IFERROR(H467/G467,""))</x:f>
      </x:c>
      <x:c r="T467" s="23">
        <x:f>IF(H467="","",IFERROR((J467+K467+L467+N467)/H467,""))</x:f>
      </x:c>
      <x:c r="U467" s="22">
        <x:f>IF(COUNTA(J467:L467,N467)=0,"",IFERROR(AVERAGE(J467:L467,N467),""))</x:f>
      </x:c>
      <x:c r="V467" s="16" t="inlineStr">
        <x:is>
          <x:t xml:space="preserve"/>
        </x:is>
      </x:c>
    </x:row>
    <x:row r="468">
      <x:c r="A468" s="17" t="inlineStr">
        <x:is>
          <x:t xml:space="preserve">P039</x:t>
        </x:is>
      </x:c>
      <x:c r="B468" s="17" t="n">
        <x:v>8</x:v>
      </x:c>
      <x:c r="C468" s="17" t="inlineStr">
        <x:is>
          <x:t xml:space="preserve">V02</x:t>
        </x:is>
      </x:c>
      <x:c r="D468" s="17" t="inlineStr">
        <x:is>
          <x:t xml:space="preserve">Study</x:t>
        </x:is>
      </x:c>
      <x:c r="E468" s="17" t="inlineStr">
        <x:is>
          <x:t xml:space="preserve">BCC</x:t>
        </x:is>
      </x:c>
      <x:c r="F468" s="17" t="inlineStr">
        <x:is>
          <x:t xml:space="preserve">Muted</x:t>
        </x:is>
      </x:c>
      <x:c r="G468" s="24" t="n">
        <x:v>18</x:v>
      </x:c>
      <x:c r="H468" s="24" t="inlineStr">
        <x:is>
          <x:t xml:space="preserve"/>
        </x:is>
      </x:c>
      <x:c r="I468" s="24" t="inlineStr">
        <x:is>
          <x:t xml:space="preserve"/>
        </x:is>
      </x:c>
      <x:c r="J468" s="24" t="inlineStr">
        <x:is>
          <x:t xml:space="preserve"/>
        </x:is>
      </x:c>
      <x:c r="K468" s="24" t="inlineStr">
        <x:is>
          <x:t xml:space="preserve"/>
        </x:is>
      </x:c>
      <x:c r="L468" s="24" t="inlineStr">
        <x:is>
          <x:t xml:space="preserve"/>
        </x:is>
      </x:c>
      <x:c r="M468" s="24" t="inlineStr">
        <x:is>
          <x:t xml:space="preserve"/>
        </x:is>
      </x:c>
      <x:c r="N468" s="24" t="inlineStr">
        <x:is>
          <x:t xml:space="preserve"/>
        </x:is>
      </x:c>
      <x:c r="O468" s="24" t="inlineStr">
        <x:is>
          <x:t xml:space="preserve"/>
        </x:is>
      </x:c>
      <x:c r="P468" s="24" t="inlineStr">
        <x:is>
          <x:t xml:space="preserve"/>
        </x:is>
      </x:c>
      <x:c r="Q468" s="24" t="inlineStr">
        <x:is>
          <x:t xml:space="preserve"/>
        </x:is>
      </x:c>
      <x:c r="R468" s="24" t="inlineStr">
        <x:is>
          <x:t xml:space="preserve"/>
        </x:is>
      </x:c>
      <x:c r="S468" s="25">
        <x:f>IF(H468="","",IFERROR(H468/G468,""))</x:f>
      </x:c>
      <x:c r="T468" s="26">
        <x:f>IF(H468="","",IFERROR((J468+K468+L468+N468)/H468,""))</x:f>
      </x:c>
      <x:c r="U468" s="25">
        <x:f>IF(COUNTA(J468:L468,N468)=0,"",IFERROR(AVERAGE(J468:L468,N468),""))</x:f>
      </x:c>
      <x:c r="V468" s="17" t="inlineStr">
        <x:is>
          <x:t xml:space="preserve"/>
        </x:is>
      </x:c>
    </x:row>
    <x:row r="469">
      <x:c r="A469" s="16" t="inlineStr">
        <x:is>
          <x:t xml:space="preserve">P039</x:t>
        </x:is>
      </x:c>
      <x:c r="B469" s="16" t="n">
        <x:v>9</x:v>
      </x:c>
      <x:c r="C469" s="16" t="inlineStr">
        <x:is>
          <x:t xml:space="preserve">V04</x:t>
        </x:is>
      </x:c>
      <x:c r="D469" s="16" t="inlineStr">
        <x:is>
          <x:t xml:space="preserve">Finance</x:t>
        </x:is>
      </x:c>
      <x:c r="E469" s="16" t="inlineStr">
        <x:is>
          <x:t xml:space="preserve">Heavy bionic</x:t>
        </x:is>
      </x:c>
      <x:c r="F469" s="16" t="inlineStr">
        <x:is>
          <x:t xml:space="preserve">Muted</x:t>
        </x:is>
      </x:c>
      <x:c r="G469" s="21" t="n">
        <x:v>20</x:v>
      </x:c>
      <x:c r="H469" s="21" t="inlineStr">
        <x:is>
          <x:t xml:space="preserve"/>
        </x:is>
      </x:c>
      <x:c r="I469" s="21" t="inlineStr">
        <x:is>
          <x:t xml:space="preserve"/>
        </x:is>
      </x:c>
      <x:c r="J469" s="21" t="inlineStr">
        <x:is>
          <x:t xml:space="preserve"/>
        </x:is>
      </x:c>
      <x:c r="K469" s="21" t="inlineStr">
        <x:is>
          <x:t xml:space="preserve"/>
        </x:is>
      </x:c>
      <x:c r="L469" s="21" t="inlineStr">
        <x:is>
          <x:t xml:space="preserve"/>
        </x:is>
      </x:c>
      <x:c r="M469" s="21" t="inlineStr">
        <x:is>
          <x:t xml:space="preserve"/>
        </x:is>
      </x:c>
      <x:c r="N469" s="21" t="inlineStr">
        <x:is>
          <x:t xml:space="preserve"/>
        </x:is>
      </x:c>
      <x:c r="O469" s="21" t="inlineStr">
        <x:is>
          <x:t xml:space="preserve"/>
        </x:is>
      </x:c>
      <x:c r="P469" s="21" t="inlineStr">
        <x:is>
          <x:t xml:space="preserve"/>
        </x:is>
      </x:c>
      <x:c r="Q469" s="21" t="inlineStr">
        <x:is>
          <x:t xml:space="preserve"/>
        </x:is>
      </x:c>
      <x:c r="R469" s="21" t="inlineStr">
        <x:is>
          <x:t xml:space="preserve"/>
        </x:is>
      </x:c>
      <x:c r="S469" s="22">
        <x:f>IF(H469="","",IFERROR(H469/G469,""))</x:f>
      </x:c>
      <x:c r="T469" s="23">
        <x:f>IF(H469="","",IFERROR((J469+K469+L469+N469)/H469,""))</x:f>
      </x:c>
      <x:c r="U469" s="22">
        <x:f>IF(COUNTA(J469:L469,N469)=0,"",IFERROR(AVERAGE(J469:L469,N469),""))</x:f>
      </x:c>
      <x:c r="V469" s="16" t="inlineStr">
        <x:is>
          <x:t xml:space="preserve"/>
        </x:is>
      </x:c>
    </x:row>
    <x:row r="470">
      <x:c r="A470" s="17" t="inlineStr">
        <x:is>
          <x:t xml:space="preserve">P039</x:t>
        </x:is>
      </x:c>
      <x:c r="B470" s="17" t="n">
        <x:v>10</x:v>
      </x:c>
      <x:c r="C470" s="17" t="inlineStr">
        <x:is>
          <x:t xml:space="preserve">V03</x:t>
        </x:is>
      </x:c>
      <x:c r="D470" s="17" t="inlineStr">
        <x:is>
          <x:t xml:space="preserve">Fitness</x:t>
        </x:is>
      </x:c>
      <x:c r="E470" s="17" t="inlineStr">
        <x:is>
          <x:t xml:space="preserve">BCC+</x:t>
        </x:is>
      </x:c>
      <x:c r="F470" s="17" t="inlineStr">
        <x:is>
          <x:t xml:space="preserve">Muted</x:t>
        </x:is>
      </x:c>
      <x:c r="G470" s="24" t="n">
        <x:v>18</x:v>
      </x:c>
      <x:c r="H470" s="24" t="inlineStr">
        <x:is>
          <x:t xml:space="preserve"/>
        </x:is>
      </x:c>
      <x:c r="I470" s="24" t="inlineStr">
        <x:is>
          <x:t xml:space="preserve"/>
        </x:is>
      </x:c>
      <x:c r="J470" s="24" t="inlineStr">
        <x:is>
          <x:t xml:space="preserve"/>
        </x:is>
      </x:c>
      <x:c r="K470" s="24" t="inlineStr">
        <x:is>
          <x:t xml:space="preserve"/>
        </x:is>
      </x:c>
      <x:c r="L470" s="24" t="inlineStr">
        <x:is>
          <x:t xml:space="preserve"/>
        </x:is>
      </x:c>
      <x:c r="M470" s="24" t="inlineStr">
        <x:is>
          <x:t xml:space="preserve"/>
        </x:is>
      </x:c>
      <x:c r="N470" s="24" t="inlineStr">
        <x:is>
          <x:t xml:space="preserve"/>
        </x:is>
      </x:c>
      <x:c r="O470" s="24" t="inlineStr">
        <x:is>
          <x:t xml:space="preserve"/>
        </x:is>
      </x:c>
      <x:c r="P470" s="24" t="inlineStr">
        <x:is>
          <x:t xml:space="preserve"/>
        </x:is>
      </x:c>
      <x:c r="Q470" s="24" t="inlineStr">
        <x:is>
          <x:t xml:space="preserve"/>
        </x:is>
      </x:c>
      <x:c r="R470" s="24" t="inlineStr">
        <x:is>
          <x:t xml:space="preserve"/>
        </x:is>
      </x:c>
      <x:c r="S470" s="25">
        <x:f>IF(H470="","",IFERROR(H470/G470,""))</x:f>
      </x:c>
      <x:c r="T470" s="26">
        <x:f>IF(H470="","",IFERROR((J470+K470+L470+N470)/H470,""))</x:f>
      </x:c>
      <x:c r="U470" s="25">
        <x:f>IF(COUNTA(J470:L470,N470)=0,"",IFERROR(AVERAGE(J470:L470,N470),""))</x:f>
      </x:c>
      <x:c r="V470" s="17" t="inlineStr">
        <x:is>
          <x:t xml:space="preserve"/>
        </x:is>
      </x:c>
    </x:row>
    <x:row r="471">
      <x:c r="A471" s="16" t="inlineStr">
        <x:is>
          <x:t xml:space="preserve">P039</x:t>
        </x:is>
      </x:c>
      <x:c r="B471" s="16" t="n">
        <x:v>11</x:v>
      </x:c>
      <x:c r="C471" s="16" t="inlineStr">
        <x:is>
          <x:t xml:space="preserve">V12</x:t>
        </x:is>
      </x:c>
      <x:c r="D471" s="16" t="inlineStr">
        <x:is>
          <x:t xml:space="preserve">Time management</x:t>
        </x:is>
      </x:c>
      <x:c r="E471" s="16" t="inlineStr">
        <x:is>
          <x:t xml:space="preserve">Keyword highlight</x:t>
        </x:is>
      </x:c>
      <x:c r="F471" s="16" t="inlineStr">
        <x:is>
          <x:t xml:space="preserve">Muted</x:t>
        </x:is>
      </x:c>
      <x:c r="G471" s="21" t="n">
        <x:v>21</x:v>
      </x:c>
      <x:c r="H471" s="21" t="inlineStr">
        <x:is>
          <x:t xml:space="preserve"/>
        </x:is>
      </x:c>
      <x:c r="I471" s="21" t="inlineStr">
        <x:is>
          <x:t xml:space="preserve"/>
        </x:is>
      </x:c>
      <x:c r="J471" s="21" t="inlineStr">
        <x:is>
          <x:t xml:space="preserve"/>
        </x:is>
      </x:c>
      <x:c r="K471" s="21" t="inlineStr">
        <x:is>
          <x:t xml:space="preserve"/>
        </x:is>
      </x:c>
      <x:c r="L471" s="21" t="inlineStr">
        <x:is>
          <x:t xml:space="preserve"/>
        </x:is>
      </x:c>
      <x:c r="M471" s="21" t="inlineStr">
        <x:is>
          <x:t xml:space="preserve"/>
        </x:is>
      </x:c>
      <x:c r="N471" s="21" t="inlineStr">
        <x:is>
          <x:t xml:space="preserve"/>
        </x:is>
      </x:c>
      <x:c r="O471" s="21" t="inlineStr">
        <x:is>
          <x:t xml:space="preserve"/>
        </x:is>
      </x:c>
      <x:c r="P471" s="21" t="inlineStr">
        <x:is>
          <x:t xml:space="preserve"/>
        </x:is>
      </x:c>
      <x:c r="Q471" s="21" t="inlineStr">
        <x:is>
          <x:t xml:space="preserve"/>
        </x:is>
      </x:c>
      <x:c r="R471" s="21" t="inlineStr">
        <x:is>
          <x:t xml:space="preserve"/>
        </x:is>
      </x:c>
      <x:c r="S471" s="22">
        <x:f>IF(H471="","",IFERROR(H471/G471,""))</x:f>
      </x:c>
      <x:c r="T471" s="23">
        <x:f>IF(H471="","",IFERROR((J471+K471+L471+N471)/H471,""))</x:f>
      </x:c>
      <x:c r="U471" s="22">
        <x:f>IF(COUNTA(J471:L471,N471)=0,"",IFERROR(AVERAGE(J471:L471,N471),""))</x:f>
      </x:c>
      <x:c r="V471" s="16" t="inlineStr">
        <x:is>
          <x:t xml:space="preserve"/>
        </x:is>
      </x:c>
    </x:row>
    <x:row r="472">
      <x:c r="A472" s="17" t="inlineStr">
        <x:is>
          <x:t xml:space="preserve">P039</x:t>
        </x:is>
      </x:c>
      <x:c r="B472" s="17" t="n">
        <x:v>12</x:v>
      </x:c>
      <x:c r="C472" s="17" t="inlineStr">
        <x:is>
          <x:t xml:space="preserve">V11</x:t>
        </x:is>
      </x:c>
      <x:c r="D472" s="17" t="inlineStr">
        <x:is>
          <x:t xml:space="preserve">Creator strategy</x:t>
        </x:is>
      </x:c>
      <x:c r="E472" s="17" t="inlineStr">
        <x:is>
          <x:t xml:space="preserve">Full transcript</x:t>
        </x:is>
      </x:c>
      <x:c r="F472" s="17" t="inlineStr">
        <x:is>
          <x:t xml:space="preserve">Muted</x:t>
        </x:is>
      </x:c>
      <x:c r="G472" s="24" t="n">
        <x:v>17</x:v>
      </x:c>
      <x:c r="H472" s="24" t="inlineStr">
        <x:is>
          <x:t xml:space="preserve"/>
        </x:is>
      </x:c>
      <x:c r="I472" s="24" t="inlineStr">
        <x:is>
          <x:t xml:space="preserve"/>
        </x:is>
      </x:c>
      <x:c r="J472" s="24" t="inlineStr">
        <x:is>
          <x:t xml:space="preserve"/>
        </x:is>
      </x:c>
      <x:c r="K472" s="24" t="inlineStr">
        <x:is>
          <x:t xml:space="preserve"/>
        </x:is>
      </x:c>
      <x:c r="L472" s="24" t="inlineStr">
        <x:is>
          <x:t xml:space="preserve"/>
        </x:is>
      </x:c>
      <x:c r="M472" s="24" t="inlineStr">
        <x:is>
          <x:t xml:space="preserve"/>
        </x:is>
      </x:c>
      <x:c r="N472" s="24" t="inlineStr">
        <x:is>
          <x:t xml:space="preserve"/>
        </x:is>
      </x:c>
      <x:c r="O472" s="24" t="inlineStr">
        <x:is>
          <x:t xml:space="preserve"/>
        </x:is>
      </x:c>
      <x:c r="P472" s="24" t="inlineStr">
        <x:is>
          <x:t xml:space="preserve"/>
        </x:is>
      </x:c>
      <x:c r="Q472" s="24" t="inlineStr">
        <x:is>
          <x:t xml:space="preserve"/>
        </x:is>
      </x:c>
      <x:c r="R472" s="24" t="inlineStr">
        <x:is>
          <x:t xml:space="preserve"/>
        </x:is>
      </x:c>
      <x:c r="S472" s="25">
        <x:f>IF(H472="","",IFERROR(H472/G472,""))</x:f>
      </x:c>
      <x:c r="T472" s="26">
        <x:f>IF(H472="","",IFERROR((J472+K472+L472+N472)/H472,""))</x:f>
      </x:c>
      <x:c r="U472" s="25">
        <x:f>IF(COUNTA(J472:L472,N472)=0,"",IFERROR(AVERAGE(J472:L472,N472),""))</x:f>
      </x:c>
      <x:c r="V472" s="17" t="inlineStr">
        <x:is>
          <x:t xml:space="preserve"/>
        </x:is>
      </x:c>
    </x:row>
    <x:row r="473">
      <x:c r="A473" s="16" t="inlineStr">
        <x:is>
          <x:t xml:space="preserve">P040</x:t>
        </x:is>
      </x:c>
      <x:c r="B473" s="16" t="n">
        <x:v>1</x:v>
      </x:c>
      <x:c r="C473" s="16" t="inlineStr">
        <x:is>
          <x:t xml:space="preserve">V12</x:t>
        </x:is>
      </x:c>
      <x:c r="D473" s="16" t="inlineStr">
        <x:is>
          <x:t xml:space="preserve">Time management</x:t>
        </x:is>
      </x:c>
      <x:c r="E473" s="16" t="inlineStr">
        <x:is>
          <x:t xml:space="preserve">Semantic compression</x:t>
        </x:is>
      </x:c>
      <x:c r="F473" s="16" t="inlineStr">
        <x:is>
          <x:t xml:space="preserve">Muted</x:t>
        </x:is>
      </x:c>
      <x:c r="G473" s="21" t="n">
        <x:v>21</x:v>
      </x:c>
      <x:c r="H473" s="21" t="inlineStr">
        <x:is>
          <x:t xml:space="preserve"/>
        </x:is>
      </x:c>
      <x:c r="I473" s="21" t="inlineStr">
        <x:is>
          <x:t xml:space="preserve"/>
        </x:is>
      </x:c>
      <x:c r="J473" s="21" t="inlineStr">
        <x:is>
          <x:t xml:space="preserve"/>
        </x:is>
      </x:c>
      <x:c r="K473" s="21" t="inlineStr">
        <x:is>
          <x:t xml:space="preserve"/>
        </x:is>
      </x:c>
      <x:c r="L473" s="21" t="inlineStr">
        <x:is>
          <x:t xml:space="preserve"/>
        </x:is>
      </x:c>
      <x:c r="M473" s="21" t="inlineStr">
        <x:is>
          <x:t xml:space="preserve"/>
        </x:is>
      </x:c>
      <x:c r="N473" s="21" t="inlineStr">
        <x:is>
          <x:t xml:space="preserve"/>
        </x:is>
      </x:c>
      <x:c r="O473" s="21" t="inlineStr">
        <x:is>
          <x:t xml:space="preserve"/>
        </x:is>
      </x:c>
      <x:c r="P473" s="21" t="inlineStr">
        <x:is>
          <x:t xml:space="preserve"/>
        </x:is>
      </x:c>
      <x:c r="Q473" s="21" t="inlineStr">
        <x:is>
          <x:t xml:space="preserve"/>
        </x:is>
      </x:c>
      <x:c r="R473" s="21" t="inlineStr">
        <x:is>
          <x:t xml:space="preserve"/>
        </x:is>
      </x:c>
      <x:c r="S473" s="22">
        <x:f>IF(H473="","",IFERROR(H473/G473,""))</x:f>
      </x:c>
      <x:c r="T473" s="23">
        <x:f>IF(H473="","",IFERROR((J473+K473+L473+N473)/H473,""))</x:f>
      </x:c>
      <x:c r="U473" s="22">
        <x:f>IF(COUNTA(J473:L473,N473)=0,"",IFERROR(AVERAGE(J473:L473,N473),""))</x:f>
      </x:c>
      <x:c r="V473" s="16" t="inlineStr">
        <x:is>
          <x:t xml:space="preserve"/>
        </x:is>
      </x:c>
    </x:row>
    <x:row r="474">
      <x:c r="A474" s="17" t="inlineStr">
        <x:is>
          <x:t xml:space="preserve">P040</x:t>
        </x:is>
      </x:c>
      <x:c r="B474" s="17" t="n">
        <x:v>2</x:v>
      </x:c>
      <x:c r="C474" s="17" t="inlineStr">
        <x:is>
          <x:t xml:space="preserve">V02</x:t>
        </x:is>
      </x:c>
      <x:c r="D474" s="17" t="inlineStr">
        <x:is>
          <x:t xml:space="preserve">Study</x:t>
        </x:is>
      </x:c>
      <x:c r="E474" s="17" t="inlineStr">
        <x:is>
          <x:t xml:space="preserve">BCC+</x:t>
        </x:is>
      </x:c>
      <x:c r="F474" s="17" t="inlineStr">
        <x:is>
          <x:t xml:space="preserve">Muted</x:t>
        </x:is>
      </x:c>
      <x:c r="G474" s="24" t="n">
        <x:v>18</x:v>
      </x:c>
      <x:c r="H474" s="24" t="inlineStr">
        <x:is>
          <x:t xml:space="preserve"/>
        </x:is>
      </x:c>
      <x:c r="I474" s="24" t="inlineStr">
        <x:is>
          <x:t xml:space="preserve"/>
        </x:is>
      </x:c>
      <x:c r="J474" s="24" t="inlineStr">
        <x:is>
          <x:t xml:space="preserve"/>
        </x:is>
      </x:c>
      <x:c r="K474" s="24" t="inlineStr">
        <x:is>
          <x:t xml:space="preserve"/>
        </x:is>
      </x:c>
      <x:c r="L474" s="24" t="inlineStr">
        <x:is>
          <x:t xml:space="preserve"/>
        </x:is>
      </x:c>
      <x:c r="M474" s="24" t="inlineStr">
        <x:is>
          <x:t xml:space="preserve"/>
        </x:is>
      </x:c>
      <x:c r="N474" s="24" t="inlineStr">
        <x:is>
          <x:t xml:space="preserve"/>
        </x:is>
      </x:c>
      <x:c r="O474" s="24" t="inlineStr">
        <x:is>
          <x:t xml:space="preserve"/>
        </x:is>
      </x:c>
      <x:c r="P474" s="24" t="inlineStr">
        <x:is>
          <x:t xml:space="preserve"/>
        </x:is>
      </x:c>
      <x:c r="Q474" s="24" t="inlineStr">
        <x:is>
          <x:t xml:space="preserve"/>
        </x:is>
      </x:c>
      <x:c r="R474" s="24" t="inlineStr">
        <x:is>
          <x:t xml:space="preserve"/>
        </x:is>
      </x:c>
      <x:c r="S474" s="25">
        <x:f>IF(H474="","",IFERROR(H474/G474,""))</x:f>
      </x:c>
      <x:c r="T474" s="26">
        <x:f>IF(H474="","",IFERROR((J474+K474+L474+N474)/H474,""))</x:f>
      </x:c>
      <x:c r="U474" s="25">
        <x:f>IF(COUNTA(J474:L474,N474)=0,"",IFERROR(AVERAGE(J474:L474,N474),""))</x:f>
      </x:c>
      <x:c r="V474" s="17" t="inlineStr">
        <x:is>
          <x:t xml:space="preserve"/>
        </x:is>
      </x:c>
    </x:row>
    <x:row r="475">
      <x:c r="A475" s="16" t="inlineStr">
        <x:is>
          <x:t xml:space="preserve">P040</x:t>
        </x:is>
      </x:c>
      <x:c r="B475" s="16" t="n">
        <x:v>3</x:v>
      </x:c>
      <x:c r="C475" s="16" t="inlineStr">
        <x:is>
          <x:t xml:space="preserve">V09</x:t>
        </x:is>
      </x:c>
      <x:c r="D475" s="16" t="inlineStr">
        <x:is>
          <x:t xml:space="preserve">Sleep habit</x:t>
        </x:is>
      </x:c>
      <x:c r="E475" s="16" t="inlineStr">
        <x:is>
          <x:t xml:space="preserve">Heavy bionic</x:t>
        </x:is>
      </x:c>
      <x:c r="F475" s="16" t="inlineStr">
        <x:is>
          <x:t xml:space="preserve">Muted</x:t>
        </x:is>
      </x:c>
      <x:c r="G475" s="21" t="n">
        <x:v>19</x:v>
      </x:c>
      <x:c r="H475" s="21" t="inlineStr">
        <x:is>
          <x:t xml:space="preserve"/>
        </x:is>
      </x:c>
      <x:c r="I475" s="21" t="inlineStr">
        <x:is>
          <x:t xml:space="preserve"/>
        </x:is>
      </x:c>
      <x:c r="J475" s="21" t="inlineStr">
        <x:is>
          <x:t xml:space="preserve"/>
        </x:is>
      </x:c>
      <x:c r="K475" s="21" t="inlineStr">
        <x:is>
          <x:t xml:space="preserve"/>
        </x:is>
      </x:c>
      <x:c r="L475" s="21" t="inlineStr">
        <x:is>
          <x:t xml:space="preserve"/>
        </x:is>
      </x:c>
      <x:c r="M475" s="21" t="inlineStr">
        <x:is>
          <x:t xml:space="preserve"/>
        </x:is>
      </x:c>
      <x:c r="N475" s="21" t="inlineStr">
        <x:is>
          <x:t xml:space="preserve"/>
        </x:is>
      </x:c>
      <x:c r="O475" s="21" t="inlineStr">
        <x:is>
          <x:t xml:space="preserve"/>
        </x:is>
      </x:c>
      <x:c r="P475" s="21" t="inlineStr">
        <x:is>
          <x:t xml:space="preserve"/>
        </x:is>
      </x:c>
      <x:c r="Q475" s="21" t="inlineStr">
        <x:is>
          <x:t xml:space="preserve"/>
        </x:is>
      </x:c>
      <x:c r="R475" s="21" t="inlineStr">
        <x:is>
          <x:t xml:space="preserve"/>
        </x:is>
      </x:c>
      <x:c r="S475" s="22">
        <x:f>IF(H475="","",IFERROR(H475/G475,""))</x:f>
      </x:c>
      <x:c r="T475" s="23">
        <x:f>IF(H475="","",IFERROR((J475+K475+L475+N475)/H475,""))</x:f>
      </x:c>
      <x:c r="U475" s="22">
        <x:f>IF(COUNTA(J475:L475,N475)=0,"",IFERROR(AVERAGE(J475:L475,N475),""))</x:f>
      </x:c>
      <x:c r="V475" s="16" t="inlineStr">
        <x:is>
          <x:t xml:space="preserve"/>
        </x:is>
      </x:c>
    </x:row>
    <x:row r="476">
      <x:c r="A476" s="17" t="inlineStr">
        <x:is>
          <x:t xml:space="preserve">P040</x:t>
        </x:is>
      </x:c>
      <x:c r="B476" s="17" t="n">
        <x:v>4</x:v>
      </x:c>
      <x:c r="C476" s="17" t="inlineStr">
        <x:is>
          <x:t xml:space="preserve">V08</x:t>
        </x:is>
      </x:c>
      <x:c r="D476" s="17" t="inlineStr">
        <x:is>
          <x:t xml:space="preserve">Coding</x:t>
        </x:is>
      </x:c>
      <x:c r="E476" s="17" t="inlineStr">
        <x:is>
          <x:t xml:space="preserve">BCC+</x:t>
        </x:is>
      </x:c>
      <x:c r="F476" s="17" t="inlineStr">
        <x:is>
          <x:t xml:space="preserve">Muted</x:t>
        </x:is>
      </x:c>
      <x:c r="G476" s="24" t="n">
        <x:v>24</x:v>
      </x:c>
      <x:c r="H476" s="24" t="inlineStr">
        <x:is>
          <x:t xml:space="preserve"/>
        </x:is>
      </x:c>
      <x:c r="I476" s="24" t="inlineStr">
        <x:is>
          <x:t xml:space="preserve"/>
        </x:is>
      </x:c>
      <x:c r="J476" s="24" t="inlineStr">
        <x:is>
          <x:t xml:space="preserve"/>
        </x:is>
      </x:c>
      <x:c r="K476" s="24" t="inlineStr">
        <x:is>
          <x:t xml:space="preserve"/>
        </x:is>
      </x:c>
      <x:c r="L476" s="24" t="inlineStr">
        <x:is>
          <x:t xml:space="preserve"/>
        </x:is>
      </x:c>
      <x:c r="M476" s="24" t="inlineStr">
        <x:is>
          <x:t xml:space="preserve"/>
        </x:is>
      </x:c>
      <x:c r="N476" s="24" t="inlineStr">
        <x:is>
          <x:t xml:space="preserve"/>
        </x:is>
      </x:c>
      <x:c r="O476" s="24" t="inlineStr">
        <x:is>
          <x:t xml:space="preserve"/>
        </x:is>
      </x:c>
      <x:c r="P476" s="24" t="inlineStr">
        <x:is>
          <x:t xml:space="preserve"/>
        </x:is>
      </x:c>
      <x:c r="Q476" s="24" t="inlineStr">
        <x:is>
          <x:t xml:space="preserve"/>
        </x:is>
      </x:c>
      <x:c r="R476" s="24" t="inlineStr">
        <x:is>
          <x:t xml:space="preserve"/>
        </x:is>
      </x:c>
      <x:c r="S476" s="25">
        <x:f>IF(H476="","",IFERROR(H476/G476,""))</x:f>
      </x:c>
      <x:c r="T476" s="26">
        <x:f>IF(H476="","",IFERROR((J476+K476+L476+N476)/H476,""))</x:f>
      </x:c>
      <x:c r="U476" s="25">
        <x:f>IF(COUNTA(J476:L476,N476)=0,"",IFERROR(AVERAGE(J476:L476,N476),""))</x:f>
      </x:c>
      <x:c r="V476" s="17" t="inlineStr">
        <x:is>
          <x:t xml:space="preserve"/>
        </x:is>
      </x:c>
    </x:row>
    <x:row r="477">
      <x:c r="A477" s="16" t="inlineStr">
        <x:is>
          <x:t xml:space="preserve">P040</x:t>
        </x:is>
      </x:c>
      <x:c r="B477" s="16" t="n">
        <x:v>5</x:v>
      </x:c>
      <x:c r="C477" s="16" t="inlineStr">
        <x:is>
          <x:t xml:space="preserve">V01</x:t>
        </x:is>
      </x:c>
      <x:c r="D477" s="16" t="inlineStr">
        <x:is>
          <x:t xml:space="preserve">Productivity</x:t>
        </x:is>
      </x:c>
      <x:c r="E477" s="16" t="inlineStr">
        <x:is>
          <x:t xml:space="preserve">BCC</x:t>
        </x:is>
      </x:c>
      <x:c r="F477" s="16" t="inlineStr">
        <x:is>
          <x:t xml:space="preserve">Muted</x:t>
        </x:is>
      </x:c>
      <x:c r="G477" s="21" t="n">
        <x:v>25</x:v>
      </x:c>
      <x:c r="H477" s="21" t="inlineStr">
        <x:is>
          <x:t xml:space="preserve"/>
        </x:is>
      </x:c>
      <x:c r="I477" s="21" t="inlineStr">
        <x:is>
          <x:t xml:space="preserve"/>
        </x:is>
      </x:c>
      <x:c r="J477" s="21" t="inlineStr">
        <x:is>
          <x:t xml:space="preserve"/>
        </x:is>
      </x:c>
      <x:c r="K477" s="21" t="inlineStr">
        <x:is>
          <x:t xml:space="preserve"/>
        </x:is>
      </x:c>
      <x:c r="L477" s="21" t="inlineStr">
        <x:is>
          <x:t xml:space="preserve"/>
        </x:is>
      </x:c>
      <x:c r="M477" s="21" t="inlineStr">
        <x:is>
          <x:t xml:space="preserve"/>
        </x:is>
      </x:c>
      <x:c r="N477" s="21" t="inlineStr">
        <x:is>
          <x:t xml:space="preserve"/>
        </x:is>
      </x:c>
      <x:c r="O477" s="21" t="inlineStr">
        <x:is>
          <x:t xml:space="preserve"/>
        </x:is>
      </x:c>
      <x:c r="P477" s="21" t="inlineStr">
        <x:is>
          <x:t xml:space="preserve"/>
        </x:is>
      </x:c>
      <x:c r="Q477" s="21" t="inlineStr">
        <x:is>
          <x:t xml:space="preserve"/>
        </x:is>
      </x:c>
      <x:c r="R477" s="21" t="inlineStr">
        <x:is>
          <x:t xml:space="preserve"/>
        </x:is>
      </x:c>
      <x:c r="S477" s="22">
        <x:f>IF(H477="","",IFERROR(H477/G477,""))</x:f>
      </x:c>
      <x:c r="T477" s="23">
        <x:f>IF(H477="","",IFERROR((J477+K477+L477+N477)/H477,""))</x:f>
      </x:c>
      <x:c r="U477" s="22">
        <x:f>IF(COUNTA(J477:L477,N477)=0,"",IFERROR(AVERAGE(J477:L477,N477),""))</x:f>
      </x:c>
      <x:c r="V477" s="16" t="inlineStr">
        <x:is>
          <x:t xml:space="preserve"/>
        </x:is>
      </x:c>
    </x:row>
    <x:row r="478">
      <x:c r="A478" s="17" t="inlineStr">
        <x:is>
          <x:t xml:space="preserve">P040</x:t>
        </x:is>
      </x:c>
      <x:c r="B478" s="17" t="n">
        <x:v>6</x:v>
      </x:c>
      <x:c r="C478" s="17" t="inlineStr">
        <x:is>
          <x:t xml:space="preserve">V11</x:t>
        </x:is>
      </x:c>
      <x:c r="D478" s="17" t="inlineStr">
        <x:is>
          <x:t xml:space="preserve">Creator strategy</x:t>
        </x:is>
      </x:c>
      <x:c r="E478" s="17" t="inlineStr">
        <x:is>
          <x:t xml:space="preserve">Keyword highlight</x:t>
        </x:is>
      </x:c>
      <x:c r="F478" s="17" t="inlineStr">
        <x:is>
          <x:t xml:space="preserve">Muted</x:t>
        </x:is>
      </x:c>
      <x:c r="G478" s="24" t="n">
        <x:v>17</x:v>
      </x:c>
      <x:c r="H478" s="24" t="inlineStr">
        <x:is>
          <x:t xml:space="preserve"/>
        </x:is>
      </x:c>
      <x:c r="I478" s="24" t="inlineStr">
        <x:is>
          <x:t xml:space="preserve"/>
        </x:is>
      </x:c>
      <x:c r="J478" s="24" t="inlineStr">
        <x:is>
          <x:t xml:space="preserve"/>
        </x:is>
      </x:c>
      <x:c r="K478" s="24" t="inlineStr">
        <x:is>
          <x:t xml:space="preserve"/>
        </x:is>
      </x:c>
      <x:c r="L478" s="24" t="inlineStr">
        <x:is>
          <x:t xml:space="preserve"/>
        </x:is>
      </x:c>
      <x:c r="M478" s="24" t="inlineStr">
        <x:is>
          <x:t xml:space="preserve"/>
        </x:is>
      </x:c>
      <x:c r="N478" s="24" t="inlineStr">
        <x:is>
          <x:t xml:space="preserve"/>
        </x:is>
      </x:c>
      <x:c r="O478" s="24" t="inlineStr">
        <x:is>
          <x:t xml:space="preserve"/>
        </x:is>
      </x:c>
      <x:c r="P478" s="24" t="inlineStr">
        <x:is>
          <x:t xml:space="preserve"/>
        </x:is>
      </x:c>
      <x:c r="Q478" s="24" t="inlineStr">
        <x:is>
          <x:t xml:space="preserve"/>
        </x:is>
      </x:c>
      <x:c r="R478" s="24" t="inlineStr">
        <x:is>
          <x:t xml:space="preserve"/>
        </x:is>
      </x:c>
      <x:c r="S478" s="25">
        <x:f>IF(H478="","",IFERROR(H478/G478,""))</x:f>
      </x:c>
      <x:c r="T478" s="26">
        <x:f>IF(H478="","",IFERROR((J478+K478+L478+N478)/H478,""))</x:f>
      </x:c>
      <x:c r="U478" s="25">
        <x:f>IF(COUNTA(J478:L478,N478)=0,"",IFERROR(AVERAGE(J478:L478,N478),""))</x:f>
      </x:c>
      <x:c r="V478" s="17" t="inlineStr">
        <x:is>
          <x:t xml:space="preserve"/>
        </x:is>
      </x:c>
    </x:row>
    <x:row r="479">
      <x:c r="A479" s="16" t="inlineStr">
        <x:is>
          <x:t xml:space="preserve">P040</x:t>
        </x:is>
      </x:c>
      <x:c r="B479" s="16" t="n">
        <x:v>7</x:v>
      </x:c>
      <x:c r="C479" s="16" t="inlineStr">
        <x:is>
          <x:t xml:space="preserve">V07</x:t>
        </x:is>
      </x:c>
      <x:c r="D479" s="16" t="inlineStr">
        <x:is>
          <x:t xml:space="preserve">Business</x:t>
        </x:is>
      </x:c>
      <x:c r="E479" s="16" t="inlineStr">
        <x:is>
          <x:t xml:space="preserve">BCC</x:t>
        </x:is>
      </x:c>
      <x:c r="F479" s="16" t="inlineStr">
        <x:is>
          <x:t xml:space="preserve">Muted</x:t>
        </x:is>
      </x:c>
      <x:c r="G479" s="21" t="n">
        <x:v>18</x:v>
      </x:c>
      <x:c r="H479" s="21" t="inlineStr">
        <x:is>
          <x:t xml:space="preserve"/>
        </x:is>
      </x:c>
      <x:c r="I479" s="21" t="inlineStr">
        <x:is>
          <x:t xml:space="preserve"/>
        </x:is>
      </x:c>
      <x:c r="J479" s="21" t="inlineStr">
        <x:is>
          <x:t xml:space="preserve"/>
        </x:is>
      </x:c>
      <x:c r="K479" s="21" t="inlineStr">
        <x:is>
          <x:t xml:space="preserve"/>
        </x:is>
      </x:c>
      <x:c r="L479" s="21" t="inlineStr">
        <x:is>
          <x:t xml:space="preserve"/>
        </x:is>
      </x:c>
      <x:c r="M479" s="21" t="inlineStr">
        <x:is>
          <x:t xml:space="preserve"/>
        </x:is>
      </x:c>
      <x:c r="N479" s="21" t="inlineStr">
        <x:is>
          <x:t xml:space="preserve"/>
        </x:is>
      </x:c>
      <x:c r="O479" s="21" t="inlineStr">
        <x:is>
          <x:t xml:space="preserve"/>
        </x:is>
      </x:c>
      <x:c r="P479" s="21" t="inlineStr">
        <x:is>
          <x:t xml:space="preserve"/>
        </x:is>
      </x:c>
      <x:c r="Q479" s="21" t="inlineStr">
        <x:is>
          <x:t xml:space="preserve"/>
        </x:is>
      </x:c>
      <x:c r="R479" s="21" t="inlineStr">
        <x:is>
          <x:t xml:space="preserve"/>
        </x:is>
      </x:c>
      <x:c r="S479" s="22">
        <x:f>IF(H479="","",IFERROR(H479/G479,""))</x:f>
      </x:c>
      <x:c r="T479" s="23">
        <x:f>IF(H479="","",IFERROR((J479+K479+L479+N479)/H479,""))</x:f>
      </x:c>
      <x:c r="U479" s="22">
        <x:f>IF(COUNTA(J479:L479,N479)=0,"",IFERROR(AVERAGE(J479:L479,N479),""))</x:f>
      </x:c>
      <x:c r="V479" s="16" t="inlineStr">
        <x:is>
          <x:t xml:space="preserve"/>
        </x:is>
      </x:c>
    </x:row>
    <x:row r="480">
      <x:c r="A480" s="17" t="inlineStr">
        <x:is>
          <x:t xml:space="preserve">P040</x:t>
        </x:is>
      </x:c>
      <x:c r="B480" s="17" t="n">
        <x:v>8</x:v>
      </x:c>
      <x:c r="C480" s="17" t="inlineStr">
        <x:is>
          <x:t xml:space="preserve">V06</x:t>
        </x:is>
      </x:c>
      <x:c r="D480" s="17" t="inlineStr">
        <x:is>
          <x:t xml:space="preserve">Overload</x:t>
        </x:is>
      </x:c>
      <x:c r="E480" s="17" t="inlineStr">
        <x:is>
          <x:t xml:space="preserve">Semantic compression</x:t>
        </x:is>
      </x:c>
      <x:c r="F480" s="17" t="inlineStr">
        <x:is>
          <x:t xml:space="preserve">Muted</x:t>
        </x:is>
      </x:c>
      <x:c r="G480" s="24" t="n">
        <x:v>16</x:v>
      </x:c>
      <x:c r="H480" s="24" t="inlineStr">
        <x:is>
          <x:t xml:space="preserve"/>
        </x:is>
      </x:c>
      <x:c r="I480" s="24" t="inlineStr">
        <x:is>
          <x:t xml:space="preserve"/>
        </x:is>
      </x:c>
      <x:c r="J480" s="24" t="inlineStr">
        <x:is>
          <x:t xml:space="preserve"/>
        </x:is>
      </x:c>
      <x:c r="K480" s="24" t="inlineStr">
        <x:is>
          <x:t xml:space="preserve"/>
        </x:is>
      </x:c>
      <x:c r="L480" s="24" t="inlineStr">
        <x:is>
          <x:t xml:space="preserve"/>
        </x:is>
      </x:c>
      <x:c r="M480" s="24" t="inlineStr">
        <x:is>
          <x:t xml:space="preserve"/>
        </x:is>
      </x:c>
      <x:c r="N480" s="24" t="inlineStr">
        <x:is>
          <x:t xml:space="preserve"/>
        </x:is>
      </x:c>
      <x:c r="O480" s="24" t="inlineStr">
        <x:is>
          <x:t xml:space="preserve"/>
        </x:is>
      </x:c>
      <x:c r="P480" s="24" t="inlineStr">
        <x:is>
          <x:t xml:space="preserve"/>
        </x:is>
      </x:c>
      <x:c r="Q480" s="24" t="inlineStr">
        <x:is>
          <x:t xml:space="preserve"/>
        </x:is>
      </x:c>
      <x:c r="R480" s="24" t="inlineStr">
        <x:is>
          <x:t xml:space="preserve"/>
        </x:is>
      </x:c>
      <x:c r="S480" s="25">
        <x:f>IF(H480="","",IFERROR(H480/G480,""))</x:f>
      </x:c>
      <x:c r="T480" s="26">
        <x:f>IF(H480="","",IFERROR((J480+K480+L480+N480)/H480,""))</x:f>
      </x:c>
      <x:c r="U480" s="25">
        <x:f>IF(COUNTA(J480:L480,N480)=0,"",IFERROR(AVERAGE(J480:L480,N480),""))</x:f>
      </x:c>
      <x:c r="V480" s="17" t="inlineStr">
        <x:is>
          <x:t xml:space="preserve"/>
        </x:is>
      </x:c>
    </x:row>
    <x:row r="481">
      <x:c r="A481" s="16" t="inlineStr">
        <x:is>
          <x:t xml:space="preserve">P040</x:t>
        </x:is>
      </x:c>
      <x:c r="B481" s="16" t="n">
        <x:v>9</x:v>
      </x:c>
      <x:c r="C481" s="16" t="inlineStr">
        <x:is>
          <x:t xml:space="preserve">V04</x:t>
        </x:is>
      </x:c>
      <x:c r="D481" s="16" t="inlineStr">
        <x:is>
          <x:t xml:space="preserve">Finance</x:t>
        </x:is>
      </x:c>
      <x:c r="E481" s="16" t="inlineStr">
        <x:is>
          <x:t xml:space="preserve">Full transcript</x:t>
        </x:is>
      </x:c>
      <x:c r="F481" s="16" t="inlineStr">
        <x:is>
          <x:t xml:space="preserve">Muted</x:t>
        </x:is>
      </x:c>
      <x:c r="G481" s="21" t="n">
        <x:v>20</x:v>
      </x:c>
      <x:c r="H481" s="21" t="inlineStr">
        <x:is>
          <x:t xml:space="preserve"/>
        </x:is>
      </x:c>
      <x:c r="I481" s="21" t="inlineStr">
        <x:is>
          <x:t xml:space="preserve"/>
        </x:is>
      </x:c>
      <x:c r="J481" s="21" t="inlineStr">
        <x:is>
          <x:t xml:space="preserve"/>
        </x:is>
      </x:c>
      <x:c r="K481" s="21" t="inlineStr">
        <x:is>
          <x:t xml:space="preserve"/>
        </x:is>
      </x:c>
      <x:c r="L481" s="21" t="inlineStr">
        <x:is>
          <x:t xml:space="preserve"/>
        </x:is>
      </x:c>
      <x:c r="M481" s="21" t="inlineStr">
        <x:is>
          <x:t xml:space="preserve"/>
        </x:is>
      </x:c>
      <x:c r="N481" s="21" t="inlineStr">
        <x:is>
          <x:t xml:space="preserve"/>
        </x:is>
      </x:c>
      <x:c r="O481" s="21" t="inlineStr">
        <x:is>
          <x:t xml:space="preserve"/>
        </x:is>
      </x:c>
      <x:c r="P481" s="21" t="inlineStr">
        <x:is>
          <x:t xml:space="preserve"/>
        </x:is>
      </x:c>
      <x:c r="Q481" s="21" t="inlineStr">
        <x:is>
          <x:t xml:space="preserve"/>
        </x:is>
      </x:c>
      <x:c r="R481" s="21" t="inlineStr">
        <x:is>
          <x:t xml:space="preserve"/>
        </x:is>
      </x:c>
      <x:c r="S481" s="22">
        <x:f>IF(H481="","",IFERROR(H481/G481,""))</x:f>
      </x:c>
      <x:c r="T481" s="23">
        <x:f>IF(H481="","",IFERROR((J481+K481+L481+N481)/H481,""))</x:f>
      </x:c>
      <x:c r="U481" s="22">
        <x:f>IF(COUNTA(J481:L481,N481)=0,"",IFERROR(AVERAGE(J481:L481,N481),""))</x:f>
      </x:c>
      <x:c r="V481" s="16" t="inlineStr">
        <x:is>
          <x:t xml:space="preserve"/>
        </x:is>
      </x:c>
    </x:row>
    <x:row r="482">
      <x:c r="A482" s="17" t="inlineStr">
        <x:is>
          <x:t xml:space="preserve">P040</x:t>
        </x:is>
      </x:c>
      <x:c r="B482" s="17" t="n">
        <x:v>10</x:v>
      </x:c>
      <x:c r="C482" s="17" t="inlineStr">
        <x:is>
          <x:t xml:space="preserve">V10</x:t>
        </x:is>
      </x:c>
      <x:c r="D482" s="17" t="inlineStr">
        <x:is>
          <x:t xml:space="preserve">Product demo</x:t>
        </x:is>
      </x:c>
      <x:c r="E482" s="17" t="inlineStr">
        <x:is>
          <x:t xml:space="preserve">Full transcript</x:t>
        </x:is>
      </x:c>
      <x:c r="F482" s="17" t="inlineStr">
        <x:is>
          <x:t xml:space="preserve">Muted</x:t>
        </x:is>
      </x:c>
      <x:c r="G482" s="24" t="n">
        <x:v>15</x:v>
      </x:c>
      <x:c r="H482" s="24" t="inlineStr">
        <x:is>
          <x:t xml:space="preserve"/>
        </x:is>
      </x:c>
      <x:c r="I482" s="24" t="inlineStr">
        <x:is>
          <x:t xml:space="preserve"/>
        </x:is>
      </x:c>
      <x:c r="J482" s="24" t="inlineStr">
        <x:is>
          <x:t xml:space="preserve"/>
        </x:is>
      </x:c>
      <x:c r="K482" s="24" t="inlineStr">
        <x:is>
          <x:t xml:space="preserve"/>
        </x:is>
      </x:c>
      <x:c r="L482" s="24" t="inlineStr">
        <x:is>
          <x:t xml:space="preserve"/>
        </x:is>
      </x:c>
      <x:c r="M482" s="24" t="inlineStr">
        <x:is>
          <x:t xml:space="preserve"/>
        </x:is>
      </x:c>
      <x:c r="N482" s="24" t="inlineStr">
        <x:is>
          <x:t xml:space="preserve"/>
        </x:is>
      </x:c>
      <x:c r="O482" s="24" t="inlineStr">
        <x:is>
          <x:t xml:space="preserve"/>
        </x:is>
      </x:c>
      <x:c r="P482" s="24" t="inlineStr">
        <x:is>
          <x:t xml:space="preserve"/>
        </x:is>
      </x:c>
      <x:c r="Q482" s="24" t="inlineStr">
        <x:is>
          <x:t xml:space="preserve"/>
        </x:is>
      </x:c>
      <x:c r="R482" s="24" t="inlineStr">
        <x:is>
          <x:t xml:space="preserve"/>
        </x:is>
      </x:c>
      <x:c r="S482" s="25">
        <x:f>IF(H482="","",IFERROR(H482/G482,""))</x:f>
      </x:c>
      <x:c r="T482" s="26">
        <x:f>IF(H482="","",IFERROR((J482+K482+L482+N482)/H482,""))</x:f>
      </x:c>
      <x:c r="U482" s="25">
        <x:f>IF(COUNTA(J482:L482,N482)=0,"",IFERROR(AVERAGE(J482:L482,N482),""))</x:f>
      </x:c>
      <x:c r="V482" s="17" t="inlineStr">
        <x:is>
          <x:t xml:space="preserve"/>
        </x:is>
      </x:c>
    </x:row>
    <x:row r="483">
      <x:c r="A483" s="16" t="inlineStr">
        <x:is>
          <x:t xml:space="preserve">P040</x:t>
        </x:is>
      </x:c>
      <x:c r="B483" s="16" t="n">
        <x:v>11</x:v>
      </x:c>
      <x:c r="C483" s="16" t="inlineStr">
        <x:is>
          <x:t xml:space="preserve">V03</x:t>
        </x:is>
      </x:c>
      <x:c r="D483" s="16" t="inlineStr">
        <x:is>
          <x:t xml:space="preserve">Fitness</x:t>
        </x:is>
      </x:c>
      <x:c r="E483" s="16" t="inlineStr">
        <x:is>
          <x:t xml:space="preserve">Heavy bionic</x:t>
        </x:is>
      </x:c>
      <x:c r="F483" s="16" t="inlineStr">
        <x:is>
          <x:t xml:space="preserve">Muted</x:t>
        </x:is>
      </x:c>
      <x:c r="G483" s="21" t="n">
        <x:v>18</x:v>
      </x:c>
      <x:c r="H483" s="21" t="inlineStr">
        <x:is>
          <x:t xml:space="preserve"/>
        </x:is>
      </x:c>
      <x:c r="I483" s="21" t="inlineStr">
        <x:is>
          <x:t xml:space="preserve"/>
        </x:is>
      </x:c>
      <x:c r="J483" s="21" t="inlineStr">
        <x:is>
          <x:t xml:space="preserve"/>
        </x:is>
      </x:c>
      <x:c r="K483" s="21" t="inlineStr">
        <x:is>
          <x:t xml:space="preserve"/>
        </x:is>
      </x:c>
      <x:c r="L483" s="21" t="inlineStr">
        <x:is>
          <x:t xml:space="preserve"/>
        </x:is>
      </x:c>
      <x:c r="M483" s="21" t="inlineStr">
        <x:is>
          <x:t xml:space="preserve"/>
        </x:is>
      </x:c>
      <x:c r="N483" s="21" t="inlineStr">
        <x:is>
          <x:t xml:space="preserve"/>
        </x:is>
      </x:c>
      <x:c r="O483" s="21" t="inlineStr">
        <x:is>
          <x:t xml:space="preserve"/>
        </x:is>
      </x:c>
      <x:c r="P483" s="21" t="inlineStr">
        <x:is>
          <x:t xml:space="preserve"/>
        </x:is>
      </x:c>
      <x:c r="Q483" s="21" t="inlineStr">
        <x:is>
          <x:t xml:space="preserve"/>
        </x:is>
      </x:c>
      <x:c r="R483" s="21" t="inlineStr">
        <x:is>
          <x:t xml:space="preserve"/>
        </x:is>
      </x:c>
      <x:c r="S483" s="22">
        <x:f>IF(H483="","",IFERROR(H483/G483,""))</x:f>
      </x:c>
      <x:c r="T483" s="23">
        <x:f>IF(H483="","",IFERROR((J483+K483+L483+N483)/H483,""))</x:f>
      </x:c>
      <x:c r="U483" s="22">
        <x:f>IF(COUNTA(J483:L483,N483)=0,"",IFERROR(AVERAGE(J483:L483,N483),""))</x:f>
      </x:c>
      <x:c r="V483" s="16" t="inlineStr">
        <x:is>
          <x:t xml:space="preserve"/>
        </x:is>
      </x:c>
    </x:row>
    <x:row r="484">
      <x:c r="A484" s="17" t="inlineStr">
        <x:is>
          <x:t xml:space="preserve">P040</x:t>
        </x:is>
      </x:c>
      <x:c r="B484" s="17" t="n">
        <x:v>12</x:v>
      </x:c>
      <x:c r="C484" s="17" t="inlineStr">
        <x:is>
          <x:t xml:space="preserve">V05</x:t>
        </x:is>
      </x:c>
      <x:c r="D484" s="17" t="inlineStr">
        <x:is>
          <x:t xml:space="preserve">Tutorial</x:t>
        </x:is>
      </x:c>
      <x:c r="E484" s="17" t="inlineStr">
        <x:is>
          <x:t xml:space="preserve">Keyword highlight</x:t>
        </x:is>
      </x:c>
      <x:c r="F484" s="17" t="inlineStr">
        <x:is>
          <x:t xml:space="preserve">Muted</x:t>
        </x:is>
      </x:c>
      <x:c r="G484" s="24" t="n">
        <x:v>20</x:v>
      </x:c>
      <x:c r="H484" s="24" t="inlineStr">
        <x:is>
          <x:t xml:space="preserve"/>
        </x:is>
      </x:c>
      <x:c r="I484" s="24" t="inlineStr">
        <x:is>
          <x:t xml:space="preserve"/>
        </x:is>
      </x:c>
      <x:c r="J484" s="24" t="inlineStr">
        <x:is>
          <x:t xml:space="preserve"/>
        </x:is>
      </x:c>
      <x:c r="K484" s="24" t="inlineStr">
        <x:is>
          <x:t xml:space="preserve"/>
        </x:is>
      </x:c>
      <x:c r="L484" s="24" t="inlineStr">
        <x:is>
          <x:t xml:space="preserve"/>
        </x:is>
      </x:c>
      <x:c r="M484" s="24" t="inlineStr">
        <x:is>
          <x:t xml:space="preserve"/>
        </x:is>
      </x:c>
      <x:c r="N484" s="24" t="inlineStr">
        <x:is>
          <x:t xml:space="preserve"/>
        </x:is>
      </x:c>
      <x:c r="O484" s="24" t="inlineStr">
        <x:is>
          <x:t xml:space="preserve"/>
        </x:is>
      </x:c>
      <x:c r="P484" s="24" t="inlineStr">
        <x:is>
          <x:t xml:space="preserve"/>
        </x:is>
      </x:c>
      <x:c r="Q484" s="24" t="inlineStr">
        <x:is>
          <x:t xml:space="preserve"/>
        </x:is>
      </x:c>
      <x:c r="R484" s="24" t="inlineStr">
        <x:is>
          <x:t xml:space="preserve"/>
        </x:is>
      </x:c>
      <x:c r="S484" s="25">
        <x:f>IF(H484="","",IFERROR(H484/G484,""))</x:f>
      </x:c>
      <x:c r="T484" s="26">
        <x:f>IF(H484="","",IFERROR((J484+K484+L484+N484)/H484,""))</x:f>
      </x:c>
      <x:c r="U484" s="25">
        <x:f>IF(COUNTA(J484:L484,N484)=0,"",IFERROR(AVERAGE(J484:L484,N484),""))</x:f>
      </x:c>
      <x:c r="V484" s="17" t="inlineStr">
        <x:is>
          <x:t xml:space="preserve"/>
        </x:is>
      </x:c>
    </x:row>
    <x:row r="485">
      <x:c r="A485" s="16" t="inlineStr">
        <x:is>
          <x:t xml:space="preserve">P041</x:t>
        </x:is>
      </x:c>
      <x:c r="B485" s="16" t="n">
        <x:v>1</x:v>
      </x:c>
      <x:c r="C485" s="16" t="inlineStr">
        <x:is>
          <x:t xml:space="preserve">V04</x:t>
        </x:is>
      </x:c>
      <x:c r="D485" s="16" t="inlineStr">
        <x:is>
          <x:t xml:space="preserve">Finance</x:t>
        </x:is>
      </x:c>
      <x:c r="E485" s="16" t="inlineStr">
        <x:is>
          <x:t xml:space="preserve">Keyword highlight</x:t>
        </x:is>
      </x:c>
      <x:c r="F485" s="16" t="inlineStr">
        <x:is>
          <x:t xml:space="preserve">Muted</x:t>
        </x:is>
      </x:c>
      <x:c r="G485" s="21" t="n">
        <x:v>20</x:v>
      </x:c>
      <x:c r="H485" s="21" t="inlineStr">
        <x:is>
          <x:t xml:space="preserve"/>
        </x:is>
      </x:c>
      <x:c r="I485" s="21" t="inlineStr">
        <x:is>
          <x:t xml:space="preserve"/>
        </x:is>
      </x:c>
      <x:c r="J485" s="21" t="inlineStr">
        <x:is>
          <x:t xml:space="preserve"/>
        </x:is>
      </x:c>
      <x:c r="K485" s="21" t="inlineStr">
        <x:is>
          <x:t xml:space="preserve"/>
        </x:is>
      </x:c>
      <x:c r="L485" s="21" t="inlineStr">
        <x:is>
          <x:t xml:space="preserve"/>
        </x:is>
      </x:c>
      <x:c r="M485" s="21" t="inlineStr">
        <x:is>
          <x:t xml:space="preserve"/>
        </x:is>
      </x:c>
      <x:c r="N485" s="21" t="inlineStr">
        <x:is>
          <x:t xml:space="preserve"/>
        </x:is>
      </x:c>
      <x:c r="O485" s="21" t="inlineStr">
        <x:is>
          <x:t xml:space="preserve"/>
        </x:is>
      </x:c>
      <x:c r="P485" s="21" t="inlineStr">
        <x:is>
          <x:t xml:space="preserve"/>
        </x:is>
      </x:c>
      <x:c r="Q485" s="21" t="inlineStr">
        <x:is>
          <x:t xml:space="preserve"/>
        </x:is>
      </x:c>
      <x:c r="R485" s="21" t="inlineStr">
        <x:is>
          <x:t xml:space="preserve"/>
        </x:is>
      </x:c>
      <x:c r="S485" s="22">
        <x:f>IF(H485="","",IFERROR(H485/G485,""))</x:f>
      </x:c>
      <x:c r="T485" s="23">
        <x:f>IF(H485="","",IFERROR((J485+K485+L485+N485)/H485,""))</x:f>
      </x:c>
      <x:c r="U485" s="22">
        <x:f>IF(COUNTA(J485:L485,N485)=0,"",IFERROR(AVERAGE(J485:L485,N485),""))</x:f>
      </x:c>
      <x:c r="V485" s="16" t="inlineStr">
        <x:is>
          <x:t xml:space="preserve"/>
        </x:is>
      </x:c>
    </x:row>
    <x:row r="486">
      <x:c r="A486" s="17" t="inlineStr">
        <x:is>
          <x:t xml:space="preserve">P041</x:t>
        </x:is>
      </x:c>
      <x:c r="B486" s="17" t="n">
        <x:v>2</x:v>
      </x:c>
      <x:c r="C486" s="17" t="inlineStr">
        <x:is>
          <x:t xml:space="preserve">V05</x:t>
        </x:is>
      </x:c>
      <x:c r="D486" s="17" t="inlineStr">
        <x:is>
          <x:t xml:space="preserve">Tutorial</x:t>
        </x:is>
      </x:c>
      <x:c r="E486" s="17" t="inlineStr">
        <x:is>
          <x:t xml:space="preserve">Semantic compression</x:t>
        </x:is>
      </x:c>
      <x:c r="F486" s="17" t="inlineStr">
        <x:is>
          <x:t xml:space="preserve">Muted</x:t>
        </x:is>
      </x:c>
      <x:c r="G486" s="24" t="n">
        <x:v>20</x:v>
      </x:c>
      <x:c r="H486" s="24" t="inlineStr">
        <x:is>
          <x:t xml:space="preserve"/>
        </x:is>
      </x:c>
      <x:c r="I486" s="24" t="inlineStr">
        <x:is>
          <x:t xml:space="preserve"/>
        </x:is>
      </x:c>
      <x:c r="J486" s="24" t="inlineStr">
        <x:is>
          <x:t xml:space="preserve"/>
        </x:is>
      </x:c>
      <x:c r="K486" s="24" t="inlineStr">
        <x:is>
          <x:t xml:space="preserve"/>
        </x:is>
      </x:c>
      <x:c r="L486" s="24" t="inlineStr">
        <x:is>
          <x:t xml:space="preserve"/>
        </x:is>
      </x:c>
      <x:c r="M486" s="24" t="inlineStr">
        <x:is>
          <x:t xml:space="preserve"/>
        </x:is>
      </x:c>
      <x:c r="N486" s="24" t="inlineStr">
        <x:is>
          <x:t xml:space="preserve"/>
        </x:is>
      </x:c>
      <x:c r="O486" s="24" t="inlineStr">
        <x:is>
          <x:t xml:space="preserve"/>
        </x:is>
      </x:c>
      <x:c r="P486" s="24" t="inlineStr">
        <x:is>
          <x:t xml:space="preserve"/>
        </x:is>
      </x:c>
      <x:c r="Q486" s="24" t="inlineStr">
        <x:is>
          <x:t xml:space="preserve"/>
        </x:is>
      </x:c>
      <x:c r="R486" s="24" t="inlineStr">
        <x:is>
          <x:t xml:space="preserve"/>
        </x:is>
      </x:c>
      <x:c r="S486" s="25">
        <x:f>IF(H486="","",IFERROR(H486/G486,""))</x:f>
      </x:c>
      <x:c r="T486" s="26">
        <x:f>IF(H486="","",IFERROR((J486+K486+L486+N486)/H486,""))</x:f>
      </x:c>
      <x:c r="U486" s="25">
        <x:f>IF(COUNTA(J486:L486,N486)=0,"",IFERROR(AVERAGE(J486:L486,N486),""))</x:f>
      </x:c>
      <x:c r="V486" s="17" t="inlineStr">
        <x:is>
          <x:t xml:space="preserve"/>
        </x:is>
      </x:c>
    </x:row>
    <x:row r="487">
      <x:c r="A487" s="16" t="inlineStr">
        <x:is>
          <x:t xml:space="preserve">P041</x:t>
        </x:is>
      </x:c>
      <x:c r="B487" s="16" t="n">
        <x:v>3</x:v>
      </x:c>
      <x:c r="C487" s="16" t="inlineStr">
        <x:is>
          <x:t xml:space="preserve">V11</x:t>
        </x:is>
      </x:c>
      <x:c r="D487" s="16" t="inlineStr">
        <x:is>
          <x:t xml:space="preserve">Creator strategy</x:t>
        </x:is>
      </x:c>
      <x:c r="E487" s="16" t="inlineStr">
        <x:is>
          <x:t xml:space="preserve">Semantic compression</x:t>
        </x:is>
      </x:c>
      <x:c r="F487" s="16" t="inlineStr">
        <x:is>
          <x:t xml:space="preserve">Muted</x:t>
        </x:is>
      </x:c>
      <x:c r="G487" s="21" t="n">
        <x:v>17</x:v>
      </x:c>
      <x:c r="H487" s="21" t="inlineStr">
        <x:is>
          <x:t xml:space="preserve"/>
        </x:is>
      </x:c>
      <x:c r="I487" s="21" t="inlineStr">
        <x:is>
          <x:t xml:space="preserve"/>
        </x:is>
      </x:c>
      <x:c r="J487" s="21" t="inlineStr">
        <x:is>
          <x:t xml:space="preserve"/>
        </x:is>
      </x:c>
      <x:c r="K487" s="21" t="inlineStr">
        <x:is>
          <x:t xml:space="preserve"/>
        </x:is>
      </x:c>
      <x:c r="L487" s="21" t="inlineStr">
        <x:is>
          <x:t xml:space="preserve"/>
        </x:is>
      </x:c>
      <x:c r="M487" s="21" t="inlineStr">
        <x:is>
          <x:t xml:space="preserve"/>
        </x:is>
      </x:c>
      <x:c r="N487" s="21" t="inlineStr">
        <x:is>
          <x:t xml:space="preserve"/>
        </x:is>
      </x:c>
      <x:c r="O487" s="21" t="inlineStr">
        <x:is>
          <x:t xml:space="preserve"/>
        </x:is>
      </x:c>
      <x:c r="P487" s="21" t="inlineStr">
        <x:is>
          <x:t xml:space="preserve"/>
        </x:is>
      </x:c>
      <x:c r="Q487" s="21" t="inlineStr">
        <x:is>
          <x:t xml:space="preserve"/>
        </x:is>
      </x:c>
      <x:c r="R487" s="21" t="inlineStr">
        <x:is>
          <x:t xml:space="preserve"/>
        </x:is>
      </x:c>
      <x:c r="S487" s="22">
        <x:f>IF(H487="","",IFERROR(H487/G487,""))</x:f>
      </x:c>
      <x:c r="T487" s="23">
        <x:f>IF(H487="","",IFERROR((J487+K487+L487+N487)/H487,""))</x:f>
      </x:c>
      <x:c r="U487" s="22">
        <x:f>IF(COUNTA(J487:L487,N487)=0,"",IFERROR(AVERAGE(J487:L487,N487),""))</x:f>
      </x:c>
      <x:c r="V487" s="16" t="inlineStr">
        <x:is>
          <x:t xml:space="preserve"/>
        </x:is>
      </x:c>
    </x:row>
    <x:row r="488">
      <x:c r="A488" s="17" t="inlineStr">
        <x:is>
          <x:t xml:space="preserve">P041</x:t>
        </x:is>
      </x:c>
      <x:c r="B488" s="17" t="n">
        <x:v>4</x:v>
      </x:c>
      <x:c r="C488" s="17" t="inlineStr">
        <x:is>
          <x:t xml:space="preserve">V06</x:t>
        </x:is>
      </x:c>
      <x:c r="D488" s="17" t="inlineStr">
        <x:is>
          <x:t xml:space="preserve">Overload</x:t>
        </x:is>
      </x:c>
      <x:c r="E488" s="17" t="inlineStr">
        <x:is>
          <x:t xml:space="preserve">BCC</x:t>
        </x:is>
      </x:c>
      <x:c r="F488" s="17" t="inlineStr">
        <x:is>
          <x:t xml:space="preserve">Muted</x:t>
        </x:is>
      </x:c>
      <x:c r="G488" s="24" t="n">
        <x:v>16</x:v>
      </x:c>
      <x:c r="H488" s="24" t="inlineStr">
        <x:is>
          <x:t xml:space="preserve"/>
        </x:is>
      </x:c>
      <x:c r="I488" s="24" t="inlineStr">
        <x:is>
          <x:t xml:space="preserve"/>
        </x:is>
      </x:c>
      <x:c r="J488" s="24" t="inlineStr">
        <x:is>
          <x:t xml:space="preserve"/>
        </x:is>
      </x:c>
      <x:c r="K488" s="24" t="inlineStr">
        <x:is>
          <x:t xml:space="preserve"/>
        </x:is>
      </x:c>
      <x:c r="L488" s="24" t="inlineStr">
        <x:is>
          <x:t xml:space="preserve"/>
        </x:is>
      </x:c>
      <x:c r="M488" s="24" t="inlineStr">
        <x:is>
          <x:t xml:space="preserve"/>
        </x:is>
      </x:c>
      <x:c r="N488" s="24" t="inlineStr">
        <x:is>
          <x:t xml:space="preserve"/>
        </x:is>
      </x:c>
      <x:c r="O488" s="24" t="inlineStr">
        <x:is>
          <x:t xml:space="preserve"/>
        </x:is>
      </x:c>
      <x:c r="P488" s="24" t="inlineStr">
        <x:is>
          <x:t xml:space="preserve"/>
        </x:is>
      </x:c>
      <x:c r="Q488" s="24" t="inlineStr">
        <x:is>
          <x:t xml:space="preserve"/>
        </x:is>
      </x:c>
      <x:c r="R488" s="24" t="inlineStr">
        <x:is>
          <x:t xml:space="preserve"/>
        </x:is>
      </x:c>
      <x:c r="S488" s="25">
        <x:f>IF(H488="","",IFERROR(H488/G488,""))</x:f>
      </x:c>
      <x:c r="T488" s="26">
        <x:f>IF(H488="","",IFERROR((J488+K488+L488+N488)/H488,""))</x:f>
      </x:c>
      <x:c r="U488" s="25">
        <x:f>IF(COUNTA(J488:L488,N488)=0,"",IFERROR(AVERAGE(J488:L488,N488),""))</x:f>
      </x:c>
      <x:c r="V488" s="17" t="inlineStr">
        <x:is>
          <x:t xml:space="preserve"/>
        </x:is>
      </x:c>
    </x:row>
    <x:row r="489">
      <x:c r="A489" s="16" t="inlineStr">
        <x:is>
          <x:t xml:space="preserve">P041</x:t>
        </x:is>
      </x:c>
      <x:c r="B489" s="16" t="n">
        <x:v>5</x:v>
      </x:c>
      <x:c r="C489" s="16" t="inlineStr">
        <x:is>
          <x:t xml:space="preserve">V09</x:t>
        </x:is>
      </x:c>
      <x:c r="D489" s="16" t="inlineStr">
        <x:is>
          <x:t xml:space="preserve">Sleep habit</x:t>
        </x:is>
      </x:c>
      <x:c r="E489" s="16" t="inlineStr">
        <x:is>
          <x:t xml:space="preserve">Full transcript</x:t>
        </x:is>
      </x:c>
      <x:c r="F489" s="16" t="inlineStr">
        <x:is>
          <x:t xml:space="preserve">Muted</x:t>
        </x:is>
      </x:c>
      <x:c r="G489" s="21" t="n">
        <x:v>19</x:v>
      </x:c>
      <x:c r="H489" s="21" t="inlineStr">
        <x:is>
          <x:t xml:space="preserve"/>
        </x:is>
      </x:c>
      <x:c r="I489" s="21" t="inlineStr">
        <x:is>
          <x:t xml:space="preserve"/>
        </x:is>
      </x:c>
      <x:c r="J489" s="21" t="inlineStr">
        <x:is>
          <x:t xml:space="preserve"/>
        </x:is>
      </x:c>
      <x:c r="K489" s="21" t="inlineStr">
        <x:is>
          <x:t xml:space="preserve"/>
        </x:is>
      </x:c>
      <x:c r="L489" s="21" t="inlineStr">
        <x:is>
          <x:t xml:space="preserve"/>
        </x:is>
      </x:c>
      <x:c r="M489" s="21" t="inlineStr">
        <x:is>
          <x:t xml:space="preserve"/>
        </x:is>
      </x:c>
      <x:c r="N489" s="21" t="inlineStr">
        <x:is>
          <x:t xml:space="preserve"/>
        </x:is>
      </x:c>
      <x:c r="O489" s="21" t="inlineStr">
        <x:is>
          <x:t xml:space="preserve"/>
        </x:is>
      </x:c>
      <x:c r="P489" s="21" t="inlineStr">
        <x:is>
          <x:t xml:space="preserve"/>
        </x:is>
      </x:c>
      <x:c r="Q489" s="21" t="inlineStr">
        <x:is>
          <x:t xml:space="preserve"/>
        </x:is>
      </x:c>
      <x:c r="R489" s="21" t="inlineStr">
        <x:is>
          <x:t xml:space="preserve"/>
        </x:is>
      </x:c>
      <x:c r="S489" s="22">
        <x:f>IF(H489="","",IFERROR(H489/G489,""))</x:f>
      </x:c>
      <x:c r="T489" s="23">
        <x:f>IF(H489="","",IFERROR((J489+K489+L489+N489)/H489,""))</x:f>
      </x:c>
      <x:c r="U489" s="22">
        <x:f>IF(COUNTA(J489:L489,N489)=0,"",IFERROR(AVERAGE(J489:L489,N489),""))</x:f>
      </x:c>
      <x:c r="V489" s="16" t="inlineStr">
        <x:is>
          <x:t xml:space="preserve"/>
        </x:is>
      </x:c>
    </x:row>
    <x:row r="490">
      <x:c r="A490" s="17" t="inlineStr">
        <x:is>
          <x:t xml:space="preserve">P041</x:t>
        </x:is>
      </x:c>
      <x:c r="B490" s="17" t="n">
        <x:v>6</x:v>
      </x:c>
      <x:c r="C490" s="17" t="inlineStr">
        <x:is>
          <x:t xml:space="preserve">V10</x:t>
        </x:is>
      </x:c>
      <x:c r="D490" s="17" t="inlineStr">
        <x:is>
          <x:t xml:space="preserve">Product demo</x:t>
        </x:is>
      </x:c>
      <x:c r="E490" s="17" t="inlineStr">
        <x:is>
          <x:t xml:space="preserve">Keyword highlight</x:t>
        </x:is>
      </x:c>
      <x:c r="F490" s="17" t="inlineStr">
        <x:is>
          <x:t xml:space="preserve">Muted</x:t>
        </x:is>
      </x:c>
      <x:c r="G490" s="24" t="n">
        <x:v>15</x:v>
      </x:c>
      <x:c r="H490" s="24" t="inlineStr">
        <x:is>
          <x:t xml:space="preserve"/>
        </x:is>
      </x:c>
      <x:c r="I490" s="24" t="inlineStr">
        <x:is>
          <x:t xml:space="preserve"/>
        </x:is>
      </x:c>
      <x:c r="J490" s="24" t="inlineStr">
        <x:is>
          <x:t xml:space="preserve"/>
        </x:is>
      </x:c>
      <x:c r="K490" s="24" t="inlineStr">
        <x:is>
          <x:t xml:space="preserve"/>
        </x:is>
      </x:c>
      <x:c r="L490" s="24" t="inlineStr">
        <x:is>
          <x:t xml:space="preserve"/>
        </x:is>
      </x:c>
      <x:c r="M490" s="24" t="inlineStr">
        <x:is>
          <x:t xml:space="preserve"/>
        </x:is>
      </x:c>
      <x:c r="N490" s="24" t="inlineStr">
        <x:is>
          <x:t xml:space="preserve"/>
        </x:is>
      </x:c>
      <x:c r="O490" s="24" t="inlineStr">
        <x:is>
          <x:t xml:space="preserve"/>
        </x:is>
      </x:c>
      <x:c r="P490" s="24" t="inlineStr">
        <x:is>
          <x:t xml:space="preserve"/>
        </x:is>
      </x:c>
      <x:c r="Q490" s="24" t="inlineStr">
        <x:is>
          <x:t xml:space="preserve"/>
        </x:is>
      </x:c>
      <x:c r="R490" s="24" t="inlineStr">
        <x:is>
          <x:t xml:space="preserve"/>
        </x:is>
      </x:c>
      <x:c r="S490" s="25">
        <x:f>IF(H490="","",IFERROR(H490/G490,""))</x:f>
      </x:c>
      <x:c r="T490" s="26">
        <x:f>IF(H490="","",IFERROR((J490+K490+L490+N490)/H490,""))</x:f>
      </x:c>
      <x:c r="U490" s="25">
        <x:f>IF(COUNTA(J490:L490,N490)=0,"",IFERROR(AVERAGE(J490:L490,N490),""))</x:f>
      </x:c>
      <x:c r="V490" s="17" t="inlineStr">
        <x:is>
          <x:t xml:space="preserve"/>
        </x:is>
      </x:c>
    </x:row>
    <x:row r="491">
      <x:c r="A491" s="16" t="inlineStr">
        <x:is>
          <x:t xml:space="preserve">P041</x:t>
        </x:is>
      </x:c>
      <x:c r="B491" s="16" t="n">
        <x:v>7</x:v>
      </x:c>
      <x:c r="C491" s="16" t="inlineStr">
        <x:is>
          <x:t xml:space="preserve">V02</x:t>
        </x:is>
      </x:c>
      <x:c r="D491" s="16" t="inlineStr">
        <x:is>
          <x:t xml:space="preserve">Study</x:t>
        </x:is>
      </x:c>
      <x:c r="E491" s="16" t="inlineStr">
        <x:is>
          <x:t xml:space="preserve">Heavy bionic</x:t>
        </x:is>
      </x:c>
      <x:c r="F491" s="16" t="inlineStr">
        <x:is>
          <x:t xml:space="preserve">Muted</x:t>
        </x:is>
      </x:c>
      <x:c r="G491" s="21" t="n">
        <x:v>18</x:v>
      </x:c>
      <x:c r="H491" s="21" t="inlineStr">
        <x:is>
          <x:t xml:space="preserve"/>
        </x:is>
      </x:c>
      <x:c r="I491" s="21" t="inlineStr">
        <x:is>
          <x:t xml:space="preserve"/>
        </x:is>
      </x:c>
      <x:c r="J491" s="21" t="inlineStr">
        <x:is>
          <x:t xml:space="preserve"/>
        </x:is>
      </x:c>
      <x:c r="K491" s="21" t="inlineStr">
        <x:is>
          <x:t xml:space="preserve"/>
        </x:is>
      </x:c>
      <x:c r="L491" s="21" t="inlineStr">
        <x:is>
          <x:t xml:space="preserve"/>
        </x:is>
      </x:c>
      <x:c r="M491" s="21" t="inlineStr">
        <x:is>
          <x:t xml:space="preserve"/>
        </x:is>
      </x:c>
      <x:c r="N491" s="21" t="inlineStr">
        <x:is>
          <x:t xml:space="preserve"/>
        </x:is>
      </x:c>
      <x:c r="O491" s="21" t="inlineStr">
        <x:is>
          <x:t xml:space="preserve"/>
        </x:is>
      </x:c>
      <x:c r="P491" s="21" t="inlineStr">
        <x:is>
          <x:t xml:space="preserve"/>
        </x:is>
      </x:c>
      <x:c r="Q491" s="21" t="inlineStr">
        <x:is>
          <x:t xml:space="preserve"/>
        </x:is>
      </x:c>
      <x:c r="R491" s="21" t="inlineStr">
        <x:is>
          <x:t xml:space="preserve"/>
        </x:is>
      </x:c>
      <x:c r="S491" s="22">
        <x:f>IF(H491="","",IFERROR(H491/G491,""))</x:f>
      </x:c>
      <x:c r="T491" s="23">
        <x:f>IF(H491="","",IFERROR((J491+K491+L491+N491)/H491,""))</x:f>
      </x:c>
      <x:c r="U491" s="22">
        <x:f>IF(COUNTA(J491:L491,N491)=0,"",IFERROR(AVERAGE(J491:L491,N491),""))</x:f>
      </x:c>
      <x:c r="V491" s="16" t="inlineStr">
        <x:is>
          <x:t xml:space="preserve"/>
        </x:is>
      </x:c>
    </x:row>
    <x:row r="492">
      <x:c r="A492" s="17" t="inlineStr">
        <x:is>
          <x:t xml:space="preserve">P041</x:t>
        </x:is>
      </x:c>
      <x:c r="B492" s="17" t="n">
        <x:v>8</x:v>
      </x:c>
      <x:c r="C492" s="17" t="inlineStr">
        <x:is>
          <x:t xml:space="preserve">V01</x:t>
        </x:is>
      </x:c>
      <x:c r="D492" s="17" t="inlineStr">
        <x:is>
          <x:t xml:space="preserve">Productivity</x:t>
        </x:is>
      </x:c>
      <x:c r="E492" s="17" t="inlineStr">
        <x:is>
          <x:t xml:space="preserve">BCC+</x:t>
        </x:is>
      </x:c>
      <x:c r="F492" s="17" t="inlineStr">
        <x:is>
          <x:t xml:space="preserve">Muted</x:t>
        </x:is>
      </x:c>
      <x:c r="G492" s="24" t="n">
        <x:v>25</x:v>
      </x:c>
      <x:c r="H492" s="24" t="inlineStr">
        <x:is>
          <x:t xml:space="preserve"/>
        </x:is>
      </x:c>
      <x:c r="I492" s="24" t="inlineStr">
        <x:is>
          <x:t xml:space="preserve"/>
        </x:is>
      </x:c>
      <x:c r="J492" s="24" t="inlineStr">
        <x:is>
          <x:t xml:space="preserve"/>
        </x:is>
      </x:c>
      <x:c r="K492" s="24" t="inlineStr">
        <x:is>
          <x:t xml:space="preserve"/>
        </x:is>
      </x:c>
      <x:c r="L492" s="24" t="inlineStr">
        <x:is>
          <x:t xml:space="preserve"/>
        </x:is>
      </x:c>
      <x:c r="M492" s="24" t="inlineStr">
        <x:is>
          <x:t xml:space="preserve"/>
        </x:is>
      </x:c>
      <x:c r="N492" s="24" t="inlineStr">
        <x:is>
          <x:t xml:space="preserve"/>
        </x:is>
      </x:c>
      <x:c r="O492" s="24" t="inlineStr">
        <x:is>
          <x:t xml:space="preserve"/>
        </x:is>
      </x:c>
      <x:c r="P492" s="24" t="inlineStr">
        <x:is>
          <x:t xml:space="preserve"/>
        </x:is>
      </x:c>
      <x:c r="Q492" s="24" t="inlineStr">
        <x:is>
          <x:t xml:space="preserve"/>
        </x:is>
      </x:c>
      <x:c r="R492" s="24" t="inlineStr">
        <x:is>
          <x:t xml:space="preserve"/>
        </x:is>
      </x:c>
      <x:c r="S492" s="25">
        <x:f>IF(H492="","",IFERROR(H492/G492,""))</x:f>
      </x:c>
      <x:c r="T492" s="26">
        <x:f>IF(H492="","",IFERROR((J492+K492+L492+N492)/H492,""))</x:f>
      </x:c>
      <x:c r="U492" s="25">
        <x:f>IF(COUNTA(J492:L492,N492)=0,"",IFERROR(AVERAGE(J492:L492,N492),""))</x:f>
      </x:c>
      <x:c r="V492" s="17" t="inlineStr">
        <x:is>
          <x:t xml:space="preserve"/>
        </x:is>
      </x:c>
    </x:row>
    <x:row r="493">
      <x:c r="A493" s="16" t="inlineStr">
        <x:is>
          <x:t xml:space="preserve">P041</x:t>
        </x:is>
      </x:c>
      <x:c r="B493" s="16" t="n">
        <x:v>9</x:v>
      </x:c>
      <x:c r="C493" s="16" t="inlineStr">
        <x:is>
          <x:t xml:space="preserve">V07</x:t>
        </x:is>
      </x:c>
      <x:c r="D493" s="16" t="inlineStr">
        <x:is>
          <x:t xml:space="preserve">Business</x:t>
        </x:is>
      </x:c>
      <x:c r="E493" s="16" t="inlineStr">
        <x:is>
          <x:t xml:space="preserve">BCC+</x:t>
        </x:is>
      </x:c>
      <x:c r="F493" s="16" t="inlineStr">
        <x:is>
          <x:t xml:space="preserve">Muted</x:t>
        </x:is>
      </x:c>
      <x:c r="G493" s="21" t="n">
        <x:v>18</x:v>
      </x:c>
      <x:c r="H493" s="21" t="inlineStr">
        <x:is>
          <x:t xml:space="preserve"/>
        </x:is>
      </x:c>
      <x:c r="I493" s="21" t="inlineStr">
        <x:is>
          <x:t xml:space="preserve"/>
        </x:is>
      </x:c>
      <x:c r="J493" s="21" t="inlineStr">
        <x:is>
          <x:t xml:space="preserve"/>
        </x:is>
      </x:c>
      <x:c r="K493" s="21" t="inlineStr">
        <x:is>
          <x:t xml:space="preserve"/>
        </x:is>
      </x:c>
      <x:c r="L493" s="21" t="inlineStr">
        <x:is>
          <x:t xml:space="preserve"/>
        </x:is>
      </x:c>
      <x:c r="M493" s="21" t="inlineStr">
        <x:is>
          <x:t xml:space="preserve"/>
        </x:is>
      </x:c>
      <x:c r="N493" s="21" t="inlineStr">
        <x:is>
          <x:t xml:space="preserve"/>
        </x:is>
      </x:c>
      <x:c r="O493" s="21" t="inlineStr">
        <x:is>
          <x:t xml:space="preserve"/>
        </x:is>
      </x:c>
      <x:c r="P493" s="21" t="inlineStr">
        <x:is>
          <x:t xml:space="preserve"/>
        </x:is>
      </x:c>
      <x:c r="Q493" s="21" t="inlineStr">
        <x:is>
          <x:t xml:space="preserve"/>
        </x:is>
      </x:c>
      <x:c r="R493" s="21" t="inlineStr">
        <x:is>
          <x:t xml:space="preserve"/>
        </x:is>
      </x:c>
      <x:c r="S493" s="22">
        <x:f>IF(H493="","",IFERROR(H493/G493,""))</x:f>
      </x:c>
      <x:c r="T493" s="23">
        <x:f>IF(H493="","",IFERROR((J493+K493+L493+N493)/H493,""))</x:f>
      </x:c>
      <x:c r="U493" s="22">
        <x:f>IF(COUNTA(J493:L493,N493)=0,"",IFERROR(AVERAGE(J493:L493,N493),""))</x:f>
      </x:c>
      <x:c r="V493" s="16" t="inlineStr">
        <x:is>
          <x:t xml:space="preserve"/>
        </x:is>
      </x:c>
    </x:row>
    <x:row r="494">
      <x:c r="A494" s="17" t="inlineStr">
        <x:is>
          <x:t xml:space="preserve">P041</x:t>
        </x:is>
      </x:c>
      <x:c r="B494" s="17" t="n">
        <x:v>10</x:v>
      </x:c>
      <x:c r="C494" s="17" t="inlineStr">
        <x:is>
          <x:t xml:space="preserve">V12</x:t>
        </x:is>
      </x:c>
      <x:c r="D494" s="17" t="inlineStr">
        <x:is>
          <x:t xml:space="preserve">Time management</x:t>
        </x:is>
      </x:c>
      <x:c r="E494" s="17" t="inlineStr">
        <x:is>
          <x:t xml:space="preserve">BCC</x:t>
        </x:is>
      </x:c>
      <x:c r="F494" s="17" t="inlineStr">
        <x:is>
          <x:t xml:space="preserve">Muted</x:t>
        </x:is>
      </x:c>
      <x:c r="G494" s="24" t="n">
        <x:v>21</x:v>
      </x:c>
      <x:c r="H494" s="24" t="inlineStr">
        <x:is>
          <x:t xml:space="preserve"/>
        </x:is>
      </x:c>
      <x:c r="I494" s="24" t="inlineStr">
        <x:is>
          <x:t xml:space="preserve"/>
        </x:is>
      </x:c>
      <x:c r="J494" s="24" t="inlineStr">
        <x:is>
          <x:t xml:space="preserve"/>
        </x:is>
      </x:c>
      <x:c r="K494" s="24" t="inlineStr">
        <x:is>
          <x:t xml:space="preserve"/>
        </x:is>
      </x:c>
      <x:c r="L494" s="24" t="inlineStr">
        <x:is>
          <x:t xml:space="preserve"/>
        </x:is>
      </x:c>
      <x:c r="M494" s="24" t="inlineStr">
        <x:is>
          <x:t xml:space="preserve"/>
        </x:is>
      </x:c>
      <x:c r="N494" s="24" t="inlineStr">
        <x:is>
          <x:t xml:space="preserve"/>
        </x:is>
      </x:c>
      <x:c r="O494" s="24" t="inlineStr">
        <x:is>
          <x:t xml:space="preserve"/>
        </x:is>
      </x:c>
      <x:c r="P494" s="24" t="inlineStr">
        <x:is>
          <x:t xml:space="preserve"/>
        </x:is>
      </x:c>
      <x:c r="Q494" s="24" t="inlineStr">
        <x:is>
          <x:t xml:space="preserve"/>
        </x:is>
      </x:c>
      <x:c r="R494" s="24" t="inlineStr">
        <x:is>
          <x:t xml:space="preserve"/>
        </x:is>
      </x:c>
      <x:c r="S494" s="25">
        <x:f>IF(H494="","",IFERROR(H494/G494,""))</x:f>
      </x:c>
      <x:c r="T494" s="26">
        <x:f>IF(H494="","",IFERROR((J494+K494+L494+N494)/H494,""))</x:f>
      </x:c>
      <x:c r="U494" s="25">
        <x:f>IF(COUNTA(J494:L494,N494)=0,"",IFERROR(AVERAGE(J494:L494,N494),""))</x:f>
      </x:c>
      <x:c r="V494" s="17" t="inlineStr">
        <x:is>
          <x:t xml:space="preserve"/>
        </x:is>
      </x:c>
    </x:row>
    <x:row r="495">
      <x:c r="A495" s="16" t="inlineStr">
        <x:is>
          <x:t xml:space="preserve">P041</x:t>
        </x:is>
      </x:c>
      <x:c r="B495" s="16" t="n">
        <x:v>11</x:v>
      </x:c>
      <x:c r="C495" s="16" t="inlineStr">
        <x:is>
          <x:t xml:space="preserve">V03</x:t>
        </x:is>
      </x:c>
      <x:c r="D495" s="16" t="inlineStr">
        <x:is>
          <x:t xml:space="preserve">Fitness</x:t>
        </x:is>
      </x:c>
      <x:c r="E495" s="16" t="inlineStr">
        <x:is>
          <x:t xml:space="preserve">Full transcript</x:t>
        </x:is>
      </x:c>
      <x:c r="F495" s="16" t="inlineStr">
        <x:is>
          <x:t xml:space="preserve">Muted</x:t>
        </x:is>
      </x:c>
      <x:c r="G495" s="21" t="n">
        <x:v>18</x:v>
      </x:c>
      <x:c r="H495" s="21" t="inlineStr">
        <x:is>
          <x:t xml:space="preserve"/>
        </x:is>
      </x:c>
      <x:c r="I495" s="21" t="inlineStr">
        <x:is>
          <x:t xml:space="preserve"/>
        </x:is>
      </x:c>
      <x:c r="J495" s="21" t="inlineStr">
        <x:is>
          <x:t xml:space="preserve"/>
        </x:is>
      </x:c>
      <x:c r="K495" s="21" t="inlineStr">
        <x:is>
          <x:t xml:space="preserve"/>
        </x:is>
      </x:c>
      <x:c r="L495" s="21" t="inlineStr">
        <x:is>
          <x:t xml:space="preserve"/>
        </x:is>
      </x:c>
      <x:c r="M495" s="21" t="inlineStr">
        <x:is>
          <x:t xml:space="preserve"/>
        </x:is>
      </x:c>
      <x:c r="N495" s="21" t="inlineStr">
        <x:is>
          <x:t xml:space="preserve"/>
        </x:is>
      </x:c>
      <x:c r="O495" s="21" t="inlineStr">
        <x:is>
          <x:t xml:space="preserve"/>
        </x:is>
      </x:c>
      <x:c r="P495" s="21" t="inlineStr">
        <x:is>
          <x:t xml:space="preserve"/>
        </x:is>
      </x:c>
      <x:c r="Q495" s="21" t="inlineStr">
        <x:is>
          <x:t xml:space="preserve"/>
        </x:is>
      </x:c>
      <x:c r="R495" s="21" t="inlineStr">
        <x:is>
          <x:t xml:space="preserve"/>
        </x:is>
      </x:c>
      <x:c r="S495" s="22">
        <x:f>IF(H495="","",IFERROR(H495/G495,""))</x:f>
      </x:c>
      <x:c r="T495" s="23">
        <x:f>IF(H495="","",IFERROR((J495+K495+L495+N495)/H495,""))</x:f>
      </x:c>
      <x:c r="U495" s="22">
        <x:f>IF(COUNTA(J495:L495,N495)=0,"",IFERROR(AVERAGE(J495:L495,N495),""))</x:f>
      </x:c>
      <x:c r="V495" s="16" t="inlineStr">
        <x:is>
          <x:t xml:space="preserve"/>
        </x:is>
      </x:c>
    </x:row>
    <x:row r="496">
      <x:c r="A496" s="17" t="inlineStr">
        <x:is>
          <x:t xml:space="preserve">P041</x:t>
        </x:is>
      </x:c>
      <x:c r="B496" s="17" t="n">
        <x:v>12</x:v>
      </x:c>
      <x:c r="C496" s="17" t="inlineStr">
        <x:is>
          <x:t xml:space="preserve">V08</x:t>
        </x:is>
      </x:c>
      <x:c r="D496" s="17" t="inlineStr">
        <x:is>
          <x:t xml:space="preserve">Coding</x:t>
        </x:is>
      </x:c>
      <x:c r="E496" s="17" t="inlineStr">
        <x:is>
          <x:t xml:space="preserve">Heavy bionic</x:t>
        </x:is>
      </x:c>
      <x:c r="F496" s="17" t="inlineStr">
        <x:is>
          <x:t xml:space="preserve">Muted</x:t>
        </x:is>
      </x:c>
      <x:c r="G496" s="24" t="n">
        <x:v>24</x:v>
      </x:c>
      <x:c r="H496" s="24" t="inlineStr">
        <x:is>
          <x:t xml:space="preserve"/>
        </x:is>
      </x:c>
      <x:c r="I496" s="24" t="inlineStr">
        <x:is>
          <x:t xml:space="preserve"/>
        </x:is>
      </x:c>
      <x:c r="J496" s="24" t="inlineStr">
        <x:is>
          <x:t xml:space="preserve"/>
        </x:is>
      </x:c>
      <x:c r="K496" s="24" t="inlineStr">
        <x:is>
          <x:t xml:space="preserve"/>
        </x:is>
      </x:c>
      <x:c r="L496" s="24" t="inlineStr">
        <x:is>
          <x:t xml:space="preserve"/>
        </x:is>
      </x:c>
      <x:c r="M496" s="24" t="inlineStr">
        <x:is>
          <x:t xml:space="preserve"/>
        </x:is>
      </x:c>
      <x:c r="N496" s="24" t="inlineStr">
        <x:is>
          <x:t xml:space="preserve"/>
        </x:is>
      </x:c>
      <x:c r="O496" s="24" t="inlineStr">
        <x:is>
          <x:t xml:space="preserve"/>
        </x:is>
      </x:c>
      <x:c r="P496" s="24" t="inlineStr">
        <x:is>
          <x:t xml:space="preserve"/>
        </x:is>
      </x:c>
      <x:c r="Q496" s="24" t="inlineStr">
        <x:is>
          <x:t xml:space="preserve"/>
        </x:is>
      </x:c>
      <x:c r="R496" s="24" t="inlineStr">
        <x:is>
          <x:t xml:space="preserve"/>
        </x:is>
      </x:c>
      <x:c r="S496" s="25">
        <x:f>IF(H496="","",IFERROR(H496/G496,""))</x:f>
      </x:c>
      <x:c r="T496" s="26">
        <x:f>IF(H496="","",IFERROR((J496+K496+L496+N496)/H496,""))</x:f>
      </x:c>
      <x:c r="U496" s="25">
        <x:f>IF(COUNTA(J496:L496,N496)=0,"",IFERROR(AVERAGE(J496:L496,N496),""))</x:f>
      </x:c>
      <x:c r="V496" s="17" t="inlineStr">
        <x:is>
          <x:t xml:space="preserve"/>
        </x:is>
      </x:c>
    </x:row>
    <x:row r="497">
      <x:c r="A497" s="16" t="inlineStr">
        <x:is>
          <x:t xml:space="preserve">P042</x:t>
        </x:is>
      </x:c>
      <x:c r="B497" s="16" t="n">
        <x:v>1</x:v>
      </x:c>
      <x:c r="C497" s="16" t="inlineStr">
        <x:is>
          <x:t xml:space="preserve">V05</x:t>
        </x:is>
      </x:c>
      <x:c r="D497" s="16" t="inlineStr">
        <x:is>
          <x:t xml:space="preserve">Tutorial</x:t>
        </x:is>
      </x:c>
      <x:c r="E497" s="16" t="inlineStr">
        <x:is>
          <x:t xml:space="preserve">BCC</x:t>
        </x:is>
      </x:c>
      <x:c r="F497" s="16" t="inlineStr">
        <x:is>
          <x:t xml:space="preserve">Muted</x:t>
        </x:is>
      </x:c>
      <x:c r="G497" s="21" t="n">
        <x:v>20</x:v>
      </x:c>
      <x:c r="H497" s="21" t="inlineStr">
        <x:is>
          <x:t xml:space="preserve"/>
        </x:is>
      </x:c>
      <x:c r="I497" s="21" t="inlineStr">
        <x:is>
          <x:t xml:space="preserve"/>
        </x:is>
      </x:c>
      <x:c r="J497" s="21" t="inlineStr">
        <x:is>
          <x:t xml:space="preserve"/>
        </x:is>
      </x:c>
      <x:c r="K497" s="21" t="inlineStr">
        <x:is>
          <x:t xml:space="preserve"/>
        </x:is>
      </x:c>
      <x:c r="L497" s="21" t="inlineStr">
        <x:is>
          <x:t xml:space="preserve"/>
        </x:is>
      </x:c>
      <x:c r="M497" s="21" t="inlineStr">
        <x:is>
          <x:t xml:space="preserve"/>
        </x:is>
      </x:c>
      <x:c r="N497" s="21" t="inlineStr">
        <x:is>
          <x:t xml:space="preserve"/>
        </x:is>
      </x:c>
      <x:c r="O497" s="21" t="inlineStr">
        <x:is>
          <x:t xml:space="preserve"/>
        </x:is>
      </x:c>
      <x:c r="P497" s="21" t="inlineStr">
        <x:is>
          <x:t xml:space="preserve"/>
        </x:is>
      </x:c>
      <x:c r="Q497" s="21" t="inlineStr">
        <x:is>
          <x:t xml:space="preserve"/>
        </x:is>
      </x:c>
      <x:c r="R497" s="21" t="inlineStr">
        <x:is>
          <x:t xml:space="preserve"/>
        </x:is>
      </x:c>
      <x:c r="S497" s="22">
        <x:f>IF(H497="","",IFERROR(H497/G497,""))</x:f>
      </x:c>
      <x:c r="T497" s="23">
        <x:f>IF(H497="","",IFERROR((J497+K497+L497+N497)/H497,""))</x:f>
      </x:c>
      <x:c r="U497" s="22">
        <x:f>IF(COUNTA(J497:L497,N497)=0,"",IFERROR(AVERAGE(J497:L497,N497),""))</x:f>
      </x:c>
      <x:c r="V497" s="16" t="inlineStr">
        <x:is>
          <x:t xml:space="preserve"/>
        </x:is>
      </x:c>
    </x:row>
    <x:row r="498">
      <x:c r="A498" s="17" t="inlineStr">
        <x:is>
          <x:t xml:space="preserve">P042</x:t>
        </x:is>
      </x:c>
      <x:c r="B498" s="17" t="n">
        <x:v>2</x:v>
      </x:c>
      <x:c r="C498" s="17" t="inlineStr">
        <x:is>
          <x:t xml:space="preserve">V02</x:t>
        </x:is>
      </x:c>
      <x:c r="D498" s="17" t="inlineStr">
        <x:is>
          <x:t xml:space="preserve">Study</x:t>
        </x:is>
      </x:c>
      <x:c r="E498" s="17" t="inlineStr">
        <x:is>
          <x:t xml:space="preserve">Full transcript</x:t>
        </x:is>
      </x:c>
      <x:c r="F498" s="17" t="inlineStr">
        <x:is>
          <x:t xml:space="preserve">Muted</x:t>
        </x:is>
      </x:c>
      <x:c r="G498" s="24" t="n">
        <x:v>18</x:v>
      </x:c>
      <x:c r="H498" s="24" t="inlineStr">
        <x:is>
          <x:t xml:space="preserve"/>
        </x:is>
      </x:c>
      <x:c r="I498" s="24" t="inlineStr">
        <x:is>
          <x:t xml:space="preserve"/>
        </x:is>
      </x:c>
      <x:c r="J498" s="24" t="inlineStr">
        <x:is>
          <x:t xml:space="preserve"/>
        </x:is>
      </x:c>
      <x:c r="K498" s="24" t="inlineStr">
        <x:is>
          <x:t xml:space="preserve"/>
        </x:is>
      </x:c>
      <x:c r="L498" s="24" t="inlineStr">
        <x:is>
          <x:t xml:space="preserve"/>
        </x:is>
      </x:c>
      <x:c r="M498" s="24" t="inlineStr">
        <x:is>
          <x:t xml:space="preserve"/>
        </x:is>
      </x:c>
      <x:c r="N498" s="24" t="inlineStr">
        <x:is>
          <x:t xml:space="preserve"/>
        </x:is>
      </x:c>
      <x:c r="O498" s="24" t="inlineStr">
        <x:is>
          <x:t xml:space="preserve"/>
        </x:is>
      </x:c>
      <x:c r="P498" s="24" t="inlineStr">
        <x:is>
          <x:t xml:space="preserve"/>
        </x:is>
      </x:c>
      <x:c r="Q498" s="24" t="inlineStr">
        <x:is>
          <x:t xml:space="preserve"/>
        </x:is>
      </x:c>
      <x:c r="R498" s="24" t="inlineStr">
        <x:is>
          <x:t xml:space="preserve"/>
        </x:is>
      </x:c>
      <x:c r="S498" s="25">
        <x:f>IF(H498="","",IFERROR(H498/G498,""))</x:f>
      </x:c>
      <x:c r="T498" s="26">
        <x:f>IF(H498="","",IFERROR((J498+K498+L498+N498)/H498,""))</x:f>
      </x:c>
      <x:c r="U498" s="25">
        <x:f>IF(COUNTA(J498:L498,N498)=0,"",IFERROR(AVERAGE(J498:L498,N498),""))</x:f>
      </x:c>
      <x:c r="V498" s="17" t="inlineStr">
        <x:is>
          <x:t xml:space="preserve"/>
        </x:is>
      </x:c>
    </x:row>
    <x:row r="499">
      <x:c r="A499" s="16" t="inlineStr">
        <x:is>
          <x:t xml:space="preserve">P042</x:t>
        </x:is>
      </x:c>
      <x:c r="B499" s="16" t="n">
        <x:v>3</x:v>
      </x:c>
      <x:c r="C499" s="16" t="inlineStr">
        <x:is>
          <x:t xml:space="preserve">V09</x:t>
        </x:is>
      </x:c>
      <x:c r="D499" s="16" t="inlineStr">
        <x:is>
          <x:t xml:space="preserve">Sleep habit</x:t>
        </x:is>
      </x:c>
      <x:c r="E499" s="16" t="inlineStr">
        <x:is>
          <x:t xml:space="preserve">Keyword highlight</x:t>
        </x:is>
      </x:c>
      <x:c r="F499" s="16" t="inlineStr">
        <x:is>
          <x:t xml:space="preserve">Muted</x:t>
        </x:is>
      </x:c>
      <x:c r="G499" s="21" t="n">
        <x:v>19</x:v>
      </x:c>
      <x:c r="H499" s="21" t="inlineStr">
        <x:is>
          <x:t xml:space="preserve"/>
        </x:is>
      </x:c>
      <x:c r="I499" s="21" t="inlineStr">
        <x:is>
          <x:t xml:space="preserve"/>
        </x:is>
      </x:c>
      <x:c r="J499" s="21" t="inlineStr">
        <x:is>
          <x:t xml:space="preserve"/>
        </x:is>
      </x:c>
      <x:c r="K499" s="21" t="inlineStr">
        <x:is>
          <x:t xml:space="preserve"/>
        </x:is>
      </x:c>
      <x:c r="L499" s="21" t="inlineStr">
        <x:is>
          <x:t xml:space="preserve"/>
        </x:is>
      </x:c>
      <x:c r="M499" s="21" t="inlineStr">
        <x:is>
          <x:t xml:space="preserve"/>
        </x:is>
      </x:c>
      <x:c r="N499" s="21" t="inlineStr">
        <x:is>
          <x:t xml:space="preserve"/>
        </x:is>
      </x:c>
      <x:c r="O499" s="21" t="inlineStr">
        <x:is>
          <x:t xml:space="preserve"/>
        </x:is>
      </x:c>
      <x:c r="P499" s="21" t="inlineStr">
        <x:is>
          <x:t xml:space="preserve"/>
        </x:is>
      </x:c>
      <x:c r="Q499" s="21" t="inlineStr">
        <x:is>
          <x:t xml:space="preserve"/>
        </x:is>
      </x:c>
      <x:c r="R499" s="21" t="inlineStr">
        <x:is>
          <x:t xml:space="preserve"/>
        </x:is>
      </x:c>
      <x:c r="S499" s="22">
        <x:f>IF(H499="","",IFERROR(H499/G499,""))</x:f>
      </x:c>
      <x:c r="T499" s="23">
        <x:f>IF(H499="","",IFERROR((J499+K499+L499+N499)/H499,""))</x:f>
      </x:c>
      <x:c r="U499" s="22">
        <x:f>IF(COUNTA(J499:L499,N499)=0,"",IFERROR(AVERAGE(J499:L499,N499),""))</x:f>
      </x:c>
      <x:c r="V499" s="16" t="inlineStr">
        <x:is>
          <x:t xml:space="preserve"/>
        </x:is>
      </x:c>
    </x:row>
    <x:row r="500">
      <x:c r="A500" s="17" t="inlineStr">
        <x:is>
          <x:t xml:space="preserve">P042</x:t>
        </x:is>
      </x:c>
      <x:c r="B500" s="17" t="n">
        <x:v>4</x:v>
      </x:c>
      <x:c r="C500" s="17" t="inlineStr">
        <x:is>
          <x:t xml:space="preserve">V07</x:t>
        </x:is>
      </x:c>
      <x:c r="D500" s="17" t="inlineStr">
        <x:is>
          <x:t xml:space="preserve">Business</x:t>
        </x:is>
      </x:c>
      <x:c r="E500" s="17" t="inlineStr">
        <x:is>
          <x:t xml:space="preserve">Heavy bionic</x:t>
        </x:is>
      </x:c>
      <x:c r="F500" s="17" t="inlineStr">
        <x:is>
          <x:t xml:space="preserve">Muted</x:t>
        </x:is>
      </x:c>
      <x:c r="G500" s="24" t="n">
        <x:v>18</x:v>
      </x:c>
      <x:c r="H500" s="24" t="inlineStr">
        <x:is>
          <x:t xml:space="preserve"/>
        </x:is>
      </x:c>
      <x:c r="I500" s="24" t="inlineStr">
        <x:is>
          <x:t xml:space="preserve"/>
        </x:is>
      </x:c>
      <x:c r="J500" s="24" t="inlineStr">
        <x:is>
          <x:t xml:space="preserve"/>
        </x:is>
      </x:c>
      <x:c r="K500" s="24" t="inlineStr">
        <x:is>
          <x:t xml:space="preserve"/>
        </x:is>
      </x:c>
      <x:c r="L500" s="24" t="inlineStr">
        <x:is>
          <x:t xml:space="preserve"/>
        </x:is>
      </x:c>
      <x:c r="M500" s="24" t="inlineStr">
        <x:is>
          <x:t xml:space="preserve"/>
        </x:is>
      </x:c>
      <x:c r="N500" s="24" t="inlineStr">
        <x:is>
          <x:t xml:space="preserve"/>
        </x:is>
      </x:c>
      <x:c r="O500" s="24" t="inlineStr">
        <x:is>
          <x:t xml:space="preserve"/>
        </x:is>
      </x:c>
      <x:c r="P500" s="24" t="inlineStr">
        <x:is>
          <x:t xml:space="preserve"/>
        </x:is>
      </x:c>
      <x:c r="Q500" s="24" t="inlineStr">
        <x:is>
          <x:t xml:space="preserve"/>
        </x:is>
      </x:c>
      <x:c r="R500" s="24" t="inlineStr">
        <x:is>
          <x:t xml:space="preserve"/>
        </x:is>
      </x:c>
      <x:c r="S500" s="25">
        <x:f>IF(H500="","",IFERROR(H500/G500,""))</x:f>
      </x:c>
      <x:c r="T500" s="26">
        <x:f>IF(H500="","",IFERROR((J500+K500+L500+N500)/H500,""))</x:f>
      </x:c>
      <x:c r="U500" s="25">
        <x:f>IF(COUNTA(J500:L500,N500)=0,"",IFERROR(AVERAGE(J500:L500,N500),""))</x:f>
      </x:c>
      <x:c r="V500" s="17" t="inlineStr">
        <x:is>
          <x:t xml:space="preserve"/>
        </x:is>
      </x:c>
    </x:row>
    <x:row r="501">
      <x:c r="A501" s="16" t="inlineStr">
        <x:is>
          <x:t xml:space="preserve">P042</x:t>
        </x:is>
      </x:c>
      <x:c r="B501" s="16" t="n">
        <x:v>5</x:v>
      </x:c>
      <x:c r="C501" s="16" t="inlineStr">
        <x:is>
          <x:t xml:space="preserve">V08</x:t>
        </x:is>
      </x:c>
      <x:c r="D501" s="16" t="inlineStr">
        <x:is>
          <x:t xml:space="preserve">Coding</x:t>
        </x:is>
      </x:c>
      <x:c r="E501" s="16" t="inlineStr">
        <x:is>
          <x:t xml:space="preserve">Full transcript</x:t>
        </x:is>
      </x:c>
      <x:c r="F501" s="16" t="inlineStr">
        <x:is>
          <x:t xml:space="preserve">Muted</x:t>
        </x:is>
      </x:c>
      <x:c r="G501" s="21" t="n">
        <x:v>24</x:v>
      </x:c>
      <x:c r="H501" s="21" t="inlineStr">
        <x:is>
          <x:t xml:space="preserve"/>
        </x:is>
      </x:c>
      <x:c r="I501" s="21" t="inlineStr">
        <x:is>
          <x:t xml:space="preserve"/>
        </x:is>
      </x:c>
      <x:c r="J501" s="21" t="inlineStr">
        <x:is>
          <x:t xml:space="preserve"/>
        </x:is>
      </x:c>
      <x:c r="K501" s="21" t="inlineStr">
        <x:is>
          <x:t xml:space="preserve"/>
        </x:is>
      </x:c>
      <x:c r="L501" s="21" t="inlineStr">
        <x:is>
          <x:t xml:space="preserve"/>
        </x:is>
      </x:c>
      <x:c r="M501" s="21" t="inlineStr">
        <x:is>
          <x:t xml:space="preserve"/>
        </x:is>
      </x:c>
      <x:c r="N501" s="21" t="inlineStr">
        <x:is>
          <x:t xml:space="preserve"/>
        </x:is>
      </x:c>
      <x:c r="O501" s="21" t="inlineStr">
        <x:is>
          <x:t xml:space="preserve"/>
        </x:is>
      </x:c>
      <x:c r="P501" s="21" t="inlineStr">
        <x:is>
          <x:t xml:space="preserve"/>
        </x:is>
      </x:c>
      <x:c r="Q501" s="21" t="inlineStr">
        <x:is>
          <x:t xml:space="preserve"/>
        </x:is>
      </x:c>
      <x:c r="R501" s="21" t="inlineStr">
        <x:is>
          <x:t xml:space="preserve"/>
        </x:is>
      </x:c>
      <x:c r="S501" s="22">
        <x:f>IF(H501="","",IFERROR(H501/G501,""))</x:f>
      </x:c>
      <x:c r="T501" s="23">
        <x:f>IF(H501="","",IFERROR((J501+K501+L501+N501)/H501,""))</x:f>
      </x:c>
      <x:c r="U501" s="22">
        <x:f>IF(COUNTA(J501:L501,N501)=0,"",IFERROR(AVERAGE(J501:L501,N501),""))</x:f>
      </x:c>
      <x:c r="V501" s="16" t="inlineStr">
        <x:is>
          <x:t xml:space="preserve"/>
        </x:is>
      </x:c>
    </x:row>
    <x:row r="502">
      <x:c r="A502" s="17" t="inlineStr">
        <x:is>
          <x:t xml:space="preserve">P042</x:t>
        </x:is>
      </x:c>
      <x:c r="B502" s="17" t="n">
        <x:v>6</x:v>
      </x:c>
      <x:c r="C502" s="17" t="inlineStr">
        <x:is>
          <x:t xml:space="preserve">V12</x:t>
        </x:is>
      </x:c>
      <x:c r="D502" s="17" t="inlineStr">
        <x:is>
          <x:t xml:space="preserve">Time management</x:t>
        </x:is>
      </x:c>
      <x:c r="E502" s="17" t="inlineStr">
        <x:is>
          <x:t xml:space="preserve">BCC+</x:t>
        </x:is>
      </x:c>
      <x:c r="F502" s="17" t="inlineStr">
        <x:is>
          <x:t xml:space="preserve">Muted</x:t>
        </x:is>
      </x:c>
      <x:c r="G502" s="24" t="n">
        <x:v>21</x:v>
      </x:c>
      <x:c r="H502" s="24" t="inlineStr">
        <x:is>
          <x:t xml:space="preserve"/>
        </x:is>
      </x:c>
      <x:c r="I502" s="24" t="inlineStr">
        <x:is>
          <x:t xml:space="preserve"/>
        </x:is>
      </x:c>
      <x:c r="J502" s="24" t="inlineStr">
        <x:is>
          <x:t xml:space="preserve"/>
        </x:is>
      </x:c>
      <x:c r="K502" s="24" t="inlineStr">
        <x:is>
          <x:t xml:space="preserve"/>
        </x:is>
      </x:c>
      <x:c r="L502" s="24" t="inlineStr">
        <x:is>
          <x:t xml:space="preserve"/>
        </x:is>
      </x:c>
      <x:c r="M502" s="24" t="inlineStr">
        <x:is>
          <x:t xml:space="preserve"/>
        </x:is>
      </x:c>
      <x:c r="N502" s="24" t="inlineStr">
        <x:is>
          <x:t xml:space="preserve"/>
        </x:is>
      </x:c>
      <x:c r="O502" s="24" t="inlineStr">
        <x:is>
          <x:t xml:space="preserve"/>
        </x:is>
      </x:c>
      <x:c r="P502" s="24" t="inlineStr">
        <x:is>
          <x:t xml:space="preserve"/>
        </x:is>
      </x:c>
      <x:c r="Q502" s="24" t="inlineStr">
        <x:is>
          <x:t xml:space="preserve"/>
        </x:is>
      </x:c>
      <x:c r="R502" s="24" t="inlineStr">
        <x:is>
          <x:t xml:space="preserve"/>
        </x:is>
      </x:c>
      <x:c r="S502" s="25">
        <x:f>IF(H502="","",IFERROR(H502/G502,""))</x:f>
      </x:c>
      <x:c r="T502" s="26">
        <x:f>IF(H502="","",IFERROR((J502+K502+L502+N502)/H502,""))</x:f>
      </x:c>
      <x:c r="U502" s="25">
        <x:f>IF(COUNTA(J502:L502,N502)=0,"",IFERROR(AVERAGE(J502:L502,N502),""))</x:f>
      </x:c>
      <x:c r="V502" s="17" t="inlineStr">
        <x:is>
          <x:t xml:space="preserve"/>
        </x:is>
      </x:c>
    </x:row>
    <x:row r="503">
      <x:c r="A503" s="16" t="inlineStr">
        <x:is>
          <x:t xml:space="preserve">P042</x:t>
        </x:is>
      </x:c>
      <x:c r="B503" s="16" t="n">
        <x:v>7</x:v>
      </x:c>
      <x:c r="C503" s="16" t="inlineStr">
        <x:is>
          <x:t xml:space="preserve">V11</x:t>
        </x:is>
      </x:c>
      <x:c r="D503" s="16" t="inlineStr">
        <x:is>
          <x:t xml:space="preserve">Creator strategy</x:t>
        </x:is>
      </x:c>
      <x:c r="E503" s="16" t="inlineStr">
        <x:is>
          <x:t xml:space="preserve">BCC</x:t>
        </x:is>
      </x:c>
      <x:c r="F503" s="16" t="inlineStr">
        <x:is>
          <x:t xml:space="preserve">Muted</x:t>
        </x:is>
      </x:c>
      <x:c r="G503" s="21" t="n">
        <x:v>17</x:v>
      </x:c>
      <x:c r="H503" s="21" t="inlineStr">
        <x:is>
          <x:t xml:space="preserve"/>
        </x:is>
      </x:c>
      <x:c r="I503" s="21" t="inlineStr">
        <x:is>
          <x:t xml:space="preserve"/>
        </x:is>
      </x:c>
      <x:c r="J503" s="21" t="inlineStr">
        <x:is>
          <x:t xml:space="preserve"/>
        </x:is>
      </x:c>
      <x:c r="K503" s="21" t="inlineStr">
        <x:is>
          <x:t xml:space="preserve"/>
        </x:is>
      </x:c>
      <x:c r="L503" s="21" t="inlineStr">
        <x:is>
          <x:t xml:space="preserve"/>
        </x:is>
      </x:c>
      <x:c r="M503" s="21" t="inlineStr">
        <x:is>
          <x:t xml:space="preserve"/>
        </x:is>
      </x:c>
      <x:c r="N503" s="21" t="inlineStr">
        <x:is>
          <x:t xml:space="preserve"/>
        </x:is>
      </x:c>
      <x:c r="O503" s="21" t="inlineStr">
        <x:is>
          <x:t xml:space="preserve"/>
        </x:is>
      </x:c>
      <x:c r="P503" s="21" t="inlineStr">
        <x:is>
          <x:t xml:space="preserve"/>
        </x:is>
      </x:c>
      <x:c r="Q503" s="21" t="inlineStr">
        <x:is>
          <x:t xml:space="preserve"/>
        </x:is>
      </x:c>
      <x:c r="R503" s="21" t="inlineStr">
        <x:is>
          <x:t xml:space="preserve"/>
        </x:is>
      </x:c>
      <x:c r="S503" s="22">
        <x:f>IF(H503="","",IFERROR(H503/G503,""))</x:f>
      </x:c>
      <x:c r="T503" s="23">
        <x:f>IF(H503="","",IFERROR((J503+K503+L503+N503)/H503,""))</x:f>
      </x:c>
      <x:c r="U503" s="22">
        <x:f>IF(COUNTA(J503:L503,N503)=0,"",IFERROR(AVERAGE(J503:L503,N503),""))</x:f>
      </x:c>
      <x:c r="V503" s="16" t="inlineStr">
        <x:is>
          <x:t xml:space="preserve"/>
        </x:is>
      </x:c>
    </x:row>
    <x:row r="504">
      <x:c r="A504" s="17" t="inlineStr">
        <x:is>
          <x:t xml:space="preserve">P042</x:t>
        </x:is>
      </x:c>
      <x:c r="B504" s="17" t="n">
        <x:v>8</x:v>
      </x:c>
      <x:c r="C504" s="17" t="inlineStr">
        <x:is>
          <x:t xml:space="preserve">V10</x:t>
        </x:is>
      </x:c>
      <x:c r="D504" s="17" t="inlineStr">
        <x:is>
          <x:t xml:space="preserve">Product demo</x:t>
        </x:is>
      </x:c>
      <x:c r="E504" s="17" t="inlineStr">
        <x:is>
          <x:t xml:space="preserve">Semantic compression</x:t>
        </x:is>
      </x:c>
      <x:c r="F504" s="17" t="inlineStr">
        <x:is>
          <x:t xml:space="preserve">Muted</x:t>
        </x:is>
      </x:c>
      <x:c r="G504" s="24" t="n">
        <x:v>15</x:v>
      </x:c>
      <x:c r="H504" s="24" t="inlineStr">
        <x:is>
          <x:t xml:space="preserve"/>
        </x:is>
      </x:c>
      <x:c r="I504" s="24" t="inlineStr">
        <x:is>
          <x:t xml:space="preserve"/>
        </x:is>
      </x:c>
      <x:c r="J504" s="24" t="inlineStr">
        <x:is>
          <x:t xml:space="preserve"/>
        </x:is>
      </x:c>
      <x:c r="K504" s="24" t="inlineStr">
        <x:is>
          <x:t xml:space="preserve"/>
        </x:is>
      </x:c>
      <x:c r="L504" s="24" t="inlineStr">
        <x:is>
          <x:t xml:space="preserve"/>
        </x:is>
      </x:c>
      <x:c r="M504" s="24" t="inlineStr">
        <x:is>
          <x:t xml:space="preserve"/>
        </x:is>
      </x:c>
      <x:c r="N504" s="24" t="inlineStr">
        <x:is>
          <x:t xml:space="preserve"/>
        </x:is>
      </x:c>
      <x:c r="O504" s="24" t="inlineStr">
        <x:is>
          <x:t xml:space="preserve"/>
        </x:is>
      </x:c>
      <x:c r="P504" s="24" t="inlineStr">
        <x:is>
          <x:t xml:space="preserve"/>
        </x:is>
      </x:c>
      <x:c r="Q504" s="24" t="inlineStr">
        <x:is>
          <x:t xml:space="preserve"/>
        </x:is>
      </x:c>
      <x:c r="R504" s="24" t="inlineStr">
        <x:is>
          <x:t xml:space="preserve"/>
        </x:is>
      </x:c>
      <x:c r="S504" s="25">
        <x:f>IF(H504="","",IFERROR(H504/G504,""))</x:f>
      </x:c>
      <x:c r="T504" s="26">
        <x:f>IF(H504="","",IFERROR((J504+K504+L504+N504)/H504,""))</x:f>
      </x:c>
      <x:c r="U504" s="25">
        <x:f>IF(COUNTA(J504:L504,N504)=0,"",IFERROR(AVERAGE(J504:L504,N504),""))</x:f>
      </x:c>
      <x:c r="V504" s="17" t="inlineStr">
        <x:is>
          <x:t xml:space="preserve"/>
        </x:is>
      </x:c>
    </x:row>
    <x:row r="505">
      <x:c r="A505" s="16" t="inlineStr">
        <x:is>
          <x:t xml:space="preserve">P042</x:t>
        </x:is>
      </x:c>
      <x:c r="B505" s="16" t="n">
        <x:v>9</x:v>
      </x:c>
      <x:c r="C505" s="16" t="inlineStr">
        <x:is>
          <x:t xml:space="preserve">V01</x:t>
        </x:is>
      </x:c>
      <x:c r="D505" s="16" t="inlineStr">
        <x:is>
          <x:t xml:space="preserve">Productivity</x:t>
        </x:is>
      </x:c>
      <x:c r="E505" s="16" t="inlineStr">
        <x:is>
          <x:t xml:space="preserve">Heavy bionic</x:t>
        </x:is>
      </x:c>
      <x:c r="F505" s="16" t="inlineStr">
        <x:is>
          <x:t xml:space="preserve">Muted</x:t>
        </x:is>
      </x:c>
      <x:c r="G505" s="21" t="n">
        <x:v>25</x:v>
      </x:c>
      <x:c r="H505" s="21" t="inlineStr">
        <x:is>
          <x:t xml:space="preserve"/>
        </x:is>
      </x:c>
      <x:c r="I505" s="21" t="inlineStr">
        <x:is>
          <x:t xml:space="preserve"/>
        </x:is>
      </x:c>
      <x:c r="J505" s="21" t="inlineStr">
        <x:is>
          <x:t xml:space="preserve"/>
        </x:is>
      </x:c>
      <x:c r="K505" s="21" t="inlineStr">
        <x:is>
          <x:t xml:space="preserve"/>
        </x:is>
      </x:c>
      <x:c r="L505" s="21" t="inlineStr">
        <x:is>
          <x:t xml:space="preserve"/>
        </x:is>
      </x:c>
      <x:c r="M505" s="21" t="inlineStr">
        <x:is>
          <x:t xml:space="preserve"/>
        </x:is>
      </x:c>
      <x:c r="N505" s="21" t="inlineStr">
        <x:is>
          <x:t xml:space="preserve"/>
        </x:is>
      </x:c>
      <x:c r="O505" s="21" t="inlineStr">
        <x:is>
          <x:t xml:space="preserve"/>
        </x:is>
      </x:c>
      <x:c r="P505" s="21" t="inlineStr">
        <x:is>
          <x:t xml:space="preserve"/>
        </x:is>
      </x:c>
      <x:c r="Q505" s="21" t="inlineStr">
        <x:is>
          <x:t xml:space="preserve"/>
        </x:is>
      </x:c>
      <x:c r="R505" s="21" t="inlineStr">
        <x:is>
          <x:t xml:space="preserve"/>
        </x:is>
      </x:c>
      <x:c r="S505" s="22">
        <x:f>IF(H505="","",IFERROR(H505/G505,""))</x:f>
      </x:c>
      <x:c r="T505" s="23">
        <x:f>IF(H505="","",IFERROR((J505+K505+L505+N505)/H505,""))</x:f>
      </x:c>
      <x:c r="U505" s="22">
        <x:f>IF(COUNTA(J505:L505,N505)=0,"",IFERROR(AVERAGE(J505:L505,N505),""))</x:f>
      </x:c>
      <x:c r="V505" s="16" t="inlineStr">
        <x:is>
          <x:t xml:space="preserve"/>
        </x:is>
      </x:c>
    </x:row>
    <x:row r="506">
      <x:c r="A506" s="17" t="inlineStr">
        <x:is>
          <x:t xml:space="preserve">P042</x:t>
        </x:is>
      </x:c>
      <x:c r="B506" s="17" t="n">
        <x:v>10</x:v>
      </x:c>
      <x:c r="C506" s="17" t="inlineStr">
        <x:is>
          <x:t xml:space="preserve">V06</x:t>
        </x:is>
      </x:c>
      <x:c r="D506" s="17" t="inlineStr">
        <x:is>
          <x:t xml:space="preserve">Overload</x:t>
        </x:is>
      </x:c>
      <x:c r="E506" s="17" t="inlineStr">
        <x:is>
          <x:t xml:space="preserve">BCC+</x:t>
        </x:is>
      </x:c>
      <x:c r="F506" s="17" t="inlineStr">
        <x:is>
          <x:t xml:space="preserve">Muted</x:t>
        </x:is>
      </x:c>
      <x:c r="G506" s="24" t="n">
        <x:v>16</x:v>
      </x:c>
      <x:c r="H506" s="24" t="inlineStr">
        <x:is>
          <x:t xml:space="preserve"/>
        </x:is>
      </x:c>
      <x:c r="I506" s="24" t="inlineStr">
        <x:is>
          <x:t xml:space="preserve"/>
        </x:is>
      </x:c>
      <x:c r="J506" s="24" t="inlineStr">
        <x:is>
          <x:t xml:space="preserve"/>
        </x:is>
      </x:c>
      <x:c r="K506" s="24" t="inlineStr">
        <x:is>
          <x:t xml:space="preserve"/>
        </x:is>
      </x:c>
      <x:c r="L506" s="24" t="inlineStr">
        <x:is>
          <x:t xml:space="preserve"/>
        </x:is>
      </x:c>
      <x:c r="M506" s="24" t="inlineStr">
        <x:is>
          <x:t xml:space="preserve"/>
        </x:is>
      </x:c>
      <x:c r="N506" s="24" t="inlineStr">
        <x:is>
          <x:t xml:space="preserve"/>
        </x:is>
      </x:c>
      <x:c r="O506" s="24" t="inlineStr">
        <x:is>
          <x:t xml:space="preserve"/>
        </x:is>
      </x:c>
      <x:c r="P506" s="24" t="inlineStr">
        <x:is>
          <x:t xml:space="preserve"/>
        </x:is>
      </x:c>
      <x:c r="Q506" s="24" t="inlineStr">
        <x:is>
          <x:t xml:space="preserve"/>
        </x:is>
      </x:c>
      <x:c r="R506" s="24" t="inlineStr">
        <x:is>
          <x:t xml:space="preserve"/>
        </x:is>
      </x:c>
      <x:c r="S506" s="25">
        <x:f>IF(H506="","",IFERROR(H506/G506,""))</x:f>
      </x:c>
      <x:c r="T506" s="26">
        <x:f>IF(H506="","",IFERROR((J506+K506+L506+N506)/H506,""))</x:f>
      </x:c>
      <x:c r="U506" s="25">
        <x:f>IF(COUNTA(J506:L506,N506)=0,"",IFERROR(AVERAGE(J506:L506,N506),""))</x:f>
      </x:c>
      <x:c r="V506" s="17" t="inlineStr">
        <x:is>
          <x:t xml:space="preserve"/>
        </x:is>
      </x:c>
    </x:row>
    <x:row r="507">
      <x:c r="A507" s="16" t="inlineStr">
        <x:is>
          <x:t xml:space="preserve">P042</x:t>
        </x:is>
      </x:c>
      <x:c r="B507" s="16" t="n">
        <x:v>11</x:v>
      </x:c>
      <x:c r="C507" s="16" t="inlineStr">
        <x:is>
          <x:t xml:space="preserve">V03</x:t>
        </x:is>
      </x:c>
      <x:c r="D507" s="16" t="inlineStr">
        <x:is>
          <x:t xml:space="preserve">Fitness</x:t>
        </x:is>
      </x:c>
      <x:c r="E507" s="16" t="inlineStr">
        <x:is>
          <x:t xml:space="preserve">Keyword highlight</x:t>
        </x:is>
      </x:c>
      <x:c r="F507" s="16" t="inlineStr">
        <x:is>
          <x:t xml:space="preserve">Muted</x:t>
        </x:is>
      </x:c>
      <x:c r="G507" s="21" t="n">
        <x:v>18</x:v>
      </x:c>
      <x:c r="H507" s="21" t="inlineStr">
        <x:is>
          <x:t xml:space="preserve"/>
        </x:is>
      </x:c>
      <x:c r="I507" s="21" t="inlineStr">
        <x:is>
          <x:t xml:space="preserve"/>
        </x:is>
      </x:c>
      <x:c r="J507" s="21" t="inlineStr">
        <x:is>
          <x:t xml:space="preserve"/>
        </x:is>
      </x:c>
      <x:c r="K507" s="21" t="inlineStr">
        <x:is>
          <x:t xml:space="preserve"/>
        </x:is>
      </x:c>
      <x:c r="L507" s="21" t="inlineStr">
        <x:is>
          <x:t xml:space="preserve"/>
        </x:is>
      </x:c>
      <x:c r="M507" s="21" t="inlineStr">
        <x:is>
          <x:t xml:space="preserve"/>
        </x:is>
      </x:c>
      <x:c r="N507" s="21" t="inlineStr">
        <x:is>
          <x:t xml:space="preserve"/>
        </x:is>
      </x:c>
      <x:c r="O507" s="21" t="inlineStr">
        <x:is>
          <x:t xml:space="preserve"/>
        </x:is>
      </x:c>
      <x:c r="P507" s="21" t="inlineStr">
        <x:is>
          <x:t xml:space="preserve"/>
        </x:is>
      </x:c>
      <x:c r="Q507" s="21" t="inlineStr">
        <x:is>
          <x:t xml:space="preserve"/>
        </x:is>
      </x:c>
      <x:c r="R507" s="21" t="inlineStr">
        <x:is>
          <x:t xml:space="preserve"/>
        </x:is>
      </x:c>
      <x:c r="S507" s="22">
        <x:f>IF(H507="","",IFERROR(H507/G507,""))</x:f>
      </x:c>
      <x:c r="T507" s="23">
        <x:f>IF(H507="","",IFERROR((J507+K507+L507+N507)/H507,""))</x:f>
      </x:c>
      <x:c r="U507" s="22">
        <x:f>IF(COUNTA(J507:L507,N507)=0,"",IFERROR(AVERAGE(J507:L507,N507),""))</x:f>
      </x:c>
      <x:c r="V507" s="16" t="inlineStr">
        <x:is>
          <x:t xml:space="preserve"/>
        </x:is>
      </x:c>
    </x:row>
    <x:row r="508">
      <x:c r="A508" s="17" t="inlineStr">
        <x:is>
          <x:t xml:space="preserve">P042</x:t>
        </x:is>
      </x:c>
      <x:c r="B508" s="17" t="n">
        <x:v>12</x:v>
      </x:c>
      <x:c r="C508" s="17" t="inlineStr">
        <x:is>
          <x:t xml:space="preserve">V04</x:t>
        </x:is>
      </x:c>
      <x:c r="D508" s="17" t="inlineStr">
        <x:is>
          <x:t xml:space="preserve">Finance</x:t>
        </x:is>
      </x:c>
      <x:c r="E508" s="17" t="inlineStr">
        <x:is>
          <x:t xml:space="preserve">Semantic compression</x:t>
        </x:is>
      </x:c>
      <x:c r="F508" s="17" t="inlineStr">
        <x:is>
          <x:t xml:space="preserve">Muted</x:t>
        </x:is>
      </x:c>
      <x:c r="G508" s="24" t="n">
        <x:v>20</x:v>
      </x:c>
      <x:c r="H508" s="24" t="inlineStr">
        <x:is>
          <x:t xml:space="preserve"/>
        </x:is>
      </x:c>
      <x:c r="I508" s="24" t="inlineStr">
        <x:is>
          <x:t xml:space="preserve"/>
        </x:is>
      </x:c>
      <x:c r="J508" s="24" t="inlineStr">
        <x:is>
          <x:t xml:space="preserve"/>
        </x:is>
      </x:c>
      <x:c r="K508" s="24" t="inlineStr">
        <x:is>
          <x:t xml:space="preserve"/>
        </x:is>
      </x:c>
      <x:c r="L508" s="24" t="inlineStr">
        <x:is>
          <x:t xml:space="preserve"/>
        </x:is>
      </x:c>
      <x:c r="M508" s="24" t="inlineStr">
        <x:is>
          <x:t xml:space="preserve"/>
        </x:is>
      </x:c>
      <x:c r="N508" s="24" t="inlineStr">
        <x:is>
          <x:t xml:space="preserve"/>
        </x:is>
      </x:c>
      <x:c r="O508" s="24" t="inlineStr">
        <x:is>
          <x:t xml:space="preserve"/>
        </x:is>
      </x:c>
      <x:c r="P508" s="24" t="inlineStr">
        <x:is>
          <x:t xml:space="preserve"/>
        </x:is>
      </x:c>
      <x:c r="Q508" s="24" t="inlineStr">
        <x:is>
          <x:t xml:space="preserve"/>
        </x:is>
      </x:c>
      <x:c r="R508" s="24" t="inlineStr">
        <x:is>
          <x:t xml:space="preserve"/>
        </x:is>
      </x:c>
      <x:c r="S508" s="25">
        <x:f>IF(H508="","",IFERROR(H508/G508,""))</x:f>
      </x:c>
      <x:c r="T508" s="26">
        <x:f>IF(H508="","",IFERROR((J508+K508+L508+N508)/H508,""))</x:f>
      </x:c>
      <x:c r="U508" s="25">
        <x:f>IF(COUNTA(J508:L508,N508)=0,"",IFERROR(AVERAGE(J508:L508,N508),""))</x:f>
      </x:c>
      <x:c r="V508" s="17" t="inlineStr">
        <x:is>
          <x:t xml:space="preserve"/>
        </x:is>
      </x:c>
    </x:row>
    <x:row r="509">
      <x:c r="A509" s="16" t="inlineStr">
        <x:is>
          <x:t xml:space="preserve">P043</x:t>
        </x:is>
      </x:c>
      <x:c r="B509" s="16" t="n">
        <x:v>1</x:v>
      </x:c>
      <x:c r="C509" s="16" t="inlineStr">
        <x:is>
          <x:t xml:space="preserve">V05</x:t>
        </x:is>
      </x:c>
      <x:c r="D509" s="16" t="inlineStr">
        <x:is>
          <x:t xml:space="preserve">Tutorial</x:t>
        </x:is>
      </x:c>
      <x:c r="E509" s="16" t="inlineStr">
        <x:is>
          <x:t xml:space="preserve">BCC+</x:t>
        </x:is>
      </x:c>
      <x:c r="F509" s="16" t="inlineStr">
        <x:is>
          <x:t xml:space="preserve">Audio-on</x:t>
        </x:is>
      </x:c>
      <x:c r="G509" s="21" t="n">
        <x:v>20</x:v>
      </x:c>
      <x:c r="H509" s="21" t="inlineStr">
        <x:is>
          <x:t xml:space="preserve"/>
        </x:is>
      </x:c>
      <x:c r="I509" s="21" t="inlineStr">
        <x:is>
          <x:t xml:space="preserve"/>
        </x:is>
      </x:c>
      <x:c r="J509" s="21" t="inlineStr">
        <x:is>
          <x:t xml:space="preserve"/>
        </x:is>
      </x:c>
      <x:c r="K509" s="21" t="inlineStr">
        <x:is>
          <x:t xml:space="preserve"/>
        </x:is>
      </x:c>
      <x:c r="L509" s="21" t="inlineStr">
        <x:is>
          <x:t xml:space="preserve"/>
        </x:is>
      </x:c>
      <x:c r="M509" s="21" t="inlineStr">
        <x:is>
          <x:t xml:space="preserve"/>
        </x:is>
      </x:c>
      <x:c r="N509" s="21" t="inlineStr">
        <x:is>
          <x:t xml:space="preserve"/>
        </x:is>
      </x:c>
      <x:c r="O509" s="21" t="inlineStr">
        <x:is>
          <x:t xml:space="preserve"/>
        </x:is>
      </x:c>
      <x:c r="P509" s="21" t="inlineStr">
        <x:is>
          <x:t xml:space="preserve"/>
        </x:is>
      </x:c>
      <x:c r="Q509" s="21" t="inlineStr">
        <x:is>
          <x:t xml:space="preserve"/>
        </x:is>
      </x:c>
      <x:c r="R509" s="21" t="inlineStr">
        <x:is>
          <x:t xml:space="preserve"/>
        </x:is>
      </x:c>
      <x:c r="S509" s="22">
        <x:f>IF(H509="","",IFERROR(H509/G509,""))</x:f>
      </x:c>
      <x:c r="T509" s="23">
        <x:f>IF(H509="","",IFERROR((J509+K509+L509+N509)/H509,""))</x:f>
      </x:c>
      <x:c r="U509" s="22">
        <x:f>IF(COUNTA(J509:L509,N509)=0,"",IFERROR(AVERAGE(J509:L509,N509),""))</x:f>
      </x:c>
      <x:c r="V509" s="16" t="inlineStr">
        <x:is>
          <x:t xml:space="preserve"/>
        </x:is>
      </x:c>
    </x:row>
    <x:row r="510">
      <x:c r="A510" s="17" t="inlineStr">
        <x:is>
          <x:t xml:space="preserve">P043</x:t>
        </x:is>
      </x:c>
      <x:c r="B510" s="17" t="n">
        <x:v>2</x:v>
      </x:c>
      <x:c r="C510" s="17" t="inlineStr">
        <x:is>
          <x:t xml:space="preserve">V07</x:t>
        </x:is>
      </x:c>
      <x:c r="D510" s="17" t="inlineStr">
        <x:is>
          <x:t xml:space="preserve">Business</x:t>
        </x:is>
      </x:c>
      <x:c r="E510" s="17" t="inlineStr">
        <x:is>
          <x:t xml:space="preserve">Full transcript</x:t>
        </x:is>
      </x:c>
      <x:c r="F510" s="17" t="inlineStr">
        <x:is>
          <x:t xml:space="preserve">Audio-on</x:t>
        </x:is>
      </x:c>
      <x:c r="G510" s="24" t="n">
        <x:v>18</x:v>
      </x:c>
      <x:c r="H510" s="24" t="inlineStr">
        <x:is>
          <x:t xml:space="preserve"/>
        </x:is>
      </x:c>
      <x:c r="I510" s="24" t="inlineStr">
        <x:is>
          <x:t xml:space="preserve"/>
        </x:is>
      </x:c>
      <x:c r="J510" s="24" t="inlineStr">
        <x:is>
          <x:t xml:space="preserve"/>
        </x:is>
      </x:c>
      <x:c r="K510" s="24" t="inlineStr">
        <x:is>
          <x:t xml:space="preserve"/>
        </x:is>
      </x:c>
      <x:c r="L510" s="24" t="inlineStr">
        <x:is>
          <x:t xml:space="preserve"/>
        </x:is>
      </x:c>
      <x:c r="M510" s="24" t="inlineStr">
        <x:is>
          <x:t xml:space="preserve"/>
        </x:is>
      </x:c>
      <x:c r="N510" s="24" t="inlineStr">
        <x:is>
          <x:t xml:space="preserve"/>
        </x:is>
      </x:c>
      <x:c r="O510" s="24" t="inlineStr">
        <x:is>
          <x:t xml:space="preserve"/>
        </x:is>
      </x:c>
      <x:c r="P510" s="24" t="inlineStr">
        <x:is>
          <x:t xml:space="preserve"/>
        </x:is>
      </x:c>
      <x:c r="Q510" s="24" t="inlineStr">
        <x:is>
          <x:t xml:space="preserve"/>
        </x:is>
      </x:c>
      <x:c r="R510" s="24" t="inlineStr">
        <x:is>
          <x:t xml:space="preserve"/>
        </x:is>
      </x:c>
      <x:c r="S510" s="25">
        <x:f>IF(H510="","",IFERROR(H510/G510,""))</x:f>
      </x:c>
      <x:c r="T510" s="26">
        <x:f>IF(H510="","",IFERROR((J510+K510+L510+N510)/H510,""))</x:f>
      </x:c>
      <x:c r="U510" s="25">
        <x:f>IF(COUNTA(J510:L510,N510)=0,"",IFERROR(AVERAGE(J510:L510,N510),""))</x:f>
      </x:c>
      <x:c r="V510" s="17" t="inlineStr">
        <x:is>
          <x:t xml:space="preserve"/>
        </x:is>
      </x:c>
    </x:row>
    <x:row r="511">
      <x:c r="A511" s="16" t="inlineStr">
        <x:is>
          <x:t xml:space="preserve">P043</x:t>
        </x:is>
      </x:c>
      <x:c r="B511" s="16" t="n">
        <x:v>3</x:v>
      </x:c>
      <x:c r="C511" s="16" t="inlineStr">
        <x:is>
          <x:t xml:space="preserve">V09</x:t>
        </x:is>
      </x:c>
      <x:c r="D511" s="16" t="inlineStr">
        <x:is>
          <x:t xml:space="preserve">Sleep habit</x:t>
        </x:is>
      </x:c>
      <x:c r="E511" s="16" t="inlineStr">
        <x:is>
          <x:t xml:space="preserve">Semantic compression</x:t>
        </x:is>
      </x:c>
      <x:c r="F511" s="16" t="inlineStr">
        <x:is>
          <x:t xml:space="preserve">Audio-on</x:t>
        </x:is>
      </x:c>
      <x:c r="G511" s="21" t="n">
        <x:v>19</x:v>
      </x:c>
      <x:c r="H511" s="21" t="inlineStr">
        <x:is>
          <x:t xml:space="preserve"/>
        </x:is>
      </x:c>
      <x:c r="I511" s="21" t="inlineStr">
        <x:is>
          <x:t xml:space="preserve"/>
        </x:is>
      </x:c>
      <x:c r="J511" s="21" t="inlineStr">
        <x:is>
          <x:t xml:space="preserve"/>
        </x:is>
      </x:c>
      <x:c r="K511" s="21" t="inlineStr">
        <x:is>
          <x:t xml:space="preserve"/>
        </x:is>
      </x:c>
      <x:c r="L511" s="21" t="inlineStr">
        <x:is>
          <x:t xml:space="preserve"/>
        </x:is>
      </x:c>
      <x:c r="M511" s="21" t="inlineStr">
        <x:is>
          <x:t xml:space="preserve"/>
        </x:is>
      </x:c>
      <x:c r="N511" s="21" t="inlineStr">
        <x:is>
          <x:t xml:space="preserve"/>
        </x:is>
      </x:c>
      <x:c r="O511" s="21" t="inlineStr">
        <x:is>
          <x:t xml:space="preserve"/>
        </x:is>
      </x:c>
      <x:c r="P511" s="21" t="inlineStr">
        <x:is>
          <x:t xml:space="preserve"/>
        </x:is>
      </x:c>
      <x:c r="Q511" s="21" t="inlineStr">
        <x:is>
          <x:t xml:space="preserve"/>
        </x:is>
      </x:c>
      <x:c r="R511" s="21" t="inlineStr">
        <x:is>
          <x:t xml:space="preserve"/>
        </x:is>
      </x:c>
      <x:c r="S511" s="22">
        <x:f>IF(H511="","",IFERROR(H511/G511,""))</x:f>
      </x:c>
      <x:c r="T511" s="23">
        <x:f>IF(H511="","",IFERROR((J511+K511+L511+N511)/H511,""))</x:f>
      </x:c>
      <x:c r="U511" s="22">
        <x:f>IF(COUNTA(J511:L511,N511)=0,"",IFERROR(AVERAGE(J511:L511,N511),""))</x:f>
      </x:c>
      <x:c r="V511" s="16" t="inlineStr">
        <x:is>
          <x:t xml:space="preserve"/>
        </x:is>
      </x:c>
    </x:row>
    <x:row r="512">
      <x:c r="A512" s="17" t="inlineStr">
        <x:is>
          <x:t xml:space="preserve">P043</x:t>
        </x:is>
      </x:c>
      <x:c r="B512" s="17" t="n">
        <x:v>4</x:v>
      </x:c>
      <x:c r="C512" s="17" t="inlineStr">
        <x:is>
          <x:t xml:space="preserve">V03</x:t>
        </x:is>
      </x:c>
      <x:c r="D512" s="17" t="inlineStr">
        <x:is>
          <x:t xml:space="preserve">Fitness</x:t>
        </x:is>
      </x:c>
      <x:c r="E512" s="17" t="inlineStr">
        <x:is>
          <x:t xml:space="preserve">Semantic compression</x:t>
        </x:is>
      </x:c>
      <x:c r="F512" s="17" t="inlineStr">
        <x:is>
          <x:t xml:space="preserve">Audio-on</x:t>
        </x:is>
      </x:c>
      <x:c r="G512" s="24" t="n">
        <x:v>18</x:v>
      </x:c>
      <x:c r="H512" s="24" t="inlineStr">
        <x:is>
          <x:t xml:space="preserve"/>
        </x:is>
      </x:c>
      <x:c r="I512" s="24" t="inlineStr">
        <x:is>
          <x:t xml:space="preserve"/>
        </x:is>
      </x:c>
      <x:c r="J512" s="24" t="inlineStr">
        <x:is>
          <x:t xml:space="preserve"/>
        </x:is>
      </x:c>
      <x:c r="K512" s="24" t="inlineStr">
        <x:is>
          <x:t xml:space="preserve"/>
        </x:is>
      </x:c>
      <x:c r="L512" s="24" t="inlineStr">
        <x:is>
          <x:t xml:space="preserve"/>
        </x:is>
      </x:c>
      <x:c r="M512" s="24" t="inlineStr">
        <x:is>
          <x:t xml:space="preserve"/>
        </x:is>
      </x:c>
      <x:c r="N512" s="24" t="inlineStr">
        <x:is>
          <x:t xml:space="preserve"/>
        </x:is>
      </x:c>
      <x:c r="O512" s="24" t="inlineStr">
        <x:is>
          <x:t xml:space="preserve"/>
        </x:is>
      </x:c>
      <x:c r="P512" s="24" t="inlineStr">
        <x:is>
          <x:t xml:space="preserve"/>
        </x:is>
      </x:c>
      <x:c r="Q512" s="24" t="inlineStr">
        <x:is>
          <x:t xml:space="preserve"/>
        </x:is>
      </x:c>
      <x:c r="R512" s="24" t="inlineStr">
        <x:is>
          <x:t xml:space="preserve"/>
        </x:is>
      </x:c>
      <x:c r="S512" s="25">
        <x:f>IF(H512="","",IFERROR(H512/G512,""))</x:f>
      </x:c>
      <x:c r="T512" s="26">
        <x:f>IF(H512="","",IFERROR((J512+K512+L512+N512)/H512,""))</x:f>
      </x:c>
      <x:c r="U512" s="25">
        <x:f>IF(COUNTA(J512:L512,N512)=0,"",IFERROR(AVERAGE(J512:L512,N512),""))</x:f>
      </x:c>
      <x:c r="V512" s="17" t="inlineStr">
        <x:is>
          <x:t xml:space="preserve"/>
        </x:is>
      </x:c>
    </x:row>
    <x:row r="513">
      <x:c r="A513" s="16" t="inlineStr">
        <x:is>
          <x:t xml:space="preserve">P043</x:t>
        </x:is>
      </x:c>
      <x:c r="B513" s="16" t="n">
        <x:v>5</x:v>
      </x:c>
      <x:c r="C513" s="16" t="inlineStr">
        <x:is>
          <x:t xml:space="preserve">V01</x:t>
        </x:is>
      </x:c>
      <x:c r="D513" s="16" t="inlineStr">
        <x:is>
          <x:t xml:space="preserve">Productivity</x:t>
        </x:is>
      </x:c>
      <x:c r="E513" s="16" t="inlineStr">
        <x:is>
          <x:t xml:space="preserve">Full transcript</x:t>
        </x:is>
      </x:c>
      <x:c r="F513" s="16" t="inlineStr">
        <x:is>
          <x:t xml:space="preserve">Audio-on</x:t>
        </x:is>
      </x:c>
      <x:c r="G513" s="21" t="n">
        <x:v>25</x:v>
      </x:c>
      <x:c r="H513" s="21" t="inlineStr">
        <x:is>
          <x:t xml:space="preserve"/>
        </x:is>
      </x:c>
      <x:c r="I513" s="21" t="inlineStr">
        <x:is>
          <x:t xml:space="preserve"/>
        </x:is>
      </x:c>
      <x:c r="J513" s="21" t="inlineStr">
        <x:is>
          <x:t xml:space="preserve"/>
        </x:is>
      </x:c>
      <x:c r="K513" s="21" t="inlineStr">
        <x:is>
          <x:t xml:space="preserve"/>
        </x:is>
      </x:c>
      <x:c r="L513" s="21" t="inlineStr">
        <x:is>
          <x:t xml:space="preserve"/>
        </x:is>
      </x:c>
      <x:c r="M513" s="21" t="inlineStr">
        <x:is>
          <x:t xml:space="preserve"/>
        </x:is>
      </x:c>
      <x:c r="N513" s="21" t="inlineStr">
        <x:is>
          <x:t xml:space="preserve"/>
        </x:is>
      </x:c>
      <x:c r="O513" s="21" t="inlineStr">
        <x:is>
          <x:t xml:space="preserve"/>
        </x:is>
      </x:c>
      <x:c r="P513" s="21" t="inlineStr">
        <x:is>
          <x:t xml:space="preserve"/>
        </x:is>
      </x:c>
      <x:c r="Q513" s="21" t="inlineStr">
        <x:is>
          <x:t xml:space="preserve"/>
        </x:is>
      </x:c>
      <x:c r="R513" s="21" t="inlineStr">
        <x:is>
          <x:t xml:space="preserve"/>
        </x:is>
      </x:c>
      <x:c r="S513" s="22">
        <x:f>IF(H513="","",IFERROR(H513/G513,""))</x:f>
      </x:c>
      <x:c r="T513" s="23">
        <x:f>IF(H513="","",IFERROR((J513+K513+L513+N513)/H513,""))</x:f>
      </x:c>
      <x:c r="U513" s="22">
        <x:f>IF(COUNTA(J513:L513,N513)=0,"",IFERROR(AVERAGE(J513:L513,N513),""))</x:f>
      </x:c>
      <x:c r="V513" s="16" t="inlineStr">
        <x:is>
          <x:t xml:space="preserve"/>
        </x:is>
      </x:c>
    </x:row>
    <x:row r="514">
      <x:c r="A514" s="17" t="inlineStr">
        <x:is>
          <x:t xml:space="preserve">P043</x:t>
        </x:is>
      </x:c>
      <x:c r="B514" s="17" t="n">
        <x:v>6</x:v>
      </x:c>
      <x:c r="C514" s="17" t="inlineStr">
        <x:is>
          <x:t xml:space="preserve">V02</x:t>
        </x:is>
      </x:c>
      <x:c r="D514" s="17" t="inlineStr">
        <x:is>
          <x:t xml:space="preserve">Study</x:t>
        </x:is>
      </x:c>
      <x:c r="E514" s="17" t="inlineStr">
        <x:is>
          <x:t xml:space="preserve">Keyword highlight</x:t>
        </x:is>
      </x:c>
      <x:c r="F514" s="17" t="inlineStr">
        <x:is>
          <x:t xml:space="preserve">Audio-on</x:t>
        </x:is>
      </x:c>
      <x:c r="G514" s="24" t="n">
        <x:v>18</x:v>
      </x:c>
      <x:c r="H514" s="24" t="inlineStr">
        <x:is>
          <x:t xml:space="preserve"/>
        </x:is>
      </x:c>
      <x:c r="I514" s="24" t="inlineStr">
        <x:is>
          <x:t xml:space="preserve"/>
        </x:is>
      </x:c>
      <x:c r="J514" s="24" t="inlineStr">
        <x:is>
          <x:t xml:space="preserve"/>
        </x:is>
      </x:c>
      <x:c r="K514" s="24" t="inlineStr">
        <x:is>
          <x:t xml:space="preserve"/>
        </x:is>
      </x:c>
      <x:c r="L514" s="24" t="inlineStr">
        <x:is>
          <x:t xml:space="preserve"/>
        </x:is>
      </x:c>
      <x:c r="M514" s="24" t="inlineStr">
        <x:is>
          <x:t xml:space="preserve"/>
        </x:is>
      </x:c>
      <x:c r="N514" s="24" t="inlineStr">
        <x:is>
          <x:t xml:space="preserve"/>
        </x:is>
      </x:c>
      <x:c r="O514" s="24" t="inlineStr">
        <x:is>
          <x:t xml:space="preserve"/>
        </x:is>
      </x:c>
      <x:c r="P514" s="24" t="inlineStr">
        <x:is>
          <x:t xml:space="preserve"/>
        </x:is>
      </x:c>
      <x:c r="Q514" s="24" t="inlineStr">
        <x:is>
          <x:t xml:space="preserve"/>
        </x:is>
      </x:c>
      <x:c r="R514" s="24" t="inlineStr">
        <x:is>
          <x:t xml:space="preserve"/>
        </x:is>
      </x:c>
      <x:c r="S514" s="25">
        <x:f>IF(H514="","",IFERROR(H514/G514,""))</x:f>
      </x:c>
      <x:c r="T514" s="26">
        <x:f>IF(H514="","",IFERROR((J514+K514+L514+N514)/H514,""))</x:f>
      </x:c>
      <x:c r="U514" s="25">
        <x:f>IF(COUNTA(J514:L514,N514)=0,"",IFERROR(AVERAGE(J514:L514,N514),""))</x:f>
      </x:c>
      <x:c r="V514" s="17" t="inlineStr">
        <x:is>
          <x:t xml:space="preserve"/>
        </x:is>
      </x:c>
    </x:row>
    <x:row r="515">
      <x:c r="A515" s="16" t="inlineStr">
        <x:is>
          <x:t xml:space="preserve">P043</x:t>
        </x:is>
      </x:c>
      <x:c r="B515" s="16" t="n">
        <x:v>7</x:v>
      </x:c>
      <x:c r="C515" s="16" t="inlineStr">
        <x:is>
          <x:t xml:space="preserve">V12</x:t>
        </x:is>
      </x:c>
      <x:c r="D515" s="16" t="inlineStr">
        <x:is>
          <x:t xml:space="preserve">Time management</x:t>
        </x:is>
      </x:c>
      <x:c r="E515" s="16" t="inlineStr">
        <x:is>
          <x:t xml:space="preserve">Heavy bionic</x:t>
        </x:is>
      </x:c>
      <x:c r="F515" s="16" t="inlineStr">
        <x:is>
          <x:t xml:space="preserve">Audio-on</x:t>
        </x:is>
      </x:c>
      <x:c r="G515" s="21" t="n">
        <x:v>21</x:v>
      </x:c>
      <x:c r="H515" s="21" t="inlineStr">
        <x:is>
          <x:t xml:space="preserve"/>
        </x:is>
      </x:c>
      <x:c r="I515" s="21" t="inlineStr">
        <x:is>
          <x:t xml:space="preserve"/>
        </x:is>
      </x:c>
      <x:c r="J515" s="21" t="inlineStr">
        <x:is>
          <x:t xml:space="preserve"/>
        </x:is>
      </x:c>
      <x:c r="K515" s="21" t="inlineStr">
        <x:is>
          <x:t xml:space="preserve"/>
        </x:is>
      </x:c>
      <x:c r="L515" s="21" t="inlineStr">
        <x:is>
          <x:t xml:space="preserve"/>
        </x:is>
      </x:c>
      <x:c r="M515" s="21" t="inlineStr">
        <x:is>
          <x:t xml:space="preserve"/>
        </x:is>
      </x:c>
      <x:c r="N515" s="21" t="inlineStr">
        <x:is>
          <x:t xml:space="preserve"/>
        </x:is>
      </x:c>
      <x:c r="O515" s="21" t="inlineStr">
        <x:is>
          <x:t xml:space="preserve"/>
        </x:is>
      </x:c>
      <x:c r="P515" s="21" t="inlineStr">
        <x:is>
          <x:t xml:space="preserve"/>
        </x:is>
      </x:c>
      <x:c r="Q515" s="21" t="inlineStr">
        <x:is>
          <x:t xml:space="preserve"/>
        </x:is>
      </x:c>
      <x:c r="R515" s="21" t="inlineStr">
        <x:is>
          <x:t xml:space="preserve"/>
        </x:is>
      </x:c>
      <x:c r="S515" s="22">
        <x:f>IF(H515="","",IFERROR(H515/G515,""))</x:f>
      </x:c>
      <x:c r="T515" s="23">
        <x:f>IF(H515="","",IFERROR((J515+K515+L515+N515)/H515,""))</x:f>
      </x:c>
      <x:c r="U515" s="22">
        <x:f>IF(COUNTA(J515:L515,N515)=0,"",IFERROR(AVERAGE(J515:L515,N515),""))</x:f>
      </x:c>
      <x:c r="V515" s="16" t="inlineStr">
        <x:is>
          <x:t xml:space="preserve"/>
        </x:is>
      </x:c>
    </x:row>
    <x:row r="516">
      <x:c r="A516" s="17" t="inlineStr">
        <x:is>
          <x:t xml:space="preserve">P043</x:t>
        </x:is>
      </x:c>
      <x:c r="B516" s="17" t="n">
        <x:v>8</x:v>
      </x:c>
      <x:c r="C516" s="17" t="inlineStr">
        <x:is>
          <x:t xml:space="preserve">V04</x:t>
        </x:is>
      </x:c>
      <x:c r="D516" s="17" t="inlineStr">
        <x:is>
          <x:t xml:space="preserve">Finance</x:t>
        </x:is>
      </x:c>
      <x:c r="E516" s="17" t="inlineStr">
        <x:is>
          <x:t xml:space="preserve">BCC</x:t>
        </x:is>
      </x:c>
      <x:c r="F516" s="17" t="inlineStr">
        <x:is>
          <x:t xml:space="preserve">Audio-on</x:t>
        </x:is>
      </x:c>
      <x:c r="G516" s="24" t="n">
        <x:v>20</x:v>
      </x:c>
      <x:c r="H516" s="24" t="inlineStr">
        <x:is>
          <x:t xml:space="preserve"/>
        </x:is>
      </x:c>
      <x:c r="I516" s="24" t="inlineStr">
        <x:is>
          <x:t xml:space="preserve"/>
        </x:is>
      </x:c>
      <x:c r="J516" s="24" t="inlineStr">
        <x:is>
          <x:t xml:space="preserve"/>
        </x:is>
      </x:c>
      <x:c r="K516" s="24" t="inlineStr">
        <x:is>
          <x:t xml:space="preserve"/>
        </x:is>
      </x:c>
      <x:c r="L516" s="24" t="inlineStr">
        <x:is>
          <x:t xml:space="preserve"/>
        </x:is>
      </x:c>
      <x:c r="M516" s="24" t="inlineStr">
        <x:is>
          <x:t xml:space="preserve"/>
        </x:is>
      </x:c>
      <x:c r="N516" s="24" t="inlineStr">
        <x:is>
          <x:t xml:space="preserve"/>
        </x:is>
      </x:c>
      <x:c r="O516" s="24" t="inlineStr">
        <x:is>
          <x:t xml:space="preserve"/>
        </x:is>
      </x:c>
      <x:c r="P516" s="24" t="inlineStr">
        <x:is>
          <x:t xml:space="preserve"/>
        </x:is>
      </x:c>
      <x:c r="Q516" s="24" t="inlineStr">
        <x:is>
          <x:t xml:space="preserve"/>
        </x:is>
      </x:c>
      <x:c r="R516" s="24" t="inlineStr">
        <x:is>
          <x:t xml:space="preserve"/>
        </x:is>
      </x:c>
      <x:c r="S516" s="25">
        <x:f>IF(H516="","",IFERROR(H516/G516,""))</x:f>
      </x:c>
      <x:c r="T516" s="26">
        <x:f>IF(H516="","",IFERROR((J516+K516+L516+N516)/H516,""))</x:f>
      </x:c>
      <x:c r="U516" s="25">
        <x:f>IF(COUNTA(J516:L516,N516)=0,"",IFERROR(AVERAGE(J516:L516,N516),""))</x:f>
      </x:c>
      <x:c r="V516" s="17" t="inlineStr">
        <x:is>
          <x:t xml:space="preserve"/>
        </x:is>
      </x:c>
    </x:row>
    <x:row r="517">
      <x:c r="A517" s="16" t="inlineStr">
        <x:is>
          <x:t xml:space="preserve">P043</x:t>
        </x:is>
      </x:c>
      <x:c r="B517" s="16" t="n">
        <x:v>9</x:v>
      </x:c>
      <x:c r="C517" s="16" t="inlineStr">
        <x:is>
          <x:t xml:space="preserve">V08</x:t>
        </x:is>
      </x:c>
      <x:c r="D517" s="16" t="inlineStr">
        <x:is>
          <x:t xml:space="preserve">Coding</x:t>
        </x:is>
      </x:c>
      <x:c r="E517" s="16" t="inlineStr">
        <x:is>
          <x:t xml:space="preserve">Keyword highlight</x:t>
        </x:is>
      </x:c>
      <x:c r="F517" s="16" t="inlineStr">
        <x:is>
          <x:t xml:space="preserve">Audio-on</x:t>
        </x:is>
      </x:c>
      <x:c r="G517" s="21" t="n">
        <x:v>24</x:v>
      </x:c>
      <x:c r="H517" s="21" t="inlineStr">
        <x:is>
          <x:t xml:space="preserve"/>
        </x:is>
      </x:c>
      <x:c r="I517" s="21" t="inlineStr">
        <x:is>
          <x:t xml:space="preserve"/>
        </x:is>
      </x:c>
      <x:c r="J517" s="21" t="inlineStr">
        <x:is>
          <x:t xml:space="preserve"/>
        </x:is>
      </x:c>
      <x:c r="K517" s="21" t="inlineStr">
        <x:is>
          <x:t xml:space="preserve"/>
        </x:is>
      </x:c>
      <x:c r="L517" s="21" t="inlineStr">
        <x:is>
          <x:t xml:space="preserve"/>
        </x:is>
      </x:c>
      <x:c r="M517" s="21" t="inlineStr">
        <x:is>
          <x:t xml:space="preserve"/>
        </x:is>
      </x:c>
      <x:c r="N517" s="21" t="inlineStr">
        <x:is>
          <x:t xml:space="preserve"/>
        </x:is>
      </x:c>
      <x:c r="O517" s="21" t="inlineStr">
        <x:is>
          <x:t xml:space="preserve"/>
        </x:is>
      </x:c>
      <x:c r="P517" s="21" t="inlineStr">
        <x:is>
          <x:t xml:space="preserve"/>
        </x:is>
      </x:c>
      <x:c r="Q517" s="21" t="inlineStr">
        <x:is>
          <x:t xml:space="preserve"/>
        </x:is>
      </x:c>
      <x:c r="R517" s="21" t="inlineStr">
        <x:is>
          <x:t xml:space="preserve"/>
        </x:is>
      </x:c>
      <x:c r="S517" s="22">
        <x:f>IF(H517="","",IFERROR(H517/G517,""))</x:f>
      </x:c>
      <x:c r="T517" s="23">
        <x:f>IF(H517="","",IFERROR((J517+K517+L517+N517)/H517,""))</x:f>
      </x:c>
      <x:c r="U517" s="22">
        <x:f>IF(COUNTA(J517:L517,N517)=0,"",IFERROR(AVERAGE(J517:L517,N517),""))</x:f>
      </x:c>
      <x:c r="V517" s="16" t="inlineStr">
        <x:is>
          <x:t xml:space="preserve"/>
        </x:is>
      </x:c>
    </x:row>
    <x:row r="518">
      <x:c r="A518" s="17" t="inlineStr">
        <x:is>
          <x:t xml:space="preserve">P043</x:t>
        </x:is>
      </x:c>
      <x:c r="B518" s="17" t="n">
        <x:v>10</x:v>
      </x:c>
      <x:c r="C518" s="17" t="inlineStr">
        <x:is>
          <x:t xml:space="preserve">V11</x:t>
        </x:is>
      </x:c>
      <x:c r="D518" s="17" t="inlineStr">
        <x:is>
          <x:t xml:space="preserve">Creator strategy</x:t>
        </x:is>
      </x:c>
      <x:c r="E518" s="17" t="inlineStr">
        <x:is>
          <x:t xml:space="preserve">BCC+</x:t>
        </x:is>
      </x:c>
      <x:c r="F518" s="17" t="inlineStr">
        <x:is>
          <x:t xml:space="preserve">Audio-on</x:t>
        </x:is>
      </x:c>
      <x:c r="G518" s="24" t="n">
        <x:v>17</x:v>
      </x:c>
      <x:c r="H518" s="24" t="inlineStr">
        <x:is>
          <x:t xml:space="preserve"/>
        </x:is>
      </x:c>
      <x:c r="I518" s="24" t="inlineStr">
        <x:is>
          <x:t xml:space="preserve"/>
        </x:is>
      </x:c>
      <x:c r="J518" s="24" t="inlineStr">
        <x:is>
          <x:t xml:space="preserve"/>
        </x:is>
      </x:c>
      <x:c r="K518" s="24" t="inlineStr">
        <x:is>
          <x:t xml:space="preserve"/>
        </x:is>
      </x:c>
      <x:c r="L518" s="24" t="inlineStr">
        <x:is>
          <x:t xml:space="preserve"/>
        </x:is>
      </x:c>
      <x:c r="M518" s="24" t="inlineStr">
        <x:is>
          <x:t xml:space="preserve"/>
        </x:is>
      </x:c>
      <x:c r="N518" s="24" t="inlineStr">
        <x:is>
          <x:t xml:space="preserve"/>
        </x:is>
      </x:c>
      <x:c r="O518" s="24" t="inlineStr">
        <x:is>
          <x:t xml:space="preserve"/>
        </x:is>
      </x:c>
      <x:c r="P518" s="24" t="inlineStr">
        <x:is>
          <x:t xml:space="preserve"/>
        </x:is>
      </x:c>
      <x:c r="Q518" s="24" t="inlineStr">
        <x:is>
          <x:t xml:space="preserve"/>
        </x:is>
      </x:c>
      <x:c r="R518" s="24" t="inlineStr">
        <x:is>
          <x:t xml:space="preserve"/>
        </x:is>
      </x:c>
      <x:c r="S518" s="25">
        <x:f>IF(H518="","",IFERROR(H518/G518,""))</x:f>
      </x:c>
      <x:c r="T518" s="26">
        <x:f>IF(H518="","",IFERROR((J518+K518+L518+N518)/H518,""))</x:f>
      </x:c>
      <x:c r="U518" s="25">
        <x:f>IF(COUNTA(J518:L518,N518)=0,"",IFERROR(AVERAGE(J518:L518,N518),""))</x:f>
      </x:c>
      <x:c r="V518" s="17" t="inlineStr">
        <x:is>
          <x:t xml:space="preserve"/>
        </x:is>
      </x:c>
    </x:row>
    <x:row r="519">
      <x:c r="A519" s="16" t="inlineStr">
        <x:is>
          <x:t xml:space="preserve">P043</x:t>
        </x:is>
      </x:c>
      <x:c r="B519" s="16" t="n">
        <x:v>11</x:v>
      </x:c>
      <x:c r="C519" s="16" t="inlineStr">
        <x:is>
          <x:t xml:space="preserve">V06</x:t>
        </x:is>
      </x:c>
      <x:c r="D519" s="16" t="inlineStr">
        <x:is>
          <x:t xml:space="preserve">Overload</x:t>
        </x:is>
      </x:c>
      <x:c r="E519" s="16" t="inlineStr">
        <x:is>
          <x:t xml:space="preserve">Heavy bionic</x:t>
        </x:is>
      </x:c>
      <x:c r="F519" s="16" t="inlineStr">
        <x:is>
          <x:t xml:space="preserve">Audio-on</x:t>
        </x:is>
      </x:c>
      <x:c r="G519" s="21" t="n">
        <x:v>16</x:v>
      </x:c>
      <x:c r="H519" s="21" t="inlineStr">
        <x:is>
          <x:t xml:space="preserve"/>
        </x:is>
      </x:c>
      <x:c r="I519" s="21" t="inlineStr">
        <x:is>
          <x:t xml:space="preserve"/>
        </x:is>
      </x:c>
      <x:c r="J519" s="21" t="inlineStr">
        <x:is>
          <x:t xml:space="preserve"/>
        </x:is>
      </x:c>
      <x:c r="K519" s="21" t="inlineStr">
        <x:is>
          <x:t xml:space="preserve"/>
        </x:is>
      </x:c>
      <x:c r="L519" s="21" t="inlineStr">
        <x:is>
          <x:t xml:space="preserve"/>
        </x:is>
      </x:c>
      <x:c r="M519" s="21" t="inlineStr">
        <x:is>
          <x:t xml:space="preserve"/>
        </x:is>
      </x:c>
      <x:c r="N519" s="21" t="inlineStr">
        <x:is>
          <x:t xml:space="preserve"/>
        </x:is>
      </x:c>
      <x:c r="O519" s="21" t="inlineStr">
        <x:is>
          <x:t xml:space="preserve"/>
        </x:is>
      </x:c>
      <x:c r="P519" s="21" t="inlineStr">
        <x:is>
          <x:t xml:space="preserve"/>
        </x:is>
      </x:c>
      <x:c r="Q519" s="21" t="inlineStr">
        <x:is>
          <x:t xml:space="preserve"/>
        </x:is>
      </x:c>
      <x:c r="R519" s="21" t="inlineStr">
        <x:is>
          <x:t xml:space="preserve"/>
        </x:is>
      </x:c>
      <x:c r="S519" s="22">
        <x:f>IF(H519="","",IFERROR(H519/G519,""))</x:f>
      </x:c>
      <x:c r="T519" s="23">
        <x:f>IF(H519="","",IFERROR((J519+K519+L519+N519)/H519,""))</x:f>
      </x:c>
      <x:c r="U519" s="22">
        <x:f>IF(COUNTA(J519:L519,N519)=0,"",IFERROR(AVERAGE(J519:L519,N519),""))</x:f>
      </x:c>
      <x:c r="V519" s="16" t="inlineStr">
        <x:is>
          <x:t xml:space="preserve"/>
        </x:is>
      </x:c>
    </x:row>
    <x:row r="520">
      <x:c r="A520" s="17" t="inlineStr">
        <x:is>
          <x:t xml:space="preserve">P043</x:t>
        </x:is>
      </x:c>
      <x:c r="B520" s="17" t="n">
        <x:v>12</x:v>
      </x:c>
      <x:c r="C520" s="17" t="inlineStr">
        <x:is>
          <x:t xml:space="preserve">V10</x:t>
        </x:is>
      </x:c>
      <x:c r="D520" s="17" t="inlineStr">
        <x:is>
          <x:t xml:space="preserve">Product demo</x:t>
        </x:is>
      </x:c>
      <x:c r="E520" s="17" t="inlineStr">
        <x:is>
          <x:t xml:space="preserve">BCC</x:t>
        </x:is>
      </x:c>
      <x:c r="F520" s="17" t="inlineStr">
        <x:is>
          <x:t xml:space="preserve">Audio-on</x:t>
        </x:is>
      </x:c>
      <x:c r="G520" s="24" t="n">
        <x:v>15</x:v>
      </x:c>
      <x:c r="H520" s="24" t="inlineStr">
        <x:is>
          <x:t xml:space="preserve"/>
        </x:is>
      </x:c>
      <x:c r="I520" s="24" t="inlineStr">
        <x:is>
          <x:t xml:space="preserve"/>
        </x:is>
      </x:c>
      <x:c r="J520" s="24" t="inlineStr">
        <x:is>
          <x:t xml:space="preserve"/>
        </x:is>
      </x:c>
      <x:c r="K520" s="24" t="inlineStr">
        <x:is>
          <x:t xml:space="preserve"/>
        </x:is>
      </x:c>
      <x:c r="L520" s="24" t="inlineStr">
        <x:is>
          <x:t xml:space="preserve"/>
        </x:is>
      </x:c>
      <x:c r="M520" s="24" t="inlineStr">
        <x:is>
          <x:t xml:space="preserve"/>
        </x:is>
      </x:c>
      <x:c r="N520" s="24" t="inlineStr">
        <x:is>
          <x:t xml:space="preserve"/>
        </x:is>
      </x:c>
      <x:c r="O520" s="24" t="inlineStr">
        <x:is>
          <x:t xml:space="preserve"/>
        </x:is>
      </x:c>
      <x:c r="P520" s="24" t="inlineStr">
        <x:is>
          <x:t xml:space="preserve"/>
        </x:is>
      </x:c>
      <x:c r="Q520" s="24" t="inlineStr">
        <x:is>
          <x:t xml:space="preserve"/>
        </x:is>
      </x:c>
      <x:c r="R520" s="24" t="inlineStr">
        <x:is>
          <x:t xml:space="preserve"/>
        </x:is>
      </x:c>
      <x:c r="S520" s="25">
        <x:f>IF(H520="","",IFERROR(H520/G520,""))</x:f>
      </x:c>
      <x:c r="T520" s="26">
        <x:f>IF(H520="","",IFERROR((J520+K520+L520+N520)/H520,""))</x:f>
      </x:c>
      <x:c r="U520" s="25">
        <x:f>IF(COUNTA(J520:L520,N520)=0,"",IFERROR(AVERAGE(J520:L520,N520),""))</x:f>
      </x:c>
      <x:c r="V520" s="17" t="inlineStr">
        <x:is>
          <x:t xml:space="preserve"/>
        </x:is>
      </x:c>
    </x:row>
    <x:row r="521">
      <x:c r="A521" s="16" t="inlineStr">
        <x:is>
          <x:t xml:space="preserve">P044</x:t>
        </x:is>
      </x:c>
      <x:c r="B521" s="16" t="n">
        <x:v>1</x:v>
      </x:c>
      <x:c r="C521" s="16" t="inlineStr">
        <x:is>
          <x:t xml:space="preserve">V12</x:t>
        </x:is>
      </x:c>
      <x:c r="D521" s="16" t="inlineStr">
        <x:is>
          <x:t xml:space="preserve">Time management</x:t>
        </x:is>
      </x:c>
      <x:c r="E521" s="16" t="inlineStr">
        <x:is>
          <x:t xml:space="preserve">Full transcript</x:t>
        </x:is>
      </x:c>
      <x:c r="F521" s="16" t="inlineStr">
        <x:is>
          <x:t xml:space="preserve">Audio-on</x:t>
        </x:is>
      </x:c>
      <x:c r="G521" s="21" t="n">
        <x:v>21</x:v>
      </x:c>
      <x:c r="H521" s="21" t="inlineStr">
        <x:is>
          <x:t xml:space="preserve"/>
        </x:is>
      </x:c>
      <x:c r="I521" s="21" t="inlineStr">
        <x:is>
          <x:t xml:space="preserve"/>
        </x:is>
      </x:c>
      <x:c r="J521" s="21" t="inlineStr">
        <x:is>
          <x:t xml:space="preserve"/>
        </x:is>
      </x:c>
      <x:c r="K521" s="21" t="inlineStr">
        <x:is>
          <x:t xml:space="preserve"/>
        </x:is>
      </x:c>
      <x:c r="L521" s="21" t="inlineStr">
        <x:is>
          <x:t xml:space="preserve"/>
        </x:is>
      </x:c>
      <x:c r="M521" s="21" t="inlineStr">
        <x:is>
          <x:t xml:space="preserve"/>
        </x:is>
      </x:c>
      <x:c r="N521" s="21" t="inlineStr">
        <x:is>
          <x:t xml:space="preserve"/>
        </x:is>
      </x:c>
      <x:c r="O521" s="21" t="inlineStr">
        <x:is>
          <x:t xml:space="preserve"/>
        </x:is>
      </x:c>
      <x:c r="P521" s="21" t="inlineStr">
        <x:is>
          <x:t xml:space="preserve"/>
        </x:is>
      </x:c>
      <x:c r="Q521" s="21" t="inlineStr">
        <x:is>
          <x:t xml:space="preserve"/>
        </x:is>
      </x:c>
      <x:c r="R521" s="21" t="inlineStr">
        <x:is>
          <x:t xml:space="preserve"/>
        </x:is>
      </x:c>
      <x:c r="S521" s="22">
        <x:f>IF(H521="","",IFERROR(H521/G521,""))</x:f>
      </x:c>
      <x:c r="T521" s="23">
        <x:f>IF(H521="","",IFERROR((J521+K521+L521+N521)/H521,""))</x:f>
      </x:c>
      <x:c r="U521" s="22">
        <x:f>IF(COUNTA(J521:L521,N521)=0,"",IFERROR(AVERAGE(J521:L521,N521),""))</x:f>
      </x:c>
      <x:c r="V521" s="16" t="inlineStr">
        <x:is>
          <x:t xml:space="preserve"/>
        </x:is>
      </x:c>
    </x:row>
    <x:row r="522">
      <x:c r="A522" s="17" t="inlineStr">
        <x:is>
          <x:t xml:space="preserve">P044</x:t>
        </x:is>
      </x:c>
      <x:c r="B522" s="17" t="n">
        <x:v>2</x:v>
      </x:c>
      <x:c r="C522" s="17" t="inlineStr">
        <x:is>
          <x:t xml:space="preserve">V09</x:t>
        </x:is>
      </x:c>
      <x:c r="D522" s="17" t="inlineStr">
        <x:is>
          <x:t xml:space="preserve">Sleep habit</x:t>
        </x:is>
      </x:c>
      <x:c r="E522" s="17" t="inlineStr">
        <x:is>
          <x:t xml:space="preserve">BCC</x:t>
        </x:is>
      </x:c>
      <x:c r="F522" s="17" t="inlineStr">
        <x:is>
          <x:t xml:space="preserve">Audio-on</x:t>
        </x:is>
      </x:c>
      <x:c r="G522" s="24" t="n">
        <x:v>19</x:v>
      </x:c>
      <x:c r="H522" s="24" t="inlineStr">
        <x:is>
          <x:t xml:space="preserve"/>
        </x:is>
      </x:c>
      <x:c r="I522" s="24" t="inlineStr">
        <x:is>
          <x:t xml:space="preserve"/>
        </x:is>
      </x:c>
      <x:c r="J522" s="24" t="inlineStr">
        <x:is>
          <x:t xml:space="preserve"/>
        </x:is>
      </x:c>
      <x:c r="K522" s="24" t="inlineStr">
        <x:is>
          <x:t xml:space="preserve"/>
        </x:is>
      </x:c>
      <x:c r="L522" s="24" t="inlineStr">
        <x:is>
          <x:t xml:space="preserve"/>
        </x:is>
      </x:c>
      <x:c r="M522" s="24" t="inlineStr">
        <x:is>
          <x:t xml:space="preserve"/>
        </x:is>
      </x:c>
      <x:c r="N522" s="24" t="inlineStr">
        <x:is>
          <x:t xml:space="preserve"/>
        </x:is>
      </x:c>
      <x:c r="O522" s="24" t="inlineStr">
        <x:is>
          <x:t xml:space="preserve"/>
        </x:is>
      </x:c>
      <x:c r="P522" s="24" t="inlineStr">
        <x:is>
          <x:t xml:space="preserve"/>
        </x:is>
      </x:c>
      <x:c r="Q522" s="24" t="inlineStr">
        <x:is>
          <x:t xml:space="preserve"/>
        </x:is>
      </x:c>
      <x:c r="R522" s="24" t="inlineStr">
        <x:is>
          <x:t xml:space="preserve"/>
        </x:is>
      </x:c>
      <x:c r="S522" s="25">
        <x:f>IF(H522="","",IFERROR(H522/G522,""))</x:f>
      </x:c>
      <x:c r="T522" s="26">
        <x:f>IF(H522="","",IFERROR((J522+K522+L522+N522)/H522,""))</x:f>
      </x:c>
      <x:c r="U522" s="25">
        <x:f>IF(COUNTA(J522:L522,N522)=0,"",IFERROR(AVERAGE(J522:L522,N522),""))</x:f>
      </x:c>
      <x:c r="V522" s="17" t="inlineStr">
        <x:is>
          <x:t xml:space="preserve"/>
        </x:is>
      </x:c>
    </x:row>
    <x:row r="523">
      <x:c r="A523" s="16" t="inlineStr">
        <x:is>
          <x:t xml:space="preserve">P044</x:t>
        </x:is>
      </x:c>
      <x:c r="B523" s="16" t="n">
        <x:v>3</x:v>
      </x:c>
      <x:c r="C523" s="16" t="inlineStr">
        <x:is>
          <x:t xml:space="preserve">V03</x:t>
        </x:is>
      </x:c>
      <x:c r="D523" s="16" t="inlineStr">
        <x:is>
          <x:t xml:space="preserve">Fitness</x:t>
        </x:is>
      </x:c>
      <x:c r="E523" s="16" t="inlineStr">
        <x:is>
          <x:t xml:space="preserve">BCC</x:t>
        </x:is>
      </x:c>
      <x:c r="F523" s="16" t="inlineStr">
        <x:is>
          <x:t xml:space="preserve">Audio-on</x:t>
        </x:is>
      </x:c>
      <x:c r="G523" s="21" t="n">
        <x:v>18</x:v>
      </x:c>
      <x:c r="H523" s="21" t="inlineStr">
        <x:is>
          <x:t xml:space="preserve"/>
        </x:is>
      </x:c>
      <x:c r="I523" s="21" t="inlineStr">
        <x:is>
          <x:t xml:space="preserve"/>
        </x:is>
      </x:c>
      <x:c r="J523" s="21" t="inlineStr">
        <x:is>
          <x:t xml:space="preserve"/>
        </x:is>
      </x:c>
      <x:c r="K523" s="21" t="inlineStr">
        <x:is>
          <x:t xml:space="preserve"/>
        </x:is>
      </x:c>
      <x:c r="L523" s="21" t="inlineStr">
        <x:is>
          <x:t xml:space="preserve"/>
        </x:is>
      </x:c>
      <x:c r="M523" s="21" t="inlineStr">
        <x:is>
          <x:t xml:space="preserve"/>
        </x:is>
      </x:c>
      <x:c r="N523" s="21" t="inlineStr">
        <x:is>
          <x:t xml:space="preserve"/>
        </x:is>
      </x:c>
      <x:c r="O523" s="21" t="inlineStr">
        <x:is>
          <x:t xml:space="preserve"/>
        </x:is>
      </x:c>
      <x:c r="P523" s="21" t="inlineStr">
        <x:is>
          <x:t xml:space="preserve"/>
        </x:is>
      </x:c>
      <x:c r="Q523" s="21" t="inlineStr">
        <x:is>
          <x:t xml:space="preserve"/>
        </x:is>
      </x:c>
      <x:c r="R523" s="21" t="inlineStr">
        <x:is>
          <x:t xml:space="preserve"/>
        </x:is>
      </x:c>
      <x:c r="S523" s="22">
        <x:f>IF(H523="","",IFERROR(H523/G523,""))</x:f>
      </x:c>
      <x:c r="T523" s="23">
        <x:f>IF(H523="","",IFERROR((J523+K523+L523+N523)/H523,""))</x:f>
      </x:c>
      <x:c r="U523" s="22">
        <x:f>IF(COUNTA(J523:L523,N523)=0,"",IFERROR(AVERAGE(J523:L523,N523),""))</x:f>
      </x:c>
      <x:c r="V523" s="16" t="inlineStr">
        <x:is>
          <x:t xml:space="preserve"/>
        </x:is>
      </x:c>
    </x:row>
    <x:row r="524">
      <x:c r="A524" s="17" t="inlineStr">
        <x:is>
          <x:t xml:space="preserve">P044</x:t>
        </x:is>
      </x:c>
      <x:c r="B524" s="17" t="n">
        <x:v>4</x:v>
      </x:c>
      <x:c r="C524" s="17" t="inlineStr">
        <x:is>
          <x:t xml:space="preserve">V05</x:t>
        </x:is>
      </x:c>
      <x:c r="D524" s="17" t="inlineStr">
        <x:is>
          <x:t xml:space="preserve">Tutorial</x:t>
        </x:is>
      </x:c>
      <x:c r="E524" s="17" t="inlineStr">
        <x:is>
          <x:t xml:space="preserve">Heavy bionic</x:t>
        </x:is>
      </x:c>
      <x:c r="F524" s="17" t="inlineStr">
        <x:is>
          <x:t xml:space="preserve">Audio-on</x:t>
        </x:is>
      </x:c>
      <x:c r="G524" s="24" t="n">
        <x:v>20</x:v>
      </x:c>
      <x:c r="H524" s="24" t="inlineStr">
        <x:is>
          <x:t xml:space="preserve"/>
        </x:is>
      </x:c>
      <x:c r="I524" s="24" t="inlineStr">
        <x:is>
          <x:t xml:space="preserve"/>
        </x:is>
      </x:c>
      <x:c r="J524" s="24" t="inlineStr">
        <x:is>
          <x:t xml:space="preserve"/>
        </x:is>
      </x:c>
      <x:c r="K524" s="24" t="inlineStr">
        <x:is>
          <x:t xml:space="preserve"/>
        </x:is>
      </x:c>
      <x:c r="L524" s="24" t="inlineStr">
        <x:is>
          <x:t xml:space="preserve"/>
        </x:is>
      </x:c>
      <x:c r="M524" s="24" t="inlineStr">
        <x:is>
          <x:t xml:space="preserve"/>
        </x:is>
      </x:c>
      <x:c r="N524" s="24" t="inlineStr">
        <x:is>
          <x:t xml:space="preserve"/>
        </x:is>
      </x:c>
      <x:c r="O524" s="24" t="inlineStr">
        <x:is>
          <x:t xml:space="preserve"/>
        </x:is>
      </x:c>
      <x:c r="P524" s="24" t="inlineStr">
        <x:is>
          <x:t xml:space="preserve"/>
        </x:is>
      </x:c>
      <x:c r="Q524" s="24" t="inlineStr">
        <x:is>
          <x:t xml:space="preserve"/>
        </x:is>
      </x:c>
      <x:c r="R524" s="24" t="inlineStr">
        <x:is>
          <x:t xml:space="preserve"/>
        </x:is>
      </x:c>
      <x:c r="S524" s="25">
        <x:f>IF(H524="","",IFERROR(H524/G524,""))</x:f>
      </x:c>
      <x:c r="T524" s="26">
        <x:f>IF(H524="","",IFERROR((J524+K524+L524+N524)/H524,""))</x:f>
      </x:c>
      <x:c r="U524" s="25">
        <x:f>IF(COUNTA(J524:L524,N524)=0,"",IFERROR(AVERAGE(J524:L524,N524),""))</x:f>
      </x:c>
      <x:c r="V524" s="17" t="inlineStr">
        <x:is>
          <x:t xml:space="preserve"/>
        </x:is>
      </x:c>
    </x:row>
    <x:row r="525">
      <x:c r="A525" s="16" t="inlineStr">
        <x:is>
          <x:t xml:space="preserve">P044</x:t>
        </x:is>
      </x:c>
      <x:c r="B525" s="16" t="n">
        <x:v>5</x:v>
      </x:c>
      <x:c r="C525" s="16" t="inlineStr">
        <x:is>
          <x:t xml:space="preserve">V11</x:t>
        </x:is>
      </x:c>
      <x:c r="D525" s="16" t="inlineStr">
        <x:is>
          <x:t xml:space="preserve">Creator strategy</x:t>
        </x:is>
      </x:c>
      <x:c r="E525" s="16" t="inlineStr">
        <x:is>
          <x:t xml:space="preserve">Heavy bionic</x:t>
        </x:is>
      </x:c>
      <x:c r="F525" s="16" t="inlineStr">
        <x:is>
          <x:t xml:space="preserve">Audio-on</x:t>
        </x:is>
      </x:c>
      <x:c r="G525" s="21" t="n">
        <x:v>17</x:v>
      </x:c>
      <x:c r="H525" s="21" t="inlineStr">
        <x:is>
          <x:t xml:space="preserve"/>
        </x:is>
      </x:c>
      <x:c r="I525" s="21" t="inlineStr">
        <x:is>
          <x:t xml:space="preserve"/>
        </x:is>
      </x:c>
      <x:c r="J525" s="21" t="inlineStr">
        <x:is>
          <x:t xml:space="preserve"/>
        </x:is>
      </x:c>
      <x:c r="K525" s="21" t="inlineStr">
        <x:is>
          <x:t xml:space="preserve"/>
        </x:is>
      </x:c>
      <x:c r="L525" s="21" t="inlineStr">
        <x:is>
          <x:t xml:space="preserve"/>
        </x:is>
      </x:c>
      <x:c r="M525" s="21" t="inlineStr">
        <x:is>
          <x:t xml:space="preserve"/>
        </x:is>
      </x:c>
      <x:c r="N525" s="21" t="inlineStr">
        <x:is>
          <x:t xml:space="preserve"/>
        </x:is>
      </x:c>
      <x:c r="O525" s="21" t="inlineStr">
        <x:is>
          <x:t xml:space="preserve"/>
        </x:is>
      </x:c>
      <x:c r="P525" s="21" t="inlineStr">
        <x:is>
          <x:t xml:space="preserve"/>
        </x:is>
      </x:c>
      <x:c r="Q525" s="21" t="inlineStr">
        <x:is>
          <x:t xml:space="preserve"/>
        </x:is>
      </x:c>
      <x:c r="R525" s="21" t="inlineStr">
        <x:is>
          <x:t xml:space="preserve"/>
        </x:is>
      </x:c>
      <x:c r="S525" s="22">
        <x:f>IF(H525="","",IFERROR(H525/G525,""))</x:f>
      </x:c>
      <x:c r="T525" s="23">
        <x:f>IF(H525="","",IFERROR((J525+K525+L525+N525)/H525,""))</x:f>
      </x:c>
      <x:c r="U525" s="22">
        <x:f>IF(COUNTA(J525:L525,N525)=0,"",IFERROR(AVERAGE(J525:L525,N525),""))</x:f>
      </x:c>
      <x:c r="V525" s="16" t="inlineStr">
        <x:is>
          <x:t xml:space="preserve"/>
        </x:is>
      </x:c>
    </x:row>
    <x:row r="526">
      <x:c r="A526" s="17" t="inlineStr">
        <x:is>
          <x:t xml:space="preserve">P044</x:t>
        </x:is>
      </x:c>
      <x:c r="B526" s="17" t="n">
        <x:v>6</x:v>
      </x:c>
      <x:c r="C526" s="17" t="inlineStr">
        <x:is>
          <x:t xml:space="preserve">V02</x:t>
        </x:is>
      </x:c>
      <x:c r="D526" s="17" t="inlineStr">
        <x:is>
          <x:t xml:space="preserve">Study</x:t>
        </x:is>
      </x:c>
      <x:c r="E526" s="17" t="inlineStr">
        <x:is>
          <x:t xml:space="preserve">Semantic compression</x:t>
        </x:is>
      </x:c>
      <x:c r="F526" s="17" t="inlineStr">
        <x:is>
          <x:t xml:space="preserve">Audio-on</x:t>
        </x:is>
      </x:c>
      <x:c r="G526" s="24" t="n">
        <x:v>18</x:v>
      </x:c>
      <x:c r="H526" s="24" t="inlineStr">
        <x:is>
          <x:t xml:space="preserve"/>
        </x:is>
      </x:c>
      <x:c r="I526" s="24" t="inlineStr">
        <x:is>
          <x:t xml:space="preserve"/>
        </x:is>
      </x:c>
      <x:c r="J526" s="24" t="inlineStr">
        <x:is>
          <x:t xml:space="preserve"/>
        </x:is>
      </x:c>
      <x:c r="K526" s="24" t="inlineStr">
        <x:is>
          <x:t xml:space="preserve"/>
        </x:is>
      </x:c>
      <x:c r="L526" s="24" t="inlineStr">
        <x:is>
          <x:t xml:space="preserve"/>
        </x:is>
      </x:c>
      <x:c r="M526" s="24" t="inlineStr">
        <x:is>
          <x:t xml:space="preserve"/>
        </x:is>
      </x:c>
      <x:c r="N526" s="24" t="inlineStr">
        <x:is>
          <x:t xml:space="preserve"/>
        </x:is>
      </x:c>
      <x:c r="O526" s="24" t="inlineStr">
        <x:is>
          <x:t xml:space="preserve"/>
        </x:is>
      </x:c>
      <x:c r="P526" s="24" t="inlineStr">
        <x:is>
          <x:t xml:space="preserve"/>
        </x:is>
      </x:c>
      <x:c r="Q526" s="24" t="inlineStr">
        <x:is>
          <x:t xml:space="preserve"/>
        </x:is>
      </x:c>
      <x:c r="R526" s="24" t="inlineStr">
        <x:is>
          <x:t xml:space="preserve"/>
        </x:is>
      </x:c>
      <x:c r="S526" s="25">
        <x:f>IF(H526="","",IFERROR(H526/G526,""))</x:f>
      </x:c>
      <x:c r="T526" s="26">
        <x:f>IF(H526="","",IFERROR((J526+K526+L526+N526)/H526,""))</x:f>
      </x:c>
      <x:c r="U526" s="25">
        <x:f>IF(COUNTA(J526:L526,N526)=0,"",IFERROR(AVERAGE(J526:L526,N526),""))</x:f>
      </x:c>
      <x:c r="V526" s="17" t="inlineStr">
        <x:is>
          <x:t xml:space="preserve"/>
        </x:is>
      </x:c>
    </x:row>
    <x:row r="527">
      <x:c r="A527" s="16" t="inlineStr">
        <x:is>
          <x:t xml:space="preserve">P044</x:t>
        </x:is>
      </x:c>
      <x:c r="B527" s="16" t="n">
        <x:v>7</x:v>
      </x:c>
      <x:c r="C527" s="16" t="inlineStr">
        <x:is>
          <x:t xml:space="preserve">V07</x:t>
        </x:is>
      </x:c>
      <x:c r="D527" s="16" t="inlineStr">
        <x:is>
          <x:t xml:space="preserve">Business</x:t>
        </x:is>
      </x:c>
      <x:c r="E527" s="16" t="inlineStr">
        <x:is>
          <x:t xml:space="preserve">Keyword highlight</x:t>
        </x:is>
      </x:c>
      <x:c r="F527" s="16" t="inlineStr">
        <x:is>
          <x:t xml:space="preserve">Audio-on</x:t>
        </x:is>
      </x:c>
      <x:c r="G527" s="21" t="n">
        <x:v>18</x:v>
      </x:c>
      <x:c r="H527" s="21" t="inlineStr">
        <x:is>
          <x:t xml:space="preserve"/>
        </x:is>
      </x:c>
      <x:c r="I527" s="21" t="inlineStr">
        <x:is>
          <x:t xml:space="preserve"/>
        </x:is>
      </x:c>
      <x:c r="J527" s="21" t="inlineStr">
        <x:is>
          <x:t xml:space="preserve"/>
        </x:is>
      </x:c>
      <x:c r="K527" s="21" t="inlineStr">
        <x:is>
          <x:t xml:space="preserve"/>
        </x:is>
      </x:c>
      <x:c r="L527" s="21" t="inlineStr">
        <x:is>
          <x:t xml:space="preserve"/>
        </x:is>
      </x:c>
      <x:c r="M527" s="21" t="inlineStr">
        <x:is>
          <x:t xml:space="preserve"/>
        </x:is>
      </x:c>
      <x:c r="N527" s="21" t="inlineStr">
        <x:is>
          <x:t xml:space="preserve"/>
        </x:is>
      </x:c>
      <x:c r="O527" s="21" t="inlineStr">
        <x:is>
          <x:t xml:space="preserve"/>
        </x:is>
      </x:c>
      <x:c r="P527" s="21" t="inlineStr">
        <x:is>
          <x:t xml:space="preserve"/>
        </x:is>
      </x:c>
      <x:c r="Q527" s="21" t="inlineStr">
        <x:is>
          <x:t xml:space="preserve"/>
        </x:is>
      </x:c>
      <x:c r="R527" s="21" t="inlineStr">
        <x:is>
          <x:t xml:space="preserve"/>
        </x:is>
      </x:c>
      <x:c r="S527" s="22">
        <x:f>IF(H527="","",IFERROR(H527/G527,""))</x:f>
      </x:c>
      <x:c r="T527" s="23">
        <x:f>IF(H527="","",IFERROR((J527+K527+L527+N527)/H527,""))</x:f>
      </x:c>
      <x:c r="U527" s="22">
        <x:f>IF(COUNTA(J527:L527,N527)=0,"",IFERROR(AVERAGE(J527:L527,N527),""))</x:f>
      </x:c>
      <x:c r="V527" s="16" t="inlineStr">
        <x:is>
          <x:t xml:space="preserve"/>
        </x:is>
      </x:c>
    </x:row>
    <x:row r="528">
      <x:c r="A528" s="17" t="inlineStr">
        <x:is>
          <x:t xml:space="preserve">P044</x:t>
        </x:is>
      </x:c>
      <x:c r="B528" s="17" t="n">
        <x:v>8</x:v>
      </x:c>
      <x:c r="C528" s="17" t="inlineStr">
        <x:is>
          <x:t xml:space="preserve">V01</x:t>
        </x:is>
      </x:c>
      <x:c r="D528" s="17" t="inlineStr">
        <x:is>
          <x:t xml:space="preserve">Productivity</x:t>
        </x:is>
      </x:c>
      <x:c r="E528" s="17" t="inlineStr">
        <x:is>
          <x:t xml:space="preserve">Keyword highlight</x:t>
        </x:is>
      </x:c>
      <x:c r="F528" s="17" t="inlineStr">
        <x:is>
          <x:t xml:space="preserve">Audio-on</x:t>
        </x:is>
      </x:c>
      <x:c r="G528" s="24" t="n">
        <x:v>25</x:v>
      </x:c>
      <x:c r="H528" s="24" t="inlineStr">
        <x:is>
          <x:t xml:space="preserve"/>
        </x:is>
      </x:c>
      <x:c r="I528" s="24" t="inlineStr">
        <x:is>
          <x:t xml:space="preserve"/>
        </x:is>
      </x:c>
      <x:c r="J528" s="24" t="inlineStr">
        <x:is>
          <x:t xml:space="preserve"/>
        </x:is>
      </x:c>
      <x:c r="K528" s="24" t="inlineStr">
        <x:is>
          <x:t xml:space="preserve"/>
        </x:is>
      </x:c>
      <x:c r="L528" s="24" t="inlineStr">
        <x:is>
          <x:t xml:space="preserve"/>
        </x:is>
      </x:c>
      <x:c r="M528" s="24" t="inlineStr">
        <x:is>
          <x:t xml:space="preserve"/>
        </x:is>
      </x:c>
      <x:c r="N528" s="24" t="inlineStr">
        <x:is>
          <x:t xml:space="preserve"/>
        </x:is>
      </x:c>
      <x:c r="O528" s="24" t="inlineStr">
        <x:is>
          <x:t xml:space="preserve"/>
        </x:is>
      </x:c>
      <x:c r="P528" s="24" t="inlineStr">
        <x:is>
          <x:t xml:space="preserve"/>
        </x:is>
      </x:c>
      <x:c r="Q528" s="24" t="inlineStr">
        <x:is>
          <x:t xml:space="preserve"/>
        </x:is>
      </x:c>
      <x:c r="R528" s="24" t="inlineStr">
        <x:is>
          <x:t xml:space="preserve"/>
        </x:is>
      </x:c>
      <x:c r="S528" s="25">
        <x:f>IF(H528="","",IFERROR(H528/G528,""))</x:f>
      </x:c>
      <x:c r="T528" s="26">
        <x:f>IF(H528="","",IFERROR((J528+K528+L528+N528)/H528,""))</x:f>
      </x:c>
      <x:c r="U528" s="25">
        <x:f>IF(COUNTA(J528:L528,N528)=0,"",IFERROR(AVERAGE(J528:L528,N528),""))</x:f>
      </x:c>
      <x:c r="V528" s="17" t="inlineStr">
        <x:is>
          <x:t xml:space="preserve"/>
        </x:is>
      </x:c>
    </x:row>
    <x:row r="529">
      <x:c r="A529" s="16" t="inlineStr">
        <x:is>
          <x:t xml:space="preserve">P044</x:t>
        </x:is>
      </x:c>
      <x:c r="B529" s="16" t="n">
        <x:v>9</x:v>
      </x:c>
      <x:c r="C529" s="16" t="inlineStr">
        <x:is>
          <x:t xml:space="preserve">V10</x:t>
        </x:is>
      </x:c>
      <x:c r="D529" s="16" t="inlineStr">
        <x:is>
          <x:t xml:space="preserve">Product demo</x:t>
        </x:is>
      </x:c>
      <x:c r="E529" s="16" t="inlineStr">
        <x:is>
          <x:t xml:space="preserve">BCC+</x:t>
        </x:is>
      </x:c>
      <x:c r="F529" s="16" t="inlineStr">
        <x:is>
          <x:t xml:space="preserve">Audio-on</x:t>
        </x:is>
      </x:c>
      <x:c r="G529" s="21" t="n">
        <x:v>15</x:v>
      </x:c>
      <x:c r="H529" s="21" t="inlineStr">
        <x:is>
          <x:t xml:space="preserve"/>
        </x:is>
      </x:c>
      <x:c r="I529" s="21" t="inlineStr">
        <x:is>
          <x:t xml:space="preserve"/>
        </x:is>
      </x:c>
      <x:c r="J529" s="21" t="inlineStr">
        <x:is>
          <x:t xml:space="preserve"/>
        </x:is>
      </x:c>
      <x:c r="K529" s="21" t="inlineStr">
        <x:is>
          <x:t xml:space="preserve"/>
        </x:is>
      </x:c>
      <x:c r="L529" s="21" t="inlineStr">
        <x:is>
          <x:t xml:space="preserve"/>
        </x:is>
      </x:c>
      <x:c r="M529" s="21" t="inlineStr">
        <x:is>
          <x:t xml:space="preserve"/>
        </x:is>
      </x:c>
      <x:c r="N529" s="21" t="inlineStr">
        <x:is>
          <x:t xml:space="preserve"/>
        </x:is>
      </x:c>
      <x:c r="O529" s="21" t="inlineStr">
        <x:is>
          <x:t xml:space="preserve"/>
        </x:is>
      </x:c>
      <x:c r="P529" s="21" t="inlineStr">
        <x:is>
          <x:t xml:space="preserve"/>
        </x:is>
      </x:c>
      <x:c r="Q529" s="21" t="inlineStr">
        <x:is>
          <x:t xml:space="preserve"/>
        </x:is>
      </x:c>
      <x:c r="R529" s="21" t="inlineStr">
        <x:is>
          <x:t xml:space="preserve"/>
        </x:is>
      </x:c>
      <x:c r="S529" s="22">
        <x:f>IF(H529="","",IFERROR(H529/G529,""))</x:f>
      </x:c>
      <x:c r="T529" s="23">
        <x:f>IF(H529="","",IFERROR((J529+K529+L529+N529)/H529,""))</x:f>
      </x:c>
      <x:c r="U529" s="22">
        <x:f>IF(COUNTA(J529:L529,N529)=0,"",IFERROR(AVERAGE(J529:L529,N529),""))</x:f>
      </x:c>
      <x:c r="V529" s="16" t="inlineStr">
        <x:is>
          <x:t xml:space="preserve"/>
        </x:is>
      </x:c>
    </x:row>
    <x:row r="530">
      <x:c r="A530" s="17" t="inlineStr">
        <x:is>
          <x:t xml:space="preserve">P044</x:t>
        </x:is>
      </x:c>
      <x:c r="B530" s="17" t="n">
        <x:v>10</x:v>
      </x:c>
      <x:c r="C530" s="17" t="inlineStr">
        <x:is>
          <x:t xml:space="preserve">V08</x:t>
        </x:is>
      </x:c>
      <x:c r="D530" s="17" t="inlineStr">
        <x:is>
          <x:t xml:space="preserve">Coding</x:t>
        </x:is>
      </x:c>
      <x:c r="E530" s="17" t="inlineStr">
        <x:is>
          <x:t xml:space="preserve">Semantic compression</x:t>
        </x:is>
      </x:c>
      <x:c r="F530" s="17" t="inlineStr">
        <x:is>
          <x:t xml:space="preserve">Audio-on</x:t>
        </x:is>
      </x:c>
      <x:c r="G530" s="24" t="n">
        <x:v>24</x:v>
      </x:c>
      <x:c r="H530" s="24" t="inlineStr">
        <x:is>
          <x:t xml:space="preserve"/>
        </x:is>
      </x:c>
      <x:c r="I530" s="24" t="inlineStr">
        <x:is>
          <x:t xml:space="preserve"/>
        </x:is>
      </x:c>
      <x:c r="J530" s="24" t="inlineStr">
        <x:is>
          <x:t xml:space="preserve"/>
        </x:is>
      </x:c>
      <x:c r="K530" s="24" t="inlineStr">
        <x:is>
          <x:t xml:space="preserve"/>
        </x:is>
      </x:c>
      <x:c r="L530" s="24" t="inlineStr">
        <x:is>
          <x:t xml:space="preserve"/>
        </x:is>
      </x:c>
      <x:c r="M530" s="24" t="inlineStr">
        <x:is>
          <x:t xml:space="preserve"/>
        </x:is>
      </x:c>
      <x:c r="N530" s="24" t="inlineStr">
        <x:is>
          <x:t xml:space="preserve"/>
        </x:is>
      </x:c>
      <x:c r="O530" s="24" t="inlineStr">
        <x:is>
          <x:t xml:space="preserve"/>
        </x:is>
      </x:c>
      <x:c r="P530" s="24" t="inlineStr">
        <x:is>
          <x:t xml:space="preserve"/>
        </x:is>
      </x:c>
      <x:c r="Q530" s="24" t="inlineStr">
        <x:is>
          <x:t xml:space="preserve"/>
        </x:is>
      </x:c>
      <x:c r="R530" s="24" t="inlineStr">
        <x:is>
          <x:t xml:space="preserve"/>
        </x:is>
      </x:c>
      <x:c r="S530" s="25">
        <x:f>IF(H530="","",IFERROR(H530/G530,""))</x:f>
      </x:c>
      <x:c r="T530" s="26">
        <x:f>IF(H530="","",IFERROR((J530+K530+L530+N530)/H530,""))</x:f>
      </x:c>
      <x:c r="U530" s="25">
        <x:f>IF(COUNTA(J530:L530,N530)=0,"",IFERROR(AVERAGE(J530:L530,N530),""))</x:f>
      </x:c>
      <x:c r="V530" s="17" t="inlineStr">
        <x:is>
          <x:t xml:space="preserve"/>
        </x:is>
      </x:c>
    </x:row>
    <x:row r="531">
      <x:c r="A531" s="16" t="inlineStr">
        <x:is>
          <x:t xml:space="preserve">P044</x:t>
        </x:is>
      </x:c>
      <x:c r="B531" s="16" t="n">
        <x:v>11</x:v>
      </x:c>
      <x:c r="C531" s="16" t="inlineStr">
        <x:is>
          <x:t xml:space="preserve">V06</x:t>
        </x:is>
      </x:c>
      <x:c r="D531" s="16" t="inlineStr">
        <x:is>
          <x:t xml:space="preserve">Overload</x:t>
        </x:is>
      </x:c>
      <x:c r="E531" s="16" t="inlineStr">
        <x:is>
          <x:t xml:space="preserve">Full transcript</x:t>
        </x:is>
      </x:c>
      <x:c r="F531" s="16" t="inlineStr">
        <x:is>
          <x:t xml:space="preserve">Audio-on</x:t>
        </x:is>
      </x:c>
      <x:c r="G531" s="21" t="n">
        <x:v>16</x:v>
      </x:c>
      <x:c r="H531" s="21" t="inlineStr">
        <x:is>
          <x:t xml:space="preserve"/>
        </x:is>
      </x:c>
      <x:c r="I531" s="21" t="inlineStr">
        <x:is>
          <x:t xml:space="preserve"/>
        </x:is>
      </x:c>
      <x:c r="J531" s="21" t="inlineStr">
        <x:is>
          <x:t xml:space="preserve"/>
        </x:is>
      </x:c>
      <x:c r="K531" s="21" t="inlineStr">
        <x:is>
          <x:t xml:space="preserve"/>
        </x:is>
      </x:c>
      <x:c r="L531" s="21" t="inlineStr">
        <x:is>
          <x:t xml:space="preserve"/>
        </x:is>
      </x:c>
      <x:c r="M531" s="21" t="inlineStr">
        <x:is>
          <x:t xml:space="preserve"/>
        </x:is>
      </x:c>
      <x:c r="N531" s="21" t="inlineStr">
        <x:is>
          <x:t xml:space="preserve"/>
        </x:is>
      </x:c>
      <x:c r="O531" s="21" t="inlineStr">
        <x:is>
          <x:t xml:space="preserve"/>
        </x:is>
      </x:c>
      <x:c r="P531" s="21" t="inlineStr">
        <x:is>
          <x:t xml:space="preserve"/>
        </x:is>
      </x:c>
      <x:c r="Q531" s="21" t="inlineStr">
        <x:is>
          <x:t xml:space="preserve"/>
        </x:is>
      </x:c>
      <x:c r="R531" s="21" t="inlineStr">
        <x:is>
          <x:t xml:space="preserve"/>
        </x:is>
      </x:c>
      <x:c r="S531" s="22">
        <x:f>IF(H531="","",IFERROR(H531/G531,""))</x:f>
      </x:c>
      <x:c r="T531" s="23">
        <x:f>IF(H531="","",IFERROR((J531+K531+L531+N531)/H531,""))</x:f>
      </x:c>
      <x:c r="U531" s="22">
        <x:f>IF(COUNTA(J531:L531,N531)=0,"",IFERROR(AVERAGE(J531:L531,N531),""))</x:f>
      </x:c>
      <x:c r="V531" s="16" t="inlineStr">
        <x:is>
          <x:t xml:space="preserve"/>
        </x:is>
      </x:c>
    </x:row>
    <x:row r="532">
      <x:c r="A532" s="17" t="inlineStr">
        <x:is>
          <x:t xml:space="preserve">P044</x:t>
        </x:is>
      </x:c>
      <x:c r="B532" s="17" t="n">
        <x:v>12</x:v>
      </x:c>
      <x:c r="C532" s="17" t="inlineStr">
        <x:is>
          <x:t xml:space="preserve">V04</x:t>
        </x:is>
      </x:c>
      <x:c r="D532" s="17" t="inlineStr">
        <x:is>
          <x:t xml:space="preserve">Finance</x:t>
        </x:is>
      </x:c>
      <x:c r="E532" s="17" t="inlineStr">
        <x:is>
          <x:t xml:space="preserve">BCC+</x:t>
        </x:is>
      </x:c>
      <x:c r="F532" s="17" t="inlineStr">
        <x:is>
          <x:t xml:space="preserve">Audio-on</x:t>
        </x:is>
      </x:c>
      <x:c r="G532" s="24" t="n">
        <x:v>20</x:v>
      </x:c>
      <x:c r="H532" s="24" t="inlineStr">
        <x:is>
          <x:t xml:space="preserve"/>
        </x:is>
      </x:c>
      <x:c r="I532" s="24" t="inlineStr">
        <x:is>
          <x:t xml:space="preserve"/>
        </x:is>
      </x:c>
      <x:c r="J532" s="24" t="inlineStr">
        <x:is>
          <x:t xml:space="preserve"/>
        </x:is>
      </x:c>
      <x:c r="K532" s="24" t="inlineStr">
        <x:is>
          <x:t xml:space="preserve"/>
        </x:is>
      </x:c>
      <x:c r="L532" s="24" t="inlineStr">
        <x:is>
          <x:t xml:space="preserve"/>
        </x:is>
      </x:c>
      <x:c r="M532" s="24" t="inlineStr">
        <x:is>
          <x:t xml:space="preserve"/>
        </x:is>
      </x:c>
      <x:c r="N532" s="24" t="inlineStr">
        <x:is>
          <x:t xml:space="preserve"/>
        </x:is>
      </x:c>
      <x:c r="O532" s="24" t="inlineStr">
        <x:is>
          <x:t xml:space="preserve"/>
        </x:is>
      </x:c>
      <x:c r="P532" s="24" t="inlineStr">
        <x:is>
          <x:t xml:space="preserve"/>
        </x:is>
      </x:c>
      <x:c r="Q532" s="24" t="inlineStr">
        <x:is>
          <x:t xml:space="preserve"/>
        </x:is>
      </x:c>
      <x:c r="R532" s="24" t="inlineStr">
        <x:is>
          <x:t xml:space="preserve"/>
        </x:is>
      </x:c>
      <x:c r="S532" s="25">
        <x:f>IF(H532="","",IFERROR(H532/G532,""))</x:f>
      </x:c>
      <x:c r="T532" s="26">
        <x:f>IF(H532="","",IFERROR((J532+K532+L532+N532)/H532,""))</x:f>
      </x:c>
      <x:c r="U532" s="25">
        <x:f>IF(COUNTA(J532:L532,N532)=0,"",IFERROR(AVERAGE(J532:L532,N532),""))</x:f>
      </x:c>
      <x:c r="V532" s="17" t="inlineStr">
        <x:is>
          <x:t xml:space="preserve"/>
        </x:is>
      </x:c>
    </x:row>
    <x:row r="533">
      <x:c r="A533" s="16" t="inlineStr">
        <x:is>
          <x:t xml:space="preserve">P045</x:t>
        </x:is>
      </x:c>
      <x:c r="B533" s="16" t="n">
        <x:v>1</x:v>
      </x:c>
      <x:c r="C533" s="16" t="inlineStr">
        <x:is>
          <x:t xml:space="preserve">V06</x:t>
        </x:is>
      </x:c>
      <x:c r="D533" s="16" t="inlineStr">
        <x:is>
          <x:t xml:space="preserve">Overload</x:t>
        </x:is>
      </x:c>
      <x:c r="E533" s="16" t="inlineStr">
        <x:is>
          <x:t xml:space="preserve">Keyword highlight</x:t>
        </x:is>
      </x:c>
      <x:c r="F533" s="16" t="inlineStr">
        <x:is>
          <x:t xml:space="preserve">Audio-on</x:t>
        </x:is>
      </x:c>
      <x:c r="G533" s="21" t="n">
        <x:v>16</x:v>
      </x:c>
      <x:c r="H533" s="21" t="inlineStr">
        <x:is>
          <x:t xml:space="preserve"/>
        </x:is>
      </x:c>
      <x:c r="I533" s="21" t="inlineStr">
        <x:is>
          <x:t xml:space="preserve"/>
        </x:is>
      </x:c>
      <x:c r="J533" s="21" t="inlineStr">
        <x:is>
          <x:t xml:space="preserve"/>
        </x:is>
      </x:c>
      <x:c r="K533" s="21" t="inlineStr">
        <x:is>
          <x:t xml:space="preserve"/>
        </x:is>
      </x:c>
      <x:c r="L533" s="21" t="inlineStr">
        <x:is>
          <x:t xml:space="preserve"/>
        </x:is>
      </x:c>
      <x:c r="M533" s="21" t="inlineStr">
        <x:is>
          <x:t xml:space="preserve"/>
        </x:is>
      </x:c>
      <x:c r="N533" s="21" t="inlineStr">
        <x:is>
          <x:t xml:space="preserve"/>
        </x:is>
      </x:c>
      <x:c r="O533" s="21" t="inlineStr">
        <x:is>
          <x:t xml:space="preserve"/>
        </x:is>
      </x:c>
      <x:c r="P533" s="21" t="inlineStr">
        <x:is>
          <x:t xml:space="preserve"/>
        </x:is>
      </x:c>
      <x:c r="Q533" s="21" t="inlineStr">
        <x:is>
          <x:t xml:space="preserve"/>
        </x:is>
      </x:c>
      <x:c r="R533" s="21" t="inlineStr">
        <x:is>
          <x:t xml:space="preserve"/>
        </x:is>
      </x:c>
      <x:c r="S533" s="22">
        <x:f>IF(H533="","",IFERROR(H533/G533,""))</x:f>
      </x:c>
      <x:c r="T533" s="23">
        <x:f>IF(H533="","",IFERROR((J533+K533+L533+N533)/H533,""))</x:f>
      </x:c>
      <x:c r="U533" s="22">
        <x:f>IF(COUNTA(J533:L533,N533)=0,"",IFERROR(AVERAGE(J533:L533,N533),""))</x:f>
      </x:c>
      <x:c r="V533" s="16" t="inlineStr">
        <x:is>
          <x:t xml:space="preserve"/>
        </x:is>
      </x:c>
    </x:row>
    <x:row r="534">
      <x:c r="A534" s="17" t="inlineStr">
        <x:is>
          <x:t xml:space="preserve">P045</x:t>
        </x:is>
      </x:c>
      <x:c r="B534" s="17" t="n">
        <x:v>2</x:v>
      </x:c>
      <x:c r="C534" s="17" t="inlineStr">
        <x:is>
          <x:t xml:space="preserve">V03</x:t>
        </x:is>
      </x:c>
      <x:c r="D534" s="17" t="inlineStr">
        <x:is>
          <x:t xml:space="preserve">Fitness</x:t>
        </x:is>
      </x:c>
      <x:c r="E534" s="17" t="inlineStr">
        <x:is>
          <x:t xml:space="preserve">BCC+</x:t>
        </x:is>
      </x:c>
      <x:c r="F534" s="17" t="inlineStr">
        <x:is>
          <x:t xml:space="preserve">Audio-on</x:t>
        </x:is>
      </x:c>
      <x:c r="G534" s="24" t="n">
        <x:v>18</x:v>
      </x:c>
      <x:c r="H534" s="24" t="inlineStr">
        <x:is>
          <x:t xml:space="preserve"/>
        </x:is>
      </x:c>
      <x:c r="I534" s="24" t="inlineStr">
        <x:is>
          <x:t xml:space="preserve"/>
        </x:is>
      </x:c>
      <x:c r="J534" s="24" t="inlineStr">
        <x:is>
          <x:t xml:space="preserve"/>
        </x:is>
      </x:c>
      <x:c r="K534" s="24" t="inlineStr">
        <x:is>
          <x:t xml:space="preserve"/>
        </x:is>
      </x:c>
      <x:c r="L534" s="24" t="inlineStr">
        <x:is>
          <x:t xml:space="preserve"/>
        </x:is>
      </x:c>
      <x:c r="M534" s="24" t="inlineStr">
        <x:is>
          <x:t xml:space="preserve"/>
        </x:is>
      </x:c>
      <x:c r="N534" s="24" t="inlineStr">
        <x:is>
          <x:t xml:space="preserve"/>
        </x:is>
      </x:c>
      <x:c r="O534" s="24" t="inlineStr">
        <x:is>
          <x:t xml:space="preserve"/>
        </x:is>
      </x:c>
      <x:c r="P534" s="24" t="inlineStr">
        <x:is>
          <x:t xml:space="preserve"/>
        </x:is>
      </x:c>
      <x:c r="Q534" s="24" t="inlineStr">
        <x:is>
          <x:t xml:space="preserve"/>
        </x:is>
      </x:c>
      <x:c r="R534" s="24" t="inlineStr">
        <x:is>
          <x:t xml:space="preserve"/>
        </x:is>
      </x:c>
      <x:c r="S534" s="25">
        <x:f>IF(H534="","",IFERROR(H534/G534,""))</x:f>
      </x:c>
      <x:c r="T534" s="26">
        <x:f>IF(H534="","",IFERROR((J534+K534+L534+N534)/H534,""))</x:f>
      </x:c>
      <x:c r="U534" s="25">
        <x:f>IF(COUNTA(J534:L534,N534)=0,"",IFERROR(AVERAGE(J534:L534,N534),""))</x:f>
      </x:c>
      <x:c r="V534" s="17" t="inlineStr">
        <x:is>
          <x:t xml:space="preserve"/>
        </x:is>
      </x:c>
    </x:row>
    <x:row r="535">
      <x:c r="A535" s="16" t="inlineStr">
        <x:is>
          <x:t xml:space="preserve">P045</x:t>
        </x:is>
      </x:c>
      <x:c r="B535" s="16" t="n">
        <x:v>3</x:v>
      </x:c>
      <x:c r="C535" s="16" t="inlineStr">
        <x:is>
          <x:t xml:space="preserve">V05</x:t>
        </x:is>
      </x:c>
      <x:c r="D535" s="16" t="inlineStr">
        <x:is>
          <x:t xml:space="preserve">Tutorial</x:t>
        </x:is>
      </x:c>
      <x:c r="E535" s="16" t="inlineStr">
        <x:is>
          <x:t xml:space="preserve">Full transcript</x:t>
        </x:is>
      </x:c>
      <x:c r="F535" s="16" t="inlineStr">
        <x:is>
          <x:t xml:space="preserve">Audio-on</x:t>
        </x:is>
      </x:c>
      <x:c r="G535" s="21" t="n">
        <x:v>20</x:v>
      </x:c>
      <x:c r="H535" s="21" t="inlineStr">
        <x:is>
          <x:t xml:space="preserve"/>
        </x:is>
      </x:c>
      <x:c r="I535" s="21" t="inlineStr">
        <x:is>
          <x:t xml:space="preserve"/>
        </x:is>
      </x:c>
      <x:c r="J535" s="21" t="inlineStr">
        <x:is>
          <x:t xml:space="preserve"/>
        </x:is>
      </x:c>
      <x:c r="K535" s="21" t="inlineStr">
        <x:is>
          <x:t xml:space="preserve"/>
        </x:is>
      </x:c>
      <x:c r="L535" s="21" t="inlineStr">
        <x:is>
          <x:t xml:space="preserve"/>
        </x:is>
      </x:c>
      <x:c r="M535" s="21" t="inlineStr">
        <x:is>
          <x:t xml:space="preserve"/>
        </x:is>
      </x:c>
      <x:c r="N535" s="21" t="inlineStr">
        <x:is>
          <x:t xml:space="preserve"/>
        </x:is>
      </x:c>
      <x:c r="O535" s="21" t="inlineStr">
        <x:is>
          <x:t xml:space="preserve"/>
        </x:is>
      </x:c>
      <x:c r="P535" s="21" t="inlineStr">
        <x:is>
          <x:t xml:space="preserve"/>
        </x:is>
      </x:c>
      <x:c r="Q535" s="21" t="inlineStr">
        <x:is>
          <x:t xml:space="preserve"/>
        </x:is>
      </x:c>
      <x:c r="R535" s="21" t="inlineStr">
        <x:is>
          <x:t xml:space="preserve"/>
        </x:is>
      </x:c>
      <x:c r="S535" s="22">
        <x:f>IF(H535="","",IFERROR(H535/G535,""))</x:f>
      </x:c>
      <x:c r="T535" s="23">
        <x:f>IF(H535="","",IFERROR((J535+K535+L535+N535)/H535,""))</x:f>
      </x:c>
      <x:c r="U535" s="22">
        <x:f>IF(COUNTA(J535:L535,N535)=0,"",IFERROR(AVERAGE(J535:L535,N535),""))</x:f>
      </x:c>
      <x:c r="V535" s="16" t="inlineStr">
        <x:is>
          <x:t xml:space="preserve"/>
        </x:is>
      </x:c>
    </x:row>
    <x:row r="536">
      <x:c r="A536" s="17" t="inlineStr">
        <x:is>
          <x:t xml:space="preserve">P045</x:t>
        </x:is>
      </x:c>
      <x:c r="B536" s="17" t="n">
        <x:v>4</x:v>
      </x:c>
      <x:c r="C536" s="17" t="inlineStr">
        <x:is>
          <x:t xml:space="preserve">V02</x:t>
        </x:is>
      </x:c>
      <x:c r="D536" s="17" t="inlineStr">
        <x:is>
          <x:t xml:space="preserve">Study</x:t>
        </x:is>
      </x:c>
      <x:c r="E536" s="17" t="inlineStr">
        <x:is>
          <x:t xml:space="preserve">BCC</x:t>
        </x:is>
      </x:c>
      <x:c r="F536" s="17" t="inlineStr">
        <x:is>
          <x:t xml:space="preserve">Audio-on</x:t>
        </x:is>
      </x:c>
      <x:c r="G536" s="24" t="n">
        <x:v>18</x:v>
      </x:c>
      <x:c r="H536" s="24" t="inlineStr">
        <x:is>
          <x:t xml:space="preserve"/>
        </x:is>
      </x:c>
      <x:c r="I536" s="24" t="inlineStr">
        <x:is>
          <x:t xml:space="preserve"/>
        </x:is>
      </x:c>
      <x:c r="J536" s="24" t="inlineStr">
        <x:is>
          <x:t xml:space="preserve"/>
        </x:is>
      </x:c>
      <x:c r="K536" s="24" t="inlineStr">
        <x:is>
          <x:t xml:space="preserve"/>
        </x:is>
      </x:c>
      <x:c r="L536" s="24" t="inlineStr">
        <x:is>
          <x:t xml:space="preserve"/>
        </x:is>
      </x:c>
      <x:c r="M536" s="24" t="inlineStr">
        <x:is>
          <x:t xml:space="preserve"/>
        </x:is>
      </x:c>
      <x:c r="N536" s="24" t="inlineStr">
        <x:is>
          <x:t xml:space="preserve"/>
        </x:is>
      </x:c>
      <x:c r="O536" s="24" t="inlineStr">
        <x:is>
          <x:t xml:space="preserve"/>
        </x:is>
      </x:c>
      <x:c r="P536" s="24" t="inlineStr">
        <x:is>
          <x:t xml:space="preserve"/>
        </x:is>
      </x:c>
      <x:c r="Q536" s="24" t="inlineStr">
        <x:is>
          <x:t xml:space="preserve"/>
        </x:is>
      </x:c>
      <x:c r="R536" s="24" t="inlineStr">
        <x:is>
          <x:t xml:space="preserve"/>
        </x:is>
      </x:c>
      <x:c r="S536" s="25">
        <x:f>IF(H536="","",IFERROR(H536/G536,""))</x:f>
      </x:c>
      <x:c r="T536" s="26">
        <x:f>IF(H536="","",IFERROR((J536+K536+L536+N536)/H536,""))</x:f>
      </x:c>
      <x:c r="U536" s="25">
        <x:f>IF(COUNTA(J536:L536,N536)=0,"",IFERROR(AVERAGE(J536:L536,N536),""))</x:f>
      </x:c>
      <x:c r="V536" s="17" t="inlineStr">
        <x:is>
          <x:t xml:space="preserve"/>
        </x:is>
      </x:c>
    </x:row>
    <x:row r="537">
      <x:c r="A537" s="16" t="inlineStr">
        <x:is>
          <x:t xml:space="preserve">P045</x:t>
        </x:is>
      </x:c>
      <x:c r="B537" s="16" t="n">
        <x:v>5</x:v>
      </x:c>
      <x:c r="C537" s="16" t="inlineStr">
        <x:is>
          <x:t xml:space="preserve">V04</x:t>
        </x:is>
      </x:c>
      <x:c r="D537" s="16" t="inlineStr">
        <x:is>
          <x:t xml:space="preserve">Finance</x:t>
        </x:is>
      </x:c>
      <x:c r="E537" s="16" t="inlineStr">
        <x:is>
          <x:t xml:space="preserve">Heavy bionic</x:t>
        </x:is>
      </x:c>
      <x:c r="F537" s="16" t="inlineStr">
        <x:is>
          <x:t xml:space="preserve">Audio-on</x:t>
        </x:is>
      </x:c>
      <x:c r="G537" s="21" t="n">
        <x:v>20</x:v>
      </x:c>
      <x:c r="H537" s="21" t="inlineStr">
        <x:is>
          <x:t xml:space="preserve"/>
        </x:is>
      </x:c>
      <x:c r="I537" s="21" t="inlineStr">
        <x:is>
          <x:t xml:space="preserve"/>
        </x:is>
      </x:c>
      <x:c r="J537" s="21" t="inlineStr">
        <x:is>
          <x:t xml:space="preserve"/>
        </x:is>
      </x:c>
      <x:c r="K537" s="21" t="inlineStr">
        <x:is>
          <x:t xml:space="preserve"/>
        </x:is>
      </x:c>
      <x:c r="L537" s="21" t="inlineStr">
        <x:is>
          <x:t xml:space="preserve"/>
        </x:is>
      </x:c>
      <x:c r="M537" s="21" t="inlineStr">
        <x:is>
          <x:t xml:space="preserve"/>
        </x:is>
      </x:c>
      <x:c r="N537" s="21" t="inlineStr">
        <x:is>
          <x:t xml:space="preserve"/>
        </x:is>
      </x:c>
      <x:c r="O537" s="21" t="inlineStr">
        <x:is>
          <x:t xml:space="preserve"/>
        </x:is>
      </x:c>
      <x:c r="P537" s="21" t="inlineStr">
        <x:is>
          <x:t xml:space="preserve"/>
        </x:is>
      </x:c>
      <x:c r="Q537" s="21" t="inlineStr">
        <x:is>
          <x:t xml:space="preserve"/>
        </x:is>
      </x:c>
      <x:c r="R537" s="21" t="inlineStr">
        <x:is>
          <x:t xml:space="preserve"/>
        </x:is>
      </x:c>
      <x:c r="S537" s="22">
        <x:f>IF(H537="","",IFERROR(H537/G537,""))</x:f>
      </x:c>
      <x:c r="T537" s="23">
        <x:f>IF(H537="","",IFERROR((J537+K537+L537+N537)/H537,""))</x:f>
      </x:c>
      <x:c r="U537" s="22">
        <x:f>IF(COUNTA(J537:L537,N537)=0,"",IFERROR(AVERAGE(J537:L537,N537),""))</x:f>
      </x:c>
      <x:c r="V537" s="16" t="inlineStr">
        <x:is>
          <x:t xml:space="preserve"/>
        </x:is>
      </x:c>
    </x:row>
    <x:row r="538">
      <x:c r="A538" s="17" t="inlineStr">
        <x:is>
          <x:t xml:space="preserve">P045</x:t>
        </x:is>
      </x:c>
      <x:c r="B538" s="17" t="n">
        <x:v>6</x:v>
      </x:c>
      <x:c r="C538" s="17" t="inlineStr">
        <x:is>
          <x:t xml:space="preserve">V12</x:t>
        </x:is>
      </x:c>
      <x:c r="D538" s="17" t="inlineStr">
        <x:is>
          <x:t xml:space="preserve">Time management</x:t>
        </x:is>
      </x:c>
      <x:c r="E538" s="17" t="inlineStr">
        <x:is>
          <x:t xml:space="preserve">Keyword highlight</x:t>
        </x:is>
      </x:c>
      <x:c r="F538" s="17" t="inlineStr">
        <x:is>
          <x:t xml:space="preserve">Audio-on</x:t>
        </x:is>
      </x:c>
      <x:c r="G538" s="24" t="n">
        <x:v>21</x:v>
      </x:c>
      <x:c r="H538" s="24" t="inlineStr">
        <x:is>
          <x:t xml:space="preserve"/>
        </x:is>
      </x:c>
      <x:c r="I538" s="24" t="inlineStr">
        <x:is>
          <x:t xml:space="preserve"/>
        </x:is>
      </x:c>
      <x:c r="J538" s="24" t="inlineStr">
        <x:is>
          <x:t xml:space="preserve"/>
        </x:is>
      </x:c>
      <x:c r="K538" s="24" t="inlineStr">
        <x:is>
          <x:t xml:space="preserve"/>
        </x:is>
      </x:c>
      <x:c r="L538" s="24" t="inlineStr">
        <x:is>
          <x:t xml:space="preserve"/>
        </x:is>
      </x:c>
      <x:c r="M538" s="24" t="inlineStr">
        <x:is>
          <x:t xml:space="preserve"/>
        </x:is>
      </x:c>
      <x:c r="N538" s="24" t="inlineStr">
        <x:is>
          <x:t xml:space="preserve"/>
        </x:is>
      </x:c>
      <x:c r="O538" s="24" t="inlineStr">
        <x:is>
          <x:t xml:space="preserve"/>
        </x:is>
      </x:c>
      <x:c r="P538" s="24" t="inlineStr">
        <x:is>
          <x:t xml:space="preserve"/>
        </x:is>
      </x:c>
      <x:c r="Q538" s="24" t="inlineStr">
        <x:is>
          <x:t xml:space="preserve"/>
        </x:is>
      </x:c>
      <x:c r="R538" s="24" t="inlineStr">
        <x:is>
          <x:t xml:space="preserve"/>
        </x:is>
      </x:c>
      <x:c r="S538" s="25">
        <x:f>IF(H538="","",IFERROR(H538/G538,""))</x:f>
      </x:c>
      <x:c r="T538" s="26">
        <x:f>IF(H538="","",IFERROR((J538+K538+L538+N538)/H538,""))</x:f>
      </x:c>
      <x:c r="U538" s="25">
        <x:f>IF(COUNTA(J538:L538,N538)=0,"",IFERROR(AVERAGE(J538:L538,N538),""))</x:f>
      </x:c>
      <x:c r="V538" s="17" t="inlineStr">
        <x:is>
          <x:t xml:space="preserve"/>
        </x:is>
      </x:c>
    </x:row>
    <x:row r="539">
      <x:c r="A539" s="16" t="inlineStr">
        <x:is>
          <x:t xml:space="preserve">P045</x:t>
        </x:is>
      </x:c>
      <x:c r="B539" s="16" t="n">
        <x:v>7</x:v>
      </x:c>
      <x:c r="C539" s="16" t="inlineStr">
        <x:is>
          <x:t xml:space="preserve">V10</x:t>
        </x:is>
      </x:c>
      <x:c r="D539" s="16" t="inlineStr">
        <x:is>
          <x:t xml:space="preserve">Product demo</x:t>
        </x:is>
      </x:c>
      <x:c r="E539" s="16" t="inlineStr">
        <x:is>
          <x:t xml:space="preserve">Heavy bionic</x:t>
        </x:is>
      </x:c>
      <x:c r="F539" s="16" t="inlineStr">
        <x:is>
          <x:t xml:space="preserve">Audio-on</x:t>
        </x:is>
      </x:c>
      <x:c r="G539" s="21" t="n">
        <x:v>15</x:v>
      </x:c>
      <x:c r="H539" s="21" t="inlineStr">
        <x:is>
          <x:t xml:space="preserve"/>
        </x:is>
      </x:c>
      <x:c r="I539" s="21" t="inlineStr">
        <x:is>
          <x:t xml:space="preserve"/>
        </x:is>
      </x:c>
      <x:c r="J539" s="21" t="inlineStr">
        <x:is>
          <x:t xml:space="preserve"/>
        </x:is>
      </x:c>
      <x:c r="K539" s="21" t="inlineStr">
        <x:is>
          <x:t xml:space="preserve"/>
        </x:is>
      </x:c>
      <x:c r="L539" s="21" t="inlineStr">
        <x:is>
          <x:t xml:space="preserve"/>
        </x:is>
      </x:c>
      <x:c r="M539" s="21" t="inlineStr">
        <x:is>
          <x:t xml:space="preserve"/>
        </x:is>
      </x:c>
      <x:c r="N539" s="21" t="inlineStr">
        <x:is>
          <x:t xml:space="preserve"/>
        </x:is>
      </x:c>
      <x:c r="O539" s="21" t="inlineStr">
        <x:is>
          <x:t xml:space="preserve"/>
        </x:is>
      </x:c>
      <x:c r="P539" s="21" t="inlineStr">
        <x:is>
          <x:t xml:space="preserve"/>
        </x:is>
      </x:c>
      <x:c r="Q539" s="21" t="inlineStr">
        <x:is>
          <x:t xml:space="preserve"/>
        </x:is>
      </x:c>
      <x:c r="R539" s="21" t="inlineStr">
        <x:is>
          <x:t xml:space="preserve"/>
        </x:is>
      </x:c>
      <x:c r="S539" s="22">
        <x:f>IF(H539="","",IFERROR(H539/G539,""))</x:f>
      </x:c>
      <x:c r="T539" s="23">
        <x:f>IF(H539="","",IFERROR((J539+K539+L539+N539)/H539,""))</x:f>
      </x:c>
      <x:c r="U539" s="22">
        <x:f>IF(COUNTA(J539:L539,N539)=0,"",IFERROR(AVERAGE(J539:L539,N539),""))</x:f>
      </x:c>
      <x:c r="V539" s="16" t="inlineStr">
        <x:is>
          <x:t xml:space="preserve"/>
        </x:is>
      </x:c>
    </x:row>
    <x:row r="540">
      <x:c r="A540" s="17" t="inlineStr">
        <x:is>
          <x:t xml:space="preserve">P045</x:t>
        </x:is>
      </x:c>
      <x:c r="B540" s="17" t="n">
        <x:v>8</x:v>
      </x:c>
      <x:c r="C540" s="17" t="inlineStr">
        <x:is>
          <x:t xml:space="preserve">V09</x:t>
        </x:is>
      </x:c>
      <x:c r="D540" s="17" t="inlineStr">
        <x:is>
          <x:t xml:space="preserve">Sleep habit</x:t>
        </x:is>
      </x:c>
      <x:c r="E540" s="17" t="inlineStr">
        <x:is>
          <x:t xml:space="preserve">BCC+</x:t>
        </x:is>
      </x:c>
      <x:c r="F540" s="17" t="inlineStr">
        <x:is>
          <x:t xml:space="preserve">Audio-on</x:t>
        </x:is>
      </x:c>
      <x:c r="G540" s="24" t="n">
        <x:v>19</x:v>
      </x:c>
      <x:c r="H540" s="24" t="inlineStr">
        <x:is>
          <x:t xml:space="preserve"/>
        </x:is>
      </x:c>
      <x:c r="I540" s="24" t="inlineStr">
        <x:is>
          <x:t xml:space="preserve"/>
        </x:is>
      </x:c>
      <x:c r="J540" s="24" t="inlineStr">
        <x:is>
          <x:t xml:space="preserve"/>
        </x:is>
      </x:c>
      <x:c r="K540" s="24" t="inlineStr">
        <x:is>
          <x:t xml:space="preserve"/>
        </x:is>
      </x:c>
      <x:c r="L540" s="24" t="inlineStr">
        <x:is>
          <x:t xml:space="preserve"/>
        </x:is>
      </x:c>
      <x:c r="M540" s="24" t="inlineStr">
        <x:is>
          <x:t xml:space="preserve"/>
        </x:is>
      </x:c>
      <x:c r="N540" s="24" t="inlineStr">
        <x:is>
          <x:t xml:space="preserve"/>
        </x:is>
      </x:c>
      <x:c r="O540" s="24" t="inlineStr">
        <x:is>
          <x:t xml:space="preserve"/>
        </x:is>
      </x:c>
      <x:c r="P540" s="24" t="inlineStr">
        <x:is>
          <x:t xml:space="preserve"/>
        </x:is>
      </x:c>
      <x:c r="Q540" s="24" t="inlineStr">
        <x:is>
          <x:t xml:space="preserve"/>
        </x:is>
      </x:c>
      <x:c r="R540" s="24" t="inlineStr">
        <x:is>
          <x:t xml:space="preserve"/>
        </x:is>
      </x:c>
      <x:c r="S540" s="25">
        <x:f>IF(H540="","",IFERROR(H540/G540,""))</x:f>
      </x:c>
      <x:c r="T540" s="26">
        <x:f>IF(H540="","",IFERROR((J540+K540+L540+N540)/H540,""))</x:f>
      </x:c>
      <x:c r="U540" s="25">
        <x:f>IF(COUNTA(J540:L540,N540)=0,"",IFERROR(AVERAGE(J540:L540,N540),""))</x:f>
      </x:c>
      <x:c r="V540" s="17" t="inlineStr">
        <x:is>
          <x:t xml:space="preserve"/>
        </x:is>
      </x:c>
    </x:row>
    <x:row r="541">
      <x:c r="A541" s="16" t="inlineStr">
        <x:is>
          <x:t xml:space="preserve">P045</x:t>
        </x:is>
      </x:c>
      <x:c r="B541" s="16" t="n">
        <x:v>9</x:v>
      </x:c>
      <x:c r="C541" s="16" t="inlineStr">
        <x:is>
          <x:t xml:space="preserve">V08</x:t>
        </x:is>
      </x:c>
      <x:c r="D541" s="16" t="inlineStr">
        <x:is>
          <x:t xml:space="preserve">Coding</x:t>
        </x:is>
      </x:c>
      <x:c r="E541" s="16" t="inlineStr">
        <x:is>
          <x:t xml:space="preserve">BCC</x:t>
        </x:is>
      </x:c>
      <x:c r="F541" s="16" t="inlineStr">
        <x:is>
          <x:t xml:space="preserve">Audio-on</x:t>
        </x:is>
      </x:c>
      <x:c r="G541" s="21" t="n">
        <x:v>24</x:v>
      </x:c>
      <x:c r="H541" s="21" t="inlineStr">
        <x:is>
          <x:t xml:space="preserve"/>
        </x:is>
      </x:c>
      <x:c r="I541" s="21" t="inlineStr">
        <x:is>
          <x:t xml:space="preserve"/>
        </x:is>
      </x:c>
      <x:c r="J541" s="21" t="inlineStr">
        <x:is>
          <x:t xml:space="preserve"/>
        </x:is>
      </x:c>
      <x:c r="K541" s="21" t="inlineStr">
        <x:is>
          <x:t xml:space="preserve"/>
        </x:is>
      </x:c>
      <x:c r="L541" s="21" t="inlineStr">
        <x:is>
          <x:t xml:space="preserve"/>
        </x:is>
      </x:c>
      <x:c r="M541" s="21" t="inlineStr">
        <x:is>
          <x:t xml:space="preserve"/>
        </x:is>
      </x:c>
      <x:c r="N541" s="21" t="inlineStr">
        <x:is>
          <x:t xml:space="preserve"/>
        </x:is>
      </x:c>
      <x:c r="O541" s="21" t="inlineStr">
        <x:is>
          <x:t xml:space="preserve"/>
        </x:is>
      </x:c>
      <x:c r="P541" s="21" t="inlineStr">
        <x:is>
          <x:t xml:space="preserve"/>
        </x:is>
      </x:c>
      <x:c r="Q541" s="21" t="inlineStr">
        <x:is>
          <x:t xml:space="preserve"/>
        </x:is>
      </x:c>
      <x:c r="R541" s="21" t="inlineStr">
        <x:is>
          <x:t xml:space="preserve"/>
        </x:is>
      </x:c>
      <x:c r="S541" s="22">
        <x:f>IF(H541="","",IFERROR(H541/G541,""))</x:f>
      </x:c>
      <x:c r="T541" s="23">
        <x:f>IF(H541="","",IFERROR((J541+K541+L541+N541)/H541,""))</x:f>
      </x:c>
      <x:c r="U541" s="22">
        <x:f>IF(COUNTA(J541:L541,N541)=0,"",IFERROR(AVERAGE(J541:L541,N541),""))</x:f>
      </x:c>
      <x:c r="V541" s="16" t="inlineStr">
        <x:is>
          <x:t xml:space="preserve"/>
        </x:is>
      </x:c>
    </x:row>
    <x:row r="542">
      <x:c r="A542" s="17" t="inlineStr">
        <x:is>
          <x:t xml:space="preserve">P045</x:t>
        </x:is>
      </x:c>
      <x:c r="B542" s="17" t="n">
        <x:v>10</x:v>
      </x:c>
      <x:c r="C542" s="17" t="inlineStr">
        <x:is>
          <x:t xml:space="preserve">V07</x:t>
        </x:is>
      </x:c>
      <x:c r="D542" s="17" t="inlineStr">
        <x:is>
          <x:t xml:space="preserve">Business</x:t>
        </x:is>
      </x:c>
      <x:c r="E542" s="17" t="inlineStr">
        <x:is>
          <x:t xml:space="preserve">Semantic compression</x:t>
        </x:is>
      </x:c>
      <x:c r="F542" s="17" t="inlineStr">
        <x:is>
          <x:t xml:space="preserve">Audio-on</x:t>
        </x:is>
      </x:c>
      <x:c r="G542" s="24" t="n">
        <x:v>18</x:v>
      </x:c>
      <x:c r="H542" s="24" t="inlineStr">
        <x:is>
          <x:t xml:space="preserve"/>
        </x:is>
      </x:c>
      <x:c r="I542" s="24" t="inlineStr">
        <x:is>
          <x:t xml:space="preserve"/>
        </x:is>
      </x:c>
      <x:c r="J542" s="24" t="inlineStr">
        <x:is>
          <x:t xml:space="preserve"/>
        </x:is>
      </x:c>
      <x:c r="K542" s="24" t="inlineStr">
        <x:is>
          <x:t xml:space="preserve"/>
        </x:is>
      </x:c>
      <x:c r="L542" s="24" t="inlineStr">
        <x:is>
          <x:t xml:space="preserve"/>
        </x:is>
      </x:c>
      <x:c r="M542" s="24" t="inlineStr">
        <x:is>
          <x:t xml:space="preserve"/>
        </x:is>
      </x:c>
      <x:c r="N542" s="24" t="inlineStr">
        <x:is>
          <x:t xml:space="preserve"/>
        </x:is>
      </x:c>
      <x:c r="O542" s="24" t="inlineStr">
        <x:is>
          <x:t xml:space="preserve"/>
        </x:is>
      </x:c>
      <x:c r="P542" s="24" t="inlineStr">
        <x:is>
          <x:t xml:space="preserve"/>
        </x:is>
      </x:c>
      <x:c r="Q542" s="24" t="inlineStr">
        <x:is>
          <x:t xml:space="preserve"/>
        </x:is>
      </x:c>
      <x:c r="R542" s="24" t="inlineStr">
        <x:is>
          <x:t xml:space="preserve"/>
        </x:is>
      </x:c>
      <x:c r="S542" s="25">
        <x:f>IF(H542="","",IFERROR(H542/G542,""))</x:f>
      </x:c>
      <x:c r="T542" s="26">
        <x:f>IF(H542="","",IFERROR((J542+K542+L542+N542)/H542,""))</x:f>
      </x:c>
      <x:c r="U542" s="25">
        <x:f>IF(COUNTA(J542:L542,N542)=0,"",IFERROR(AVERAGE(J542:L542,N542),""))</x:f>
      </x:c>
      <x:c r="V542" s="17" t="inlineStr">
        <x:is>
          <x:t xml:space="preserve"/>
        </x:is>
      </x:c>
    </x:row>
    <x:row r="543">
      <x:c r="A543" s="16" t="inlineStr">
        <x:is>
          <x:t xml:space="preserve">P045</x:t>
        </x:is>
      </x:c>
      <x:c r="B543" s="16" t="n">
        <x:v>11</x:v>
      </x:c>
      <x:c r="C543" s="16" t="inlineStr">
        <x:is>
          <x:t xml:space="preserve">V01</x:t>
        </x:is>
      </x:c>
      <x:c r="D543" s="16" t="inlineStr">
        <x:is>
          <x:t xml:space="preserve">Productivity</x:t>
        </x:is>
      </x:c>
      <x:c r="E543" s="16" t="inlineStr">
        <x:is>
          <x:t xml:space="preserve">Semantic compression</x:t>
        </x:is>
      </x:c>
      <x:c r="F543" s="16" t="inlineStr">
        <x:is>
          <x:t xml:space="preserve">Audio-on</x:t>
        </x:is>
      </x:c>
      <x:c r="G543" s="21" t="n">
        <x:v>25</x:v>
      </x:c>
      <x:c r="H543" s="21" t="inlineStr">
        <x:is>
          <x:t xml:space="preserve"/>
        </x:is>
      </x:c>
      <x:c r="I543" s="21" t="inlineStr">
        <x:is>
          <x:t xml:space="preserve"/>
        </x:is>
      </x:c>
      <x:c r="J543" s="21" t="inlineStr">
        <x:is>
          <x:t xml:space="preserve"/>
        </x:is>
      </x:c>
      <x:c r="K543" s="21" t="inlineStr">
        <x:is>
          <x:t xml:space="preserve"/>
        </x:is>
      </x:c>
      <x:c r="L543" s="21" t="inlineStr">
        <x:is>
          <x:t xml:space="preserve"/>
        </x:is>
      </x:c>
      <x:c r="M543" s="21" t="inlineStr">
        <x:is>
          <x:t xml:space="preserve"/>
        </x:is>
      </x:c>
      <x:c r="N543" s="21" t="inlineStr">
        <x:is>
          <x:t xml:space="preserve"/>
        </x:is>
      </x:c>
      <x:c r="O543" s="21" t="inlineStr">
        <x:is>
          <x:t xml:space="preserve"/>
        </x:is>
      </x:c>
      <x:c r="P543" s="21" t="inlineStr">
        <x:is>
          <x:t xml:space="preserve"/>
        </x:is>
      </x:c>
      <x:c r="Q543" s="21" t="inlineStr">
        <x:is>
          <x:t xml:space="preserve"/>
        </x:is>
      </x:c>
      <x:c r="R543" s="21" t="inlineStr">
        <x:is>
          <x:t xml:space="preserve"/>
        </x:is>
      </x:c>
      <x:c r="S543" s="22">
        <x:f>IF(H543="","",IFERROR(H543/G543,""))</x:f>
      </x:c>
      <x:c r="T543" s="23">
        <x:f>IF(H543="","",IFERROR((J543+K543+L543+N543)/H543,""))</x:f>
      </x:c>
      <x:c r="U543" s="22">
        <x:f>IF(COUNTA(J543:L543,N543)=0,"",IFERROR(AVERAGE(J543:L543,N543),""))</x:f>
      </x:c>
      <x:c r="V543" s="16" t="inlineStr">
        <x:is>
          <x:t xml:space="preserve"/>
        </x:is>
      </x:c>
    </x:row>
    <x:row r="544">
      <x:c r="A544" s="17" t="inlineStr">
        <x:is>
          <x:t xml:space="preserve">P045</x:t>
        </x:is>
      </x:c>
      <x:c r="B544" s="17" t="n">
        <x:v>12</x:v>
      </x:c>
      <x:c r="C544" s="17" t="inlineStr">
        <x:is>
          <x:t xml:space="preserve">V11</x:t>
        </x:is>
      </x:c>
      <x:c r="D544" s="17" t="inlineStr">
        <x:is>
          <x:t xml:space="preserve">Creator strategy</x:t>
        </x:is>
      </x:c>
      <x:c r="E544" s="17" t="inlineStr">
        <x:is>
          <x:t xml:space="preserve">Full transcript</x:t>
        </x:is>
      </x:c>
      <x:c r="F544" s="17" t="inlineStr">
        <x:is>
          <x:t xml:space="preserve">Audio-on</x:t>
        </x:is>
      </x:c>
      <x:c r="G544" s="24" t="n">
        <x:v>17</x:v>
      </x:c>
      <x:c r="H544" s="24" t="inlineStr">
        <x:is>
          <x:t xml:space="preserve"/>
        </x:is>
      </x:c>
      <x:c r="I544" s="24" t="inlineStr">
        <x:is>
          <x:t xml:space="preserve"/>
        </x:is>
      </x:c>
      <x:c r="J544" s="24" t="inlineStr">
        <x:is>
          <x:t xml:space="preserve"/>
        </x:is>
      </x:c>
      <x:c r="K544" s="24" t="inlineStr">
        <x:is>
          <x:t xml:space="preserve"/>
        </x:is>
      </x:c>
      <x:c r="L544" s="24" t="inlineStr">
        <x:is>
          <x:t xml:space="preserve"/>
        </x:is>
      </x:c>
      <x:c r="M544" s="24" t="inlineStr">
        <x:is>
          <x:t xml:space="preserve"/>
        </x:is>
      </x:c>
      <x:c r="N544" s="24" t="inlineStr">
        <x:is>
          <x:t xml:space="preserve"/>
        </x:is>
      </x:c>
      <x:c r="O544" s="24" t="inlineStr">
        <x:is>
          <x:t xml:space="preserve"/>
        </x:is>
      </x:c>
      <x:c r="P544" s="24" t="inlineStr">
        <x:is>
          <x:t xml:space="preserve"/>
        </x:is>
      </x:c>
      <x:c r="Q544" s="24" t="inlineStr">
        <x:is>
          <x:t xml:space="preserve"/>
        </x:is>
      </x:c>
      <x:c r="R544" s="24" t="inlineStr">
        <x:is>
          <x:t xml:space="preserve"/>
        </x:is>
      </x:c>
      <x:c r="S544" s="25">
        <x:f>IF(H544="","",IFERROR(H544/G544,""))</x:f>
      </x:c>
      <x:c r="T544" s="26">
        <x:f>IF(H544="","",IFERROR((J544+K544+L544+N544)/H544,""))</x:f>
      </x:c>
      <x:c r="U544" s="25">
        <x:f>IF(COUNTA(J544:L544,N544)=0,"",IFERROR(AVERAGE(J544:L544,N544),""))</x:f>
      </x:c>
      <x:c r="V544" s="17" t="inlineStr">
        <x:is>
          <x:t xml:space="preserve"/>
        </x:is>
      </x:c>
    </x:row>
    <x:row r="545">
      <x:c r="A545" s="16" t="inlineStr">
        <x:is>
          <x:t xml:space="preserve">P046</x:t>
        </x:is>
      </x:c>
      <x:c r="B545" s="16" t="n">
        <x:v>1</x:v>
      </x:c>
      <x:c r="C545" s="16" t="inlineStr">
        <x:is>
          <x:t xml:space="preserve">V05</x:t>
        </x:is>
      </x:c>
      <x:c r="D545" s="16" t="inlineStr">
        <x:is>
          <x:t xml:space="preserve">Tutorial</x:t>
        </x:is>
      </x:c>
      <x:c r="E545" s="16" t="inlineStr">
        <x:is>
          <x:t xml:space="preserve">Keyword highlight</x:t>
        </x:is>
      </x:c>
      <x:c r="F545" s="16" t="inlineStr">
        <x:is>
          <x:t xml:space="preserve">Audio-on</x:t>
        </x:is>
      </x:c>
      <x:c r="G545" s="21" t="n">
        <x:v>20</x:v>
      </x:c>
      <x:c r="H545" s="21" t="inlineStr">
        <x:is>
          <x:t xml:space="preserve"/>
        </x:is>
      </x:c>
      <x:c r="I545" s="21" t="inlineStr">
        <x:is>
          <x:t xml:space="preserve"/>
        </x:is>
      </x:c>
      <x:c r="J545" s="21" t="inlineStr">
        <x:is>
          <x:t xml:space="preserve"/>
        </x:is>
      </x:c>
      <x:c r="K545" s="21" t="inlineStr">
        <x:is>
          <x:t xml:space="preserve"/>
        </x:is>
      </x:c>
      <x:c r="L545" s="21" t="inlineStr">
        <x:is>
          <x:t xml:space="preserve"/>
        </x:is>
      </x:c>
      <x:c r="M545" s="21" t="inlineStr">
        <x:is>
          <x:t xml:space="preserve"/>
        </x:is>
      </x:c>
      <x:c r="N545" s="21" t="inlineStr">
        <x:is>
          <x:t xml:space="preserve"/>
        </x:is>
      </x:c>
      <x:c r="O545" s="21" t="inlineStr">
        <x:is>
          <x:t xml:space="preserve"/>
        </x:is>
      </x:c>
      <x:c r="P545" s="21" t="inlineStr">
        <x:is>
          <x:t xml:space="preserve"/>
        </x:is>
      </x:c>
      <x:c r="Q545" s="21" t="inlineStr">
        <x:is>
          <x:t xml:space="preserve"/>
        </x:is>
      </x:c>
      <x:c r="R545" s="21" t="inlineStr">
        <x:is>
          <x:t xml:space="preserve"/>
        </x:is>
      </x:c>
      <x:c r="S545" s="22">
        <x:f>IF(H545="","",IFERROR(H545/G545,""))</x:f>
      </x:c>
      <x:c r="T545" s="23">
        <x:f>IF(H545="","",IFERROR((J545+K545+L545+N545)/H545,""))</x:f>
      </x:c>
      <x:c r="U545" s="22">
        <x:f>IF(COUNTA(J545:L545,N545)=0,"",IFERROR(AVERAGE(J545:L545,N545),""))</x:f>
      </x:c>
      <x:c r="V545" s="16" t="inlineStr">
        <x:is>
          <x:t xml:space="preserve"/>
        </x:is>
      </x:c>
    </x:row>
    <x:row r="546">
      <x:c r="A546" s="17" t="inlineStr">
        <x:is>
          <x:t xml:space="preserve">P046</x:t>
        </x:is>
      </x:c>
      <x:c r="B546" s="17" t="n">
        <x:v>2</x:v>
      </x:c>
      <x:c r="C546" s="17" t="inlineStr">
        <x:is>
          <x:t xml:space="preserve">V04</x:t>
        </x:is>
      </x:c>
      <x:c r="D546" s="17" t="inlineStr">
        <x:is>
          <x:t xml:space="preserve">Finance</x:t>
        </x:is>
      </x:c>
      <x:c r="E546" s="17" t="inlineStr">
        <x:is>
          <x:t xml:space="preserve">Full transcript</x:t>
        </x:is>
      </x:c>
      <x:c r="F546" s="17" t="inlineStr">
        <x:is>
          <x:t xml:space="preserve">Audio-on</x:t>
        </x:is>
      </x:c>
      <x:c r="G546" s="24" t="n">
        <x:v>20</x:v>
      </x:c>
      <x:c r="H546" s="24" t="inlineStr">
        <x:is>
          <x:t xml:space="preserve"/>
        </x:is>
      </x:c>
      <x:c r="I546" s="24" t="inlineStr">
        <x:is>
          <x:t xml:space="preserve"/>
        </x:is>
      </x:c>
      <x:c r="J546" s="24" t="inlineStr">
        <x:is>
          <x:t xml:space="preserve"/>
        </x:is>
      </x:c>
      <x:c r="K546" s="24" t="inlineStr">
        <x:is>
          <x:t xml:space="preserve"/>
        </x:is>
      </x:c>
      <x:c r="L546" s="24" t="inlineStr">
        <x:is>
          <x:t xml:space="preserve"/>
        </x:is>
      </x:c>
      <x:c r="M546" s="24" t="inlineStr">
        <x:is>
          <x:t xml:space="preserve"/>
        </x:is>
      </x:c>
      <x:c r="N546" s="24" t="inlineStr">
        <x:is>
          <x:t xml:space="preserve"/>
        </x:is>
      </x:c>
      <x:c r="O546" s="24" t="inlineStr">
        <x:is>
          <x:t xml:space="preserve"/>
        </x:is>
      </x:c>
      <x:c r="P546" s="24" t="inlineStr">
        <x:is>
          <x:t xml:space="preserve"/>
        </x:is>
      </x:c>
      <x:c r="Q546" s="24" t="inlineStr">
        <x:is>
          <x:t xml:space="preserve"/>
        </x:is>
      </x:c>
      <x:c r="R546" s="24" t="inlineStr">
        <x:is>
          <x:t xml:space="preserve"/>
        </x:is>
      </x:c>
      <x:c r="S546" s="25">
        <x:f>IF(H546="","",IFERROR(H546/G546,""))</x:f>
      </x:c>
      <x:c r="T546" s="26">
        <x:f>IF(H546="","",IFERROR((J546+K546+L546+N546)/H546,""))</x:f>
      </x:c>
      <x:c r="U546" s="25">
        <x:f>IF(COUNTA(J546:L546,N546)=0,"",IFERROR(AVERAGE(J546:L546,N546),""))</x:f>
      </x:c>
      <x:c r="V546" s="17" t="inlineStr">
        <x:is>
          <x:t xml:space="preserve"/>
        </x:is>
      </x:c>
    </x:row>
    <x:row r="547">
      <x:c r="A547" s="16" t="inlineStr">
        <x:is>
          <x:t xml:space="preserve">P046</x:t>
        </x:is>
      </x:c>
      <x:c r="B547" s="16" t="n">
        <x:v>3</x:v>
      </x:c>
      <x:c r="C547" s="16" t="inlineStr">
        <x:is>
          <x:t xml:space="preserve">V07</x:t>
        </x:is>
      </x:c>
      <x:c r="D547" s="16" t="inlineStr">
        <x:is>
          <x:t xml:space="preserve">Business</x:t>
        </x:is>
      </x:c>
      <x:c r="E547" s="16" t="inlineStr">
        <x:is>
          <x:t xml:space="preserve">BCC</x:t>
        </x:is>
      </x:c>
      <x:c r="F547" s="16" t="inlineStr">
        <x:is>
          <x:t xml:space="preserve">Audio-on</x:t>
        </x:is>
      </x:c>
      <x:c r="G547" s="21" t="n">
        <x:v>18</x:v>
      </x:c>
      <x:c r="H547" s="21" t="inlineStr">
        <x:is>
          <x:t xml:space="preserve"/>
        </x:is>
      </x:c>
      <x:c r="I547" s="21" t="inlineStr">
        <x:is>
          <x:t xml:space="preserve"/>
        </x:is>
      </x:c>
      <x:c r="J547" s="21" t="inlineStr">
        <x:is>
          <x:t xml:space="preserve"/>
        </x:is>
      </x:c>
      <x:c r="K547" s="21" t="inlineStr">
        <x:is>
          <x:t xml:space="preserve"/>
        </x:is>
      </x:c>
      <x:c r="L547" s="21" t="inlineStr">
        <x:is>
          <x:t xml:space="preserve"/>
        </x:is>
      </x:c>
      <x:c r="M547" s="21" t="inlineStr">
        <x:is>
          <x:t xml:space="preserve"/>
        </x:is>
      </x:c>
      <x:c r="N547" s="21" t="inlineStr">
        <x:is>
          <x:t xml:space="preserve"/>
        </x:is>
      </x:c>
      <x:c r="O547" s="21" t="inlineStr">
        <x:is>
          <x:t xml:space="preserve"/>
        </x:is>
      </x:c>
      <x:c r="P547" s="21" t="inlineStr">
        <x:is>
          <x:t xml:space="preserve"/>
        </x:is>
      </x:c>
      <x:c r="Q547" s="21" t="inlineStr">
        <x:is>
          <x:t xml:space="preserve"/>
        </x:is>
      </x:c>
      <x:c r="R547" s="21" t="inlineStr">
        <x:is>
          <x:t xml:space="preserve"/>
        </x:is>
      </x:c>
      <x:c r="S547" s="22">
        <x:f>IF(H547="","",IFERROR(H547/G547,""))</x:f>
      </x:c>
      <x:c r="T547" s="23">
        <x:f>IF(H547="","",IFERROR((J547+K547+L547+N547)/H547,""))</x:f>
      </x:c>
      <x:c r="U547" s="22">
        <x:f>IF(COUNTA(J547:L547,N547)=0,"",IFERROR(AVERAGE(J547:L547,N547),""))</x:f>
      </x:c>
      <x:c r="V547" s="16" t="inlineStr">
        <x:is>
          <x:t xml:space="preserve"/>
        </x:is>
      </x:c>
    </x:row>
    <x:row r="548">
      <x:c r="A548" s="17" t="inlineStr">
        <x:is>
          <x:t xml:space="preserve">P046</x:t>
        </x:is>
      </x:c>
      <x:c r="B548" s="17" t="n">
        <x:v>4</x:v>
      </x:c>
      <x:c r="C548" s="17" t="inlineStr">
        <x:is>
          <x:t xml:space="preserve">V01</x:t>
        </x:is>
      </x:c>
      <x:c r="D548" s="17" t="inlineStr">
        <x:is>
          <x:t xml:space="preserve">Productivity</x:t>
        </x:is>
      </x:c>
      <x:c r="E548" s="17" t="inlineStr">
        <x:is>
          <x:t xml:space="preserve">BCC</x:t>
        </x:is>
      </x:c>
      <x:c r="F548" s="17" t="inlineStr">
        <x:is>
          <x:t xml:space="preserve">Audio-on</x:t>
        </x:is>
      </x:c>
      <x:c r="G548" s="24" t="n">
        <x:v>25</x:v>
      </x:c>
      <x:c r="H548" s="24" t="inlineStr">
        <x:is>
          <x:t xml:space="preserve"/>
        </x:is>
      </x:c>
      <x:c r="I548" s="24" t="inlineStr">
        <x:is>
          <x:t xml:space="preserve"/>
        </x:is>
      </x:c>
      <x:c r="J548" s="24" t="inlineStr">
        <x:is>
          <x:t xml:space="preserve"/>
        </x:is>
      </x:c>
      <x:c r="K548" s="24" t="inlineStr">
        <x:is>
          <x:t xml:space="preserve"/>
        </x:is>
      </x:c>
      <x:c r="L548" s="24" t="inlineStr">
        <x:is>
          <x:t xml:space="preserve"/>
        </x:is>
      </x:c>
      <x:c r="M548" s="24" t="inlineStr">
        <x:is>
          <x:t xml:space="preserve"/>
        </x:is>
      </x:c>
      <x:c r="N548" s="24" t="inlineStr">
        <x:is>
          <x:t xml:space="preserve"/>
        </x:is>
      </x:c>
      <x:c r="O548" s="24" t="inlineStr">
        <x:is>
          <x:t xml:space="preserve"/>
        </x:is>
      </x:c>
      <x:c r="P548" s="24" t="inlineStr">
        <x:is>
          <x:t xml:space="preserve"/>
        </x:is>
      </x:c>
      <x:c r="Q548" s="24" t="inlineStr">
        <x:is>
          <x:t xml:space="preserve"/>
        </x:is>
      </x:c>
      <x:c r="R548" s="24" t="inlineStr">
        <x:is>
          <x:t xml:space="preserve"/>
        </x:is>
      </x:c>
      <x:c r="S548" s="25">
        <x:f>IF(H548="","",IFERROR(H548/G548,""))</x:f>
      </x:c>
      <x:c r="T548" s="26">
        <x:f>IF(H548="","",IFERROR((J548+K548+L548+N548)/H548,""))</x:f>
      </x:c>
      <x:c r="U548" s="25">
        <x:f>IF(COUNTA(J548:L548,N548)=0,"",IFERROR(AVERAGE(J548:L548,N548),""))</x:f>
      </x:c>
      <x:c r="V548" s="17" t="inlineStr">
        <x:is>
          <x:t xml:space="preserve"/>
        </x:is>
      </x:c>
    </x:row>
    <x:row r="549">
      <x:c r="A549" s="16" t="inlineStr">
        <x:is>
          <x:t xml:space="preserve">P046</x:t>
        </x:is>
      </x:c>
      <x:c r="B549" s="16" t="n">
        <x:v>5</x:v>
      </x:c>
      <x:c r="C549" s="16" t="inlineStr">
        <x:is>
          <x:t xml:space="preserve">V11</x:t>
        </x:is>
      </x:c>
      <x:c r="D549" s="16" t="inlineStr">
        <x:is>
          <x:t xml:space="preserve">Creator strategy</x:t>
        </x:is>
      </x:c>
      <x:c r="E549" s="16" t="inlineStr">
        <x:is>
          <x:t xml:space="preserve">Keyword highlight</x:t>
        </x:is>
      </x:c>
      <x:c r="F549" s="16" t="inlineStr">
        <x:is>
          <x:t xml:space="preserve">Audio-on</x:t>
        </x:is>
      </x:c>
      <x:c r="G549" s="21" t="n">
        <x:v>17</x:v>
      </x:c>
      <x:c r="H549" s="21" t="inlineStr">
        <x:is>
          <x:t xml:space="preserve"/>
        </x:is>
      </x:c>
      <x:c r="I549" s="21" t="inlineStr">
        <x:is>
          <x:t xml:space="preserve"/>
        </x:is>
      </x:c>
      <x:c r="J549" s="21" t="inlineStr">
        <x:is>
          <x:t xml:space="preserve"/>
        </x:is>
      </x:c>
      <x:c r="K549" s="21" t="inlineStr">
        <x:is>
          <x:t xml:space="preserve"/>
        </x:is>
      </x:c>
      <x:c r="L549" s="21" t="inlineStr">
        <x:is>
          <x:t xml:space="preserve"/>
        </x:is>
      </x:c>
      <x:c r="M549" s="21" t="inlineStr">
        <x:is>
          <x:t xml:space="preserve"/>
        </x:is>
      </x:c>
      <x:c r="N549" s="21" t="inlineStr">
        <x:is>
          <x:t xml:space="preserve"/>
        </x:is>
      </x:c>
      <x:c r="O549" s="21" t="inlineStr">
        <x:is>
          <x:t xml:space="preserve"/>
        </x:is>
      </x:c>
      <x:c r="P549" s="21" t="inlineStr">
        <x:is>
          <x:t xml:space="preserve"/>
        </x:is>
      </x:c>
      <x:c r="Q549" s="21" t="inlineStr">
        <x:is>
          <x:t xml:space="preserve"/>
        </x:is>
      </x:c>
      <x:c r="R549" s="21" t="inlineStr">
        <x:is>
          <x:t xml:space="preserve"/>
        </x:is>
      </x:c>
      <x:c r="S549" s="22">
        <x:f>IF(H549="","",IFERROR(H549/G549,""))</x:f>
      </x:c>
      <x:c r="T549" s="23">
        <x:f>IF(H549="","",IFERROR((J549+K549+L549+N549)/H549,""))</x:f>
      </x:c>
      <x:c r="U549" s="22">
        <x:f>IF(COUNTA(J549:L549,N549)=0,"",IFERROR(AVERAGE(J549:L549,N549),""))</x:f>
      </x:c>
      <x:c r="V549" s="16" t="inlineStr">
        <x:is>
          <x:t xml:space="preserve"/>
        </x:is>
      </x:c>
    </x:row>
    <x:row r="550">
      <x:c r="A550" s="17" t="inlineStr">
        <x:is>
          <x:t xml:space="preserve">P046</x:t>
        </x:is>
      </x:c>
      <x:c r="B550" s="17" t="n">
        <x:v>6</x:v>
      </x:c>
      <x:c r="C550" s="17" t="inlineStr">
        <x:is>
          <x:t xml:space="preserve">V09</x:t>
        </x:is>
      </x:c>
      <x:c r="D550" s="17" t="inlineStr">
        <x:is>
          <x:t xml:space="preserve">Sleep habit</x:t>
        </x:is>
      </x:c>
      <x:c r="E550" s="17" t="inlineStr">
        <x:is>
          <x:t xml:space="preserve">Heavy bionic</x:t>
        </x:is>
      </x:c>
      <x:c r="F550" s="17" t="inlineStr">
        <x:is>
          <x:t xml:space="preserve">Audio-on</x:t>
        </x:is>
      </x:c>
      <x:c r="G550" s="24" t="n">
        <x:v>19</x:v>
      </x:c>
      <x:c r="H550" s="24" t="inlineStr">
        <x:is>
          <x:t xml:space="preserve"/>
        </x:is>
      </x:c>
      <x:c r="I550" s="24" t="inlineStr">
        <x:is>
          <x:t xml:space="preserve"/>
        </x:is>
      </x:c>
      <x:c r="J550" s="24" t="inlineStr">
        <x:is>
          <x:t xml:space="preserve"/>
        </x:is>
      </x:c>
      <x:c r="K550" s="24" t="inlineStr">
        <x:is>
          <x:t xml:space="preserve"/>
        </x:is>
      </x:c>
      <x:c r="L550" s="24" t="inlineStr">
        <x:is>
          <x:t xml:space="preserve"/>
        </x:is>
      </x:c>
      <x:c r="M550" s="24" t="inlineStr">
        <x:is>
          <x:t xml:space="preserve"/>
        </x:is>
      </x:c>
      <x:c r="N550" s="24" t="inlineStr">
        <x:is>
          <x:t xml:space="preserve"/>
        </x:is>
      </x:c>
      <x:c r="O550" s="24" t="inlineStr">
        <x:is>
          <x:t xml:space="preserve"/>
        </x:is>
      </x:c>
      <x:c r="P550" s="24" t="inlineStr">
        <x:is>
          <x:t xml:space="preserve"/>
        </x:is>
      </x:c>
      <x:c r="Q550" s="24" t="inlineStr">
        <x:is>
          <x:t xml:space="preserve"/>
        </x:is>
      </x:c>
      <x:c r="R550" s="24" t="inlineStr">
        <x:is>
          <x:t xml:space="preserve"/>
        </x:is>
      </x:c>
      <x:c r="S550" s="25">
        <x:f>IF(H550="","",IFERROR(H550/G550,""))</x:f>
      </x:c>
      <x:c r="T550" s="26">
        <x:f>IF(H550="","",IFERROR((J550+K550+L550+N550)/H550,""))</x:f>
      </x:c>
      <x:c r="U550" s="25">
        <x:f>IF(COUNTA(J550:L550,N550)=0,"",IFERROR(AVERAGE(J550:L550,N550),""))</x:f>
      </x:c>
      <x:c r="V550" s="17" t="inlineStr">
        <x:is>
          <x:t xml:space="preserve"/>
        </x:is>
      </x:c>
    </x:row>
    <x:row r="551">
      <x:c r="A551" s="16" t="inlineStr">
        <x:is>
          <x:t xml:space="preserve">P046</x:t>
        </x:is>
      </x:c>
      <x:c r="B551" s="16" t="n">
        <x:v>7</x:v>
      </x:c>
      <x:c r="C551" s="16" t="inlineStr">
        <x:is>
          <x:t xml:space="preserve">V03</x:t>
        </x:is>
      </x:c>
      <x:c r="D551" s="16" t="inlineStr">
        <x:is>
          <x:t xml:space="preserve">Fitness</x:t>
        </x:is>
      </x:c>
      <x:c r="E551" s="16" t="inlineStr">
        <x:is>
          <x:t xml:space="preserve">Heavy bionic</x:t>
        </x:is>
      </x:c>
      <x:c r="F551" s="16" t="inlineStr">
        <x:is>
          <x:t xml:space="preserve">Audio-on</x:t>
        </x:is>
      </x:c>
      <x:c r="G551" s="21" t="n">
        <x:v>18</x:v>
      </x:c>
      <x:c r="H551" s="21" t="inlineStr">
        <x:is>
          <x:t xml:space="preserve"/>
        </x:is>
      </x:c>
      <x:c r="I551" s="21" t="inlineStr">
        <x:is>
          <x:t xml:space="preserve"/>
        </x:is>
      </x:c>
      <x:c r="J551" s="21" t="inlineStr">
        <x:is>
          <x:t xml:space="preserve"/>
        </x:is>
      </x:c>
      <x:c r="K551" s="21" t="inlineStr">
        <x:is>
          <x:t xml:space="preserve"/>
        </x:is>
      </x:c>
      <x:c r="L551" s="21" t="inlineStr">
        <x:is>
          <x:t xml:space="preserve"/>
        </x:is>
      </x:c>
      <x:c r="M551" s="21" t="inlineStr">
        <x:is>
          <x:t xml:space="preserve"/>
        </x:is>
      </x:c>
      <x:c r="N551" s="21" t="inlineStr">
        <x:is>
          <x:t xml:space="preserve"/>
        </x:is>
      </x:c>
      <x:c r="O551" s="21" t="inlineStr">
        <x:is>
          <x:t xml:space="preserve"/>
        </x:is>
      </x:c>
      <x:c r="P551" s="21" t="inlineStr">
        <x:is>
          <x:t xml:space="preserve"/>
        </x:is>
      </x:c>
      <x:c r="Q551" s="21" t="inlineStr">
        <x:is>
          <x:t xml:space="preserve"/>
        </x:is>
      </x:c>
      <x:c r="R551" s="21" t="inlineStr">
        <x:is>
          <x:t xml:space="preserve"/>
        </x:is>
      </x:c>
      <x:c r="S551" s="22">
        <x:f>IF(H551="","",IFERROR(H551/G551,""))</x:f>
      </x:c>
      <x:c r="T551" s="23">
        <x:f>IF(H551="","",IFERROR((J551+K551+L551+N551)/H551,""))</x:f>
      </x:c>
      <x:c r="U551" s="22">
        <x:f>IF(COUNTA(J551:L551,N551)=0,"",IFERROR(AVERAGE(J551:L551,N551),""))</x:f>
      </x:c>
      <x:c r="V551" s="16" t="inlineStr">
        <x:is>
          <x:t xml:space="preserve"/>
        </x:is>
      </x:c>
    </x:row>
    <x:row r="552">
      <x:c r="A552" s="17" t="inlineStr">
        <x:is>
          <x:t xml:space="preserve">P046</x:t>
        </x:is>
      </x:c>
      <x:c r="B552" s="17" t="n">
        <x:v>8</x:v>
      </x:c>
      <x:c r="C552" s="17" t="inlineStr">
        <x:is>
          <x:t xml:space="preserve">V06</x:t>
        </x:is>
      </x:c>
      <x:c r="D552" s="17" t="inlineStr">
        <x:is>
          <x:t xml:space="preserve">Overload</x:t>
        </x:is>
      </x:c>
      <x:c r="E552" s="17" t="inlineStr">
        <x:is>
          <x:t xml:space="preserve">Semantic compression</x:t>
        </x:is>
      </x:c>
      <x:c r="F552" s="17" t="inlineStr">
        <x:is>
          <x:t xml:space="preserve">Audio-on</x:t>
        </x:is>
      </x:c>
      <x:c r="G552" s="24" t="n">
        <x:v>16</x:v>
      </x:c>
      <x:c r="H552" s="24" t="inlineStr">
        <x:is>
          <x:t xml:space="preserve"/>
        </x:is>
      </x:c>
      <x:c r="I552" s="24" t="inlineStr">
        <x:is>
          <x:t xml:space="preserve"/>
        </x:is>
      </x:c>
      <x:c r="J552" s="24" t="inlineStr">
        <x:is>
          <x:t xml:space="preserve"/>
        </x:is>
      </x:c>
      <x:c r="K552" s="24" t="inlineStr">
        <x:is>
          <x:t xml:space="preserve"/>
        </x:is>
      </x:c>
      <x:c r="L552" s="24" t="inlineStr">
        <x:is>
          <x:t xml:space="preserve"/>
        </x:is>
      </x:c>
      <x:c r="M552" s="24" t="inlineStr">
        <x:is>
          <x:t xml:space="preserve"/>
        </x:is>
      </x:c>
      <x:c r="N552" s="24" t="inlineStr">
        <x:is>
          <x:t xml:space="preserve"/>
        </x:is>
      </x:c>
      <x:c r="O552" s="24" t="inlineStr">
        <x:is>
          <x:t xml:space="preserve"/>
        </x:is>
      </x:c>
      <x:c r="P552" s="24" t="inlineStr">
        <x:is>
          <x:t xml:space="preserve"/>
        </x:is>
      </x:c>
      <x:c r="Q552" s="24" t="inlineStr">
        <x:is>
          <x:t xml:space="preserve"/>
        </x:is>
      </x:c>
      <x:c r="R552" s="24" t="inlineStr">
        <x:is>
          <x:t xml:space="preserve"/>
        </x:is>
      </x:c>
      <x:c r="S552" s="25">
        <x:f>IF(H552="","",IFERROR(H552/G552,""))</x:f>
      </x:c>
      <x:c r="T552" s="26">
        <x:f>IF(H552="","",IFERROR((J552+K552+L552+N552)/H552,""))</x:f>
      </x:c>
      <x:c r="U552" s="25">
        <x:f>IF(COUNTA(J552:L552,N552)=0,"",IFERROR(AVERAGE(J552:L552,N552),""))</x:f>
      </x:c>
      <x:c r="V552" s="17" t="inlineStr">
        <x:is>
          <x:t xml:space="preserve"/>
        </x:is>
      </x:c>
    </x:row>
    <x:row r="553">
      <x:c r="A553" s="16" t="inlineStr">
        <x:is>
          <x:t xml:space="preserve">P046</x:t>
        </x:is>
      </x:c>
      <x:c r="B553" s="16" t="n">
        <x:v>9</x:v>
      </x:c>
      <x:c r="C553" s="16" t="inlineStr">
        <x:is>
          <x:t xml:space="preserve">V02</x:t>
        </x:is>
      </x:c>
      <x:c r="D553" s="16" t="inlineStr">
        <x:is>
          <x:t xml:space="preserve">Study</x:t>
        </x:is>
      </x:c>
      <x:c r="E553" s="16" t="inlineStr">
        <x:is>
          <x:t xml:space="preserve">BCC+</x:t>
        </x:is>
      </x:c>
      <x:c r="F553" s="16" t="inlineStr">
        <x:is>
          <x:t xml:space="preserve">Audio-on</x:t>
        </x:is>
      </x:c>
      <x:c r="G553" s="21" t="n">
        <x:v>18</x:v>
      </x:c>
      <x:c r="H553" s="21" t="inlineStr">
        <x:is>
          <x:t xml:space="preserve"/>
        </x:is>
      </x:c>
      <x:c r="I553" s="21" t="inlineStr">
        <x:is>
          <x:t xml:space="preserve"/>
        </x:is>
      </x:c>
      <x:c r="J553" s="21" t="inlineStr">
        <x:is>
          <x:t xml:space="preserve"/>
        </x:is>
      </x:c>
      <x:c r="K553" s="21" t="inlineStr">
        <x:is>
          <x:t xml:space="preserve"/>
        </x:is>
      </x:c>
      <x:c r="L553" s="21" t="inlineStr">
        <x:is>
          <x:t xml:space="preserve"/>
        </x:is>
      </x:c>
      <x:c r="M553" s="21" t="inlineStr">
        <x:is>
          <x:t xml:space="preserve"/>
        </x:is>
      </x:c>
      <x:c r="N553" s="21" t="inlineStr">
        <x:is>
          <x:t xml:space="preserve"/>
        </x:is>
      </x:c>
      <x:c r="O553" s="21" t="inlineStr">
        <x:is>
          <x:t xml:space="preserve"/>
        </x:is>
      </x:c>
      <x:c r="P553" s="21" t="inlineStr">
        <x:is>
          <x:t xml:space="preserve"/>
        </x:is>
      </x:c>
      <x:c r="Q553" s="21" t="inlineStr">
        <x:is>
          <x:t xml:space="preserve"/>
        </x:is>
      </x:c>
      <x:c r="R553" s="21" t="inlineStr">
        <x:is>
          <x:t xml:space="preserve"/>
        </x:is>
      </x:c>
      <x:c r="S553" s="22">
        <x:f>IF(H553="","",IFERROR(H553/G553,""))</x:f>
      </x:c>
      <x:c r="T553" s="23">
        <x:f>IF(H553="","",IFERROR((J553+K553+L553+N553)/H553,""))</x:f>
      </x:c>
      <x:c r="U553" s="22">
        <x:f>IF(COUNTA(J553:L553,N553)=0,"",IFERROR(AVERAGE(J553:L553,N553),""))</x:f>
      </x:c>
      <x:c r="V553" s="16" t="inlineStr">
        <x:is>
          <x:t xml:space="preserve"/>
        </x:is>
      </x:c>
    </x:row>
    <x:row r="554">
      <x:c r="A554" s="17" t="inlineStr">
        <x:is>
          <x:t xml:space="preserve">P046</x:t>
        </x:is>
      </x:c>
      <x:c r="B554" s="17" t="n">
        <x:v>10</x:v>
      </x:c>
      <x:c r="C554" s="17" t="inlineStr">
        <x:is>
          <x:t xml:space="preserve">V12</x:t>
        </x:is>
      </x:c>
      <x:c r="D554" s="17" t="inlineStr">
        <x:is>
          <x:t xml:space="preserve">Time management</x:t>
        </x:is>
      </x:c>
      <x:c r="E554" s="17" t="inlineStr">
        <x:is>
          <x:t xml:space="preserve">Semantic compression</x:t>
        </x:is>
      </x:c>
      <x:c r="F554" s="17" t="inlineStr">
        <x:is>
          <x:t xml:space="preserve">Audio-on</x:t>
        </x:is>
      </x:c>
      <x:c r="G554" s="24" t="n">
        <x:v>21</x:v>
      </x:c>
      <x:c r="H554" s="24" t="inlineStr">
        <x:is>
          <x:t xml:space="preserve"/>
        </x:is>
      </x:c>
      <x:c r="I554" s="24" t="inlineStr">
        <x:is>
          <x:t xml:space="preserve"/>
        </x:is>
      </x:c>
      <x:c r="J554" s="24" t="inlineStr">
        <x:is>
          <x:t xml:space="preserve"/>
        </x:is>
      </x:c>
      <x:c r="K554" s="24" t="inlineStr">
        <x:is>
          <x:t xml:space="preserve"/>
        </x:is>
      </x:c>
      <x:c r="L554" s="24" t="inlineStr">
        <x:is>
          <x:t xml:space="preserve"/>
        </x:is>
      </x:c>
      <x:c r="M554" s="24" t="inlineStr">
        <x:is>
          <x:t xml:space="preserve"/>
        </x:is>
      </x:c>
      <x:c r="N554" s="24" t="inlineStr">
        <x:is>
          <x:t xml:space="preserve"/>
        </x:is>
      </x:c>
      <x:c r="O554" s="24" t="inlineStr">
        <x:is>
          <x:t xml:space="preserve"/>
        </x:is>
      </x:c>
      <x:c r="P554" s="24" t="inlineStr">
        <x:is>
          <x:t xml:space="preserve"/>
        </x:is>
      </x:c>
      <x:c r="Q554" s="24" t="inlineStr">
        <x:is>
          <x:t xml:space="preserve"/>
        </x:is>
      </x:c>
      <x:c r="R554" s="24" t="inlineStr">
        <x:is>
          <x:t xml:space="preserve"/>
        </x:is>
      </x:c>
      <x:c r="S554" s="25">
        <x:f>IF(H554="","",IFERROR(H554/G554,""))</x:f>
      </x:c>
      <x:c r="T554" s="26">
        <x:f>IF(H554="","",IFERROR((J554+K554+L554+N554)/H554,""))</x:f>
      </x:c>
      <x:c r="U554" s="25">
        <x:f>IF(COUNTA(J554:L554,N554)=0,"",IFERROR(AVERAGE(J554:L554,N554),""))</x:f>
      </x:c>
      <x:c r="V554" s="17" t="inlineStr">
        <x:is>
          <x:t xml:space="preserve"/>
        </x:is>
      </x:c>
    </x:row>
    <x:row r="555">
      <x:c r="A555" s="16" t="inlineStr">
        <x:is>
          <x:t xml:space="preserve">P046</x:t>
        </x:is>
      </x:c>
      <x:c r="B555" s="16" t="n">
        <x:v>11</x:v>
      </x:c>
      <x:c r="C555" s="16" t="inlineStr">
        <x:is>
          <x:t xml:space="preserve">V10</x:t>
        </x:is>
      </x:c>
      <x:c r="D555" s="16" t="inlineStr">
        <x:is>
          <x:t xml:space="preserve">Product demo</x:t>
        </x:is>
      </x:c>
      <x:c r="E555" s="16" t="inlineStr">
        <x:is>
          <x:t xml:space="preserve">Full transcript</x:t>
        </x:is>
      </x:c>
      <x:c r="F555" s="16" t="inlineStr">
        <x:is>
          <x:t xml:space="preserve">Audio-on</x:t>
        </x:is>
      </x:c>
      <x:c r="G555" s="21" t="n">
        <x:v>15</x:v>
      </x:c>
      <x:c r="H555" s="21" t="inlineStr">
        <x:is>
          <x:t xml:space="preserve"/>
        </x:is>
      </x:c>
      <x:c r="I555" s="21" t="inlineStr">
        <x:is>
          <x:t xml:space="preserve"/>
        </x:is>
      </x:c>
      <x:c r="J555" s="21" t="inlineStr">
        <x:is>
          <x:t xml:space="preserve"/>
        </x:is>
      </x:c>
      <x:c r="K555" s="21" t="inlineStr">
        <x:is>
          <x:t xml:space="preserve"/>
        </x:is>
      </x:c>
      <x:c r="L555" s="21" t="inlineStr">
        <x:is>
          <x:t xml:space="preserve"/>
        </x:is>
      </x:c>
      <x:c r="M555" s="21" t="inlineStr">
        <x:is>
          <x:t xml:space="preserve"/>
        </x:is>
      </x:c>
      <x:c r="N555" s="21" t="inlineStr">
        <x:is>
          <x:t xml:space="preserve"/>
        </x:is>
      </x:c>
      <x:c r="O555" s="21" t="inlineStr">
        <x:is>
          <x:t xml:space="preserve"/>
        </x:is>
      </x:c>
      <x:c r="P555" s="21" t="inlineStr">
        <x:is>
          <x:t xml:space="preserve"/>
        </x:is>
      </x:c>
      <x:c r="Q555" s="21" t="inlineStr">
        <x:is>
          <x:t xml:space="preserve"/>
        </x:is>
      </x:c>
      <x:c r="R555" s="21" t="inlineStr">
        <x:is>
          <x:t xml:space="preserve"/>
        </x:is>
      </x:c>
      <x:c r="S555" s="22">
        <x:f>IF(H555="","",IFERROR(H555/G555,""))</x:f>
      </x:c>
      <x:c r="T555" s="23">
        <x:f>IF(H555="","",IFERROR((J555+K555+L555+N555)/H555,""))</x:f>
      </x:c>
      <x:c r="U555" s="22">
        <x:f>IF(COUNTA(J555:L555,N555)=0,"",IFERROR(AVERAGE(J555:L555,N555),""))</x:f>
      </x:c>
      <x:c r="V555" s="16" t="inlineStr">
        <x:is>
          <x:t xml:space="preserve"/>
        </x:is>
      </x:c>
    </x:row>
    <x:row r="556">
      <x:c r="A556" s="17" t="inlineStr">
        <x:is>
          <x:t xml:space="preserve">P046</x:t>
        </x:is>
      </x:c>
      <x:c r="B556" s="17" t="n">
        <x:v>12</x:v>
      </x:c>
      <x:c r="C556" s="17" t="inlineStr">
        <x:is>
          <x:t xml:space="preserve">V08</x:t>
        </x:is>
      </x:c>
      <x:c r="D556" s="17" t="inlineStr">
        <x:is>
          <x:t xml:space="preserve">Coding</x:t>
        </x:is>
      </x:c>
      <x:c r="E556" s="17" t="inlineStr">
        <x:is>
          <x:t xml:space="preserve">BCC+</x:t>
        </x:is>
      </x:c>
      <x:c r="F556" s="17" t="inlineStr">
        <x:is>
          <x:t xml:space="preserve">Audio-on</x:t>
        </x:is>
      </x:c>
      <x:c r="G556" s="24" t="n">
        <x:v>24</x:v>
      </x:c>
      <x:c r="H556" s="24" t="inlineStr">
        <x:is>
          <x:t xml:space="preserve"/>
        </x:is>
      </x:c>
      <x:c r="I556" s="24" t="inlineStr">
        <x:is>
          <x:t xml:space="preserve"/>
        </x:is>
      </x:c>
      <x:c r="J556" s="24" t="inlineStr">
        <x:is>
          <x:t xml:space="preserve"/>
        </x:is>
      </x:c>
      <x:c r="K556" s="24" t="inlineStr">
        <x:is>
          <x:t xml:space="preserve"/>
        </x:is>
      </x:c>
      <x:c r="L556" s="24" t="inlineStr">
        <x:is>
          <x:t xml:space="preserve"/>
        </x:is>
      </x:c>
      <x:c r="M556" s="24" t="inlineStr">
        <x:is>
          <x:t xml:space="preserve"/>
        </x:is>
      </x:c>
      <x:c r="N556" s="24" t="inlineStr">
        <x:is>
          <x:t xml:space="preserve"/>
        </x:is>
      </x:c>
      <x:c r="O556" s="24" t="inlineStr">
        <x:is>
          <x:t xml:space="preserve"/>
        </x:is>
      </x:c>
      <x:c r="P556" s="24" t="inlineStr">
        <x:is>
          <x:t xml:space="preserve"/>
        </x:is>
      </x:c>
      <x:c r="Q556" s="24" t="inlineStr">
        <x:is>
          <x:t xml:space="preserve"/>
        </x:is>
      </x:c>
      <x:c r="R556" s="24" t="inlineStr">
        <x:is>
          <x:t xml:space="preserve"/>
        </x:is>
      </x:c>
      <x:c r="S556" s="25">
        <x:f>IF(H556="","",IFERROR(H556/G556,""))</x:f>
      </x:c>
      <x:c r="T556" s="26">
        <x:f>IF(H556="","",IFERROR((J556+K556+L556+N556)/H556,""))</x:f>
      </x:c>
      <x:c r="U556" s="25">
        <x:f>IF(COUNTA(J556:L556,N556)=0,"",IFERROR(AVERAGE(J556:L556,N556),""))</x:f>
      </x:c>
      <x:c r="V556" s="17" t="inlineStr">
        <x:is>
          <x:t xml:space="preserve"/>
        </x:is>
      </x:c>
    </x:row>
    <x:row r="557">
      <x:c r="A557" s="16" t="inlineStr">
        <x:is>
          <x:t xml:space="preserve">P047</x:t>
        </x:is>
      </x:c>
      <x:c r="B557" s="16" t="n">
        <x:v>1</x:v>
      </x:c>
      <x:c r="C557" s="16" t="inlineStr">
        <x:is>
          <x:t xml:space="preserve">V09</x:t>
        </x:is>
      </x:c>
      <x:c r="D557" s="16" t="inlineStr">
        <x:is>
          <x:t xml:space="preserve">Sleep habit</x:t>
        </x:is>
      </x:c>
      <x:c r="E557" s="16" t="inlineStr">
        <x:is>
          <x:t xml:space="preserve">Full transcript</x:t>
        </x:is>
      </x:c>
      <x:c r="F557" s="16" t="inlineStr">
        <x:is>
          <x:t xml:space="preserve">Audio-on</x:t>
        </x:is>
      </x:c>
      <x:c r="G557" s="21" t="n">
        <x:v>19</x:v>
      </x:c>
      <x:c r="H557" s="21" t="inlineStr">
        <x:is>
          <x:t xml:space="preserve"/>
        </x:is>
      </x:c>
      <x:c r="I557" s="21" t="inlineStr">
        <x:is>
          <x:t xml:space="preserve"/>
        </x:is>
      </x:c>
      <x:c r="J557" s="21" t="inlineStr">
        <x:is>
          <x:t xml:space="preserve"/>
        </x:is>
      </x:c>
      <x:c r="K557" s="21" t="inlineStr">
        <x:is>
          <x:t xml:space="preserve"/>
        </x:is>
      </x:c>
      <x:c r="L557" s="21" t="inlineStr">
        <x:is>
          <x:t xml:space="preserve"/>
        </x:is>
      </x:c>
      <x:c r="M557" s="21" t="inlineStr">
        <x:is>
          <x:t xml:space="preserve"/>
        </x:is>
      </x:c>
      <x:c r="N557" s="21" t="inlineStr">
        <x:is>
          <x:t xml:space="preserve"/>
        </x:is>
      </x:c>
      <x:c r="O557" s="21" t="inlineStr">
        <x:is>
          <x:t xml:space="preserve"/>
        </x:is>
      </x:c>
      <x:c r="P557" s="21" t="inlineStr">
        <x:is>
          <x:t xml:space="preserve"/>
        </x:is>
      </x:c>
      <x:c r="Q557" s="21" t="inlineStr">
        <x:is>
          <x:t xml:space="preserve"/>
        </x:is>
      </x:c>
      <x:c r="R557" s="21" t="inlineStr">
        <x:is>
          <x:t xml:space="preserve"/>
        </x:is>
      </x:c>
      <x:c r="S557" s="22">
        <x:f>IF(H557="","",IFERROR(H557/G557,""))</x:f>
      </x:c>
      <x:c r="T557" s="23">
        <x:f>IF(H557="","",IFERROR((J557+K557+L557+N557)/H557,""))</x:f>
      </x:c>
      <x:c r="U557" s="22">
        <x:f>IF(COUNTA(J557:L557,N557)=0,"",IFERROR(AVERAGE(J557:L557,N557),""))</x:f>
      </x:c>
      <x:c r="V557" s="16" t="inlineStr">
        <x:is>
          <x:t xml:space="preserve"/>
        </x:is>
      </x:c>
    </x:row>
    <x:row r="558">
      <x:c r="A558" s="17" t="inlineStr">
        <x:is>
          <x:t xml:space="preserve">P047</x:t>
        </x:is>
      </x:c>
      <x:c r="B558" s="17" t="n">
        <x:v>2</x:v>
      </x:c>
      <x:c r="C558" s="17" t="inlineStr">
        <x:is>
          <x:t xml:space="preserve">V01</x:t>
        </x:is>
      </x:c>
      <x:c r="D558" s="17" t="inlineStr">
        <x:is>
          <x:t xml:space="preserve">Productivity</x:t>
        </x:is>
      </x:c>
      <x:c r="E558" s="17" t="inlineStr">
        <x:is>
          <x:t xml:space="preserve">BCC+</x:t>
        </x:is>
      </x:c>
      <x:c r="F558" s="17" t="inlineStr">
        <x:is>
          <x:t xml:space="preserve">Audio-on</x:t>
        </x:is>
      </x:c>
      <x:c r="G558" s="24" t="n">
        <x:v>25</x:v>
      </x:c>
      <x:c r="H558" s="24" t="inlineStr">
        <x:is>
          <x:t xml:space="preserve"/>
        </x:is>
      </x:c>
      <x:c r="I558" s="24" t="inlineStr">
        <x:is>
          <x:t xml:space="preserve"/>
        </x:is>
      </x:c>
      <x:c r="J558" s="24" t="inlineStr">
        <x:is>
          <x:t xml:space="preserve"/>
        </x:is>
      </x:c>
      <x:c r="K558" s="24" t="inlineStr">
        <x:is>
          <x:t xml:space="preserve"/>
        </x:is>
      </x:c>
      <x:c r="L558" s="24" t="inlineStr">
        <x:is>
          <x:t xml:space="preserve"/>
        </x:is>
      </x:c>
      <x:c r="M558" s="24" t="inlineStr">
        <x:is>
          <x:t xml:space="preserve"/>
        </x:is>
      </x:c>
      <x:c r="N558" s="24" t="inlineStr">
        <x:is>
          <x:t xml:space="preserve"/>
        </x:is>
      </x:c>
      <x:c r="O558" s="24" t="inlineStr">
        <x:is>
          <x:t xml:space="preserve"/>
        </x:is>
      </x:c>
      <x:c r="P558" s="24" t="inlineStr">
        <x:is>
          <x:t xml:space="preserve"/>
        </x:is>
      </x:c>
      <x:c r="Q558" s="24" t="inlineStr">
        <x:is>
          <x:t xml:space="preserve"/>
        </x:is>
      </x:c>
      <x:c r="R558" s="24" t="inlineStr">
        <x:is>
          <x:t xml:space="preserve"/>
        </x:is>
      </x:c>
      <x:c r="S558" s="25">
        <x:f>IF(H558="","",IFERROR(H558/G558,""))</x:f>
      </x:c>
      <x:c r="T558" s="26">
        <x:f>IF(H558="","",IFERROR((J558+K558+L558+N558)/H558,""))</x:f>
      </x:c>
      <x:c r="U558" s="25">
        <x:f>IF(COUNTA(J558:L558,N558)=0,"",IFERROR(AVERAGE(J558:L558,N558),""))</x:f>
      </x:c>
      <x:c r="V558" s="17" t="inlineStr">
        <x:is>
          <x:t xml:space="preserve"/>
        </x:is>
      </x:c>
    </x:row>
    <x:row r="559">
      <x:c r="A559" s="16" t="inlineStr">
        <x:is>
          <x:t xml:space="preserve">P047</x:t>
        </x:is>
      </x:c>
      <x:c r="B559" s="16" t="n">
        <x:v>3</x:v>
      </x:c>
      <x:c r="C559" s="16" t="inlineStr">
        <x:is>
          <x:t xml:space="preserve">V06</x:t>
        </x:is>
      </x:c>
      <x:c r="D559" s="16" t="inlineStr">
        <x:is>
          <x:t xml:space="preserve">Overload</x:t>
        </x:is>
      </x:c>
      <x:c r="E559" s="16" t="inlineStr">
        <x:is>
          <x:t xml:space="preserve">BCC</x:t>
        </x:is>
      </x:c>
      <x:c r="F559" s="16" t="inlineStr">
        <x:is>
          <x:t xml:space="preserve">Audio-on</x:t>
        </x:is>
      </x:c>
      <x:c r="G559" s="21" t="n">
        <x:v>16</x:v>
      </x:c>
      <x:c r="H559" s="21" t="inlineStr">
        <x:is>
          <x:t xml:space="preserve"/>
        </x:is>
      </x:c>
      <x:c r="I559" s="21" t="inlineStr">
        <x:is>
          <x:t xml:space="preserve"/>
        </x:is>
      </x:c>
      <x:c r="J559" s="21" t="inlineStr">
        <x:is>
          <x:t xml:space="preserve"/>
        </x:is>
      </x:c>
      <x:c r="K559" s="21" t="inlineStr">
        <x:is>
          <x:t xml:space="preserve"/>
        </x:is>
      </x:c>
      <x:c r="L559" s="21" t="inlineStr">
        <x:is>
          <x:t xml:space="preserve"/>
        </x:is>
      </x:c>
      <x:c r="M559" s="21" t="inlineStr">
        <x:is>
          <x:t xml:space="preserve"/>
        </x:is>
      </x:c>
      <x:c r="N559" s="21" t="inlineStr">
        <x:is>
          <x:t xml:space="preserve"/>
        </x:is>
      </x:c>
      <x:c r="O559" s="21" t="inlineStr">
        <x:is>
          <x:t xml:space="preserve"/>
        </x:is>
      </x:c>
      <x:c r="P559" s="21" t="inlineStr">
        <x:is>
          <x:t xml:space="preserve"/>
        </x:is>
      </x:c>
      <x:c r="Q559" s="21" t="inlineStr">
        <x:is>
          <x:t xml:space="preserve"/>
        </x:is>
      </x:c>
      <x:c r="R559" s="21" t="inlineStr">
        <x:is>
          <x:t xml:space="preserve"/>
        </x:is>
      </x:c>
      <x:c r="S559" s="22">
        <x:f>IF(H559="","",IFERROR(H559/G559,""))</x:f>
      </x:c>
      <x:c r="T559" s="23">
        <x:f>IF(H559="","",IFERROR((J559+K559+L559+N559)/H559,""))</x:f>
      </x:c>
      <x:c r="U559" s="22">
        <x:f>IF(COUNTA(J559:L559,N559)=0,"",IFERROR(AVERAGE(J559:L559,N559),""))</x:f>
      </x:c>
      <x:c r="V559" s="16" t="inlineStr">
        <x:is>
          <x:t xml:space="preserve"/>
        </x:is>
      </x:c>
    </x:row>
    <x:row r="560">
      <x:c r="A560" s="17" t="inlineStr">
        <x:is>
          <x:t xml:space="preserve">P047</x:t>
        </x:is>
      </x:c>
      <x:c r="B560" s="17" t="n">
        <x:v>4</x:v>
      </x:c>
      <x:c r="C560" s="17" t="inlineStr">
        <x:is>
          <x:t xml:space="preserve">V03</x:t>
        </x:is>
      </x:c>
      <x:c r="D560" s="17" t="inlineStr">
        <x:is>
          <x:t xml:space="preserve">Fitness</x:t>
        </x:is>
      </x:c>
      <x:c r="E560" s="17" t="inlineStr">
        <x:is>
          <x:t xml:space="preserve">Full transcript</x:t>
        </x:is>
      </x:c>
      <x:c r="F560" s="17" t="inlineStr">
        <x:is>
          <x:t xml:space="preserve">Audio-on</x:t>
        </x:is>
      </x:c>
      <x:c r="G560" s="24" t="n">
        <x:v>18</x:v>
      </x:c>
      <x:c r="H560" s="24" t="inlineStr">
        <x:is>
          <x:t xml:space="preserve"/>
        </x:is>
      </x:c>
      <x:c r="I560" s="24" t="inlineStr">
        <x:is>
          <x:t xml:space="preserve"/>
        </x:is>
      </x:c>
      <x:c r="J560" s="24" t="inlineStr">
        <x:is>
          <x:t xml:space="preserve"/>
        </x:is>
      </x:c>
      <x:c r="K560" s="24" t="inlineStr">
        <x:is>
          <x:t xml:space="preserve"/>
        </x:is>
      </x:c>
      <x:c r="L560" s="24" t="inlineStr">
        <x:is>
          <x:t xml:space="preserve"/>
        </x:is>
      </x:c>
      <x:c r="M560" s="24" t="inlineStr">
        <x:is>
          <x:t xml:space="preserve"/>
        </x:is>
      </x:c>
      <x:c r="N560" s="24" t="inlineStr">
        <x:is>
          <x:t xml:space="preserve"/>
        </x:is>
      </x:c>
      <x:c r="O560" s="24" t="inlineStr">
        <x:is>
          <x:t xml:space="preserve"/>
        </x:is>
      </x:c>
      <x:c r="P560" s="24" t="inlineStr">
        <x:is>
          <x:t xml:space="preserve"/>
        </x:is>
      </x:c>
      <x:c r="Q560" s="24" t="inlineStr">
        <x:is>
          <x:t xml:space="preserve"/>
        </x:is>
      </x:c>
      <x:c r="R560" s="24" t="inlineStr">
        <x:is>
          <x:t xml:space="preserve"/>
        </x:is>
      </x:c>
      <x:c r="S560" s="25">
        <x:f>IF(H560="","",IFERROR(H560/G560,""))</x:f>
      </x:c>
      <x:c r="T560" s="26">
        <x:f>IF(H560="","",IFERROR((J560+K560+L560+N560)/H560,""))</x:f>
      </x:c>
      <x:c r="U560" s="25">
        <x:f>IF(COUNTA(J560:L560,N560)=0,"",IFERROR(AVERAGE(J560:L560,N560),""))</x:f>
      </x:c>
      <x:c r="V560" s="17" t="inlineStr">
        <x:is>
          <x:t xml:space="preserve"/>
        </x:is>
      </x:c>
    </x:row>
    <x:row r="561">
      <x:c r="A561" s="16" t="inlineStr">
        <x:is>
          <x:t xml:space="preserve">P047</x:t>
        </x:is>
      </x:c>
      <x:c r="B561" s="16" t="n">
        <x:v>5</x:v>
      </x:c>
      <x:c r="C561" s="16" t="inlineStr">
        <x:is>
          <x:t xml:space="preserve">V12</x:t>
        </x:is>
      </x:c>
      <x:c r="D561" s="16" t="inlineStr">
        <x:is>
          <x:t xml:space="preserve">Time management</x:t>
        </x:is>
      </x:c>
      <x:c r="E561" s="16" t="inlineStr">
        <x:is>
          <x:t xml:space="preserve">BCC</x:t>
        </x:is>
      </x:c>
      <x:c r="F561" s="16" t="inlineStr">
        <x:is>
          <x:t xml:space="preserve">Audio-on</x:t>
        </x:is>
      </x:c>
      <x:c r="G561" s="21" t="n">
        <x:v>21</x:v>
      </x:c>
      <x:c r="H561" s="21" t="inlineStr">
        <x:is>
          <x:t xml:space="preserve"/>
        </x:is>
      </x:c>
      <x:c r="I561" s="21" t="inlineStr">
        <x:is>
          <x:t xml:space="preserve"/>
        </x:is>
      </x:c>
      <x:c r="J561" s="21" t="inlineStr">
        <x:is>
          <x:t xml:space="preserve"/>
        </x:is>
      </x:c>
      <x:c r="K561" s="21" t="inlineStr">
        <x:is>
          <x:t xml:space="preserve"/>
        </x:is>
      </x:c>
      <x:c r="L561" s="21" t="inlineStr">
        <x:is>
          <x:t xml:space="preserve"/>
        </x:is>
      </x:c>
      <x:c r="M561" s="21" t="inlineStr">
        <x:is>
          <x:t xml:space="preserve"/>
        </x:is>
      </x:c>
      <x:c r="N561" s="21" t="inlineStr">
        <x:is>
          <x:t xml:space="preserve"/>
        </x:is>
      </x:c>
      <x:c r="O561" s="21" t="inlineStr">
        <x:is>
          <x:t xml:space="preserve"/>
        </x:is>
      </x:c>
      <x:c r="P561" s="21" t="inlineStr">
        <x:is>
          <x:t xml:space="preserve"/>
        </x:is>
      </x:c>
      <x:c r="Q561" s="21" t="inlineStr">
        <x:is>
          <x:t xml:space="preserve"/>
        </x:is>
      </x:c>
      <x:c r="R561" s="21" t="inlineStr">
        <x:is>
          <x:t xml:space="preserve"/>
        </x:is>
      </x:c>
      <x:c r="S561" s="22">
        <x:f>IF(H561="","",IFERROR(H561/G561,""))</x:f>
      </x:c>
      <x:c r="T561" s="23">
        <x:f>IF(H561="","",IFERROR((J561+K561+L561+N561)/H561,""))</x:f>
      </x:c>
      <x:c r="U561" s="22">
        <x:f>IF(COUNTA(J561:L561,N561)=0,"",IFERROR(AVERAGE(J561:L561,N561),""))</x:f>
      </x:c>
      <x:c r="V561" s="16" t="inlineStr">
        <x:is>
          <x:t xml:space="preserve"/>
        </x:is>
      </x:c>
    </x:row>
    <x:row r="562">
      <x:c r="A562" s="17" t="inlineStr">
        <x:is>
          <x:t xml:space="preserve">P047</x:t>
        </x:is>
      </x:c>
      <x:c r="B562" s="17" t="n">
        <x:v>6</x:v>
      </x:c>
      <x:c r="C562" s="17" t="inlineStr">
        <x:is>
          <x:t xml:space="preserve">V10</x:t>
        </x:is>
      </x:c>
      <x:c r="D562" s="17" t="inlineStr">
        <x:is>
          <x:t xml:space="preserve">Product demo</x:t>
        </x:is>
      </x:c>
      <x:c r="E562" s="17" t="inlineStr">
        <x:is>
          <x:t xml:space="preserve">Keyword highlight</x:t>
        </x:is>
      </x:c>
      <x:c r="F562" s="17" t="inlineStr">
        <x:is>
          <x:t xml:space="preserve">Audio-on</x:t>
        </x:is>
      </x:c>
      <x:c r="G562" s="24" t="n">
        <x:v>15</x:v>
      </x:c>
      <x:c r="H562" s="24" t="inlineStr">
        <x:is>
          <x:t xml:space="preserve"/>
        </x:is>
      </x:c>
      <x:c r="I562" s="24" t="inlineStr">
        <x:is>
          <x:t xml:space="preserve"/>
        </x:is>
      </x:c>
      <x:c r="J562" s="24" t="inlineStr">
        <x:is>
          <x:t xml:space="preserve"/>
        </x:is>
      </x:c>
      <x:c r="K562" s="24" t="inlineStr">
        <x:is>
          <x:t xml:space="preserve"/>
        </x:is>
      </x:c>
      <x:c r="L562" s="24" t="inlineStr">
        <x:is>
          <x:t xml:space="preserve"/>
        </x:is>
      </x:c>
      <x:c r="M562" s="24" t="inlineStr">
        <x:is>
          <x:t xml:space="preserve"/>
        </x:is>
      </x:c>
      <x:c r="N562" s="24" t="inlineStr">
        <x:is>
          <x:t xml:space="preserve"/>
        </x:is>
      </x:c>
      <x:c r="O562" s="24" t="inlineStr">
        <x:is>
          <x:t xml:space="preserve"/>
        </x:is>
      </x:c>
      <x:c r="P562" s="24" t="inlineStr">
        <x:is>
          <x:t xml:space="preserve"/>
        </x:is>
      </x:c>
      <x:c r="Q562" s="24" t="inlineStr">
        <x:is>
          <x:t xml:space="preserve"/>
        </x:is>
      </x:c>
      <x:c r="R562" s="24" t="inlineStr">
        <x:is>
          <x:t xml:space="preserve"/>
        </x:is>
      </x:c>
      <x:c r="S562" s="25">
        <x:f>IF(H562="","",IFERROR(H562/G562,""))</x:f>
      </x:c>
      <x:c r="T562" s="26">
        <x:f>IF(H562="","",IFERROR((J562+K562+L562+N562)/H562,""))</x:f>
      </x:c>
      <x:c r="U562" s="25">
        <x:f>IF(COUNTA(J562:L562,N562)=0,"",IFERROR(AVERAGE(J562:L562,N562),""))</x:f>
      </x:c>
      <x:c r="V562" s="17" t="inlineStr">
        <x:is>
          <x:t xml:space="preserve"/>
        </x:is>
      </x:c>
    </x:row>
    <x:row r="563">
      <x:c r="A563" s="16" t="inlineStr">
        <x:is>
          <x:t xml:space="preserve">P047</x:t>
        </x:is>
      </x:c>
      <x:c r="B563" s="16" t="n">
        <x:v>7</x:v>
      </x:c>
      <x:c r="C563" s="16" t="inlineStr">
        <x:is>
          <x:t xml:space="preserve">V04</x:t>
        </x:is>
      </x:c>
      <x:c r="D563" s="16" t="inlineStr">
        <x:is>
          <x:t xml:space="preserve">Finance</x:t>
        </x:is>
      </x:c>
      <x:c r="E563" s="16" t="inlineStr">
        <x:is>
          <x:t xml:space="preserve">Keyword highlight</x:t>
        </x:is>
      </x:c>
      <x:c r="F563" s="16" t="inlineStr">
        <x:is>
          <x:t xml:space="preserve">Audio-on</x:t>
        </x:is>
      </x:c>
      <x:c r="G563" s="21" t="n">
        <x:v>20</x:v>
      </x:c>
      <x:c r="H563" s="21" t="inlineStr">
        <x:is>
          <x:t xml:space="preserve"/>
        </x:is>
      </x:c>
      <x:c r="I563" s="21" t="inlineStr">
        <x:is>
          <x:t xml:space="preserve"/>
        </x:is>
      </x:c>
      <x:c r="J563" s="21" t="inlineStr">
        <x:is>
          <x:t xml:space="preserve"/>
        </x:is>
      </x:c>
      <x:c r="K563" s="21" t="inlineStr">
        <x:is>
          <x:t xml:space="preserve"/>
        </x:is>
      </x:c>
      <x:c r="L563" s="21" t="inlineStr">
        <x:is>
          <x:t xml:space="preserve"/>
        </x:is>
      </x:c>
      <x:c r="M563" s="21" t="inlineStr">
        <x:is>
          <x:t xml:space="preserve"/>
        </x:is>
      </x:c>
      <x:c r="N563" s="21" t="inlineStr">
        <x:is>
          <x:t xml:space="preserve"/>
        </x:is>
      </x:c>
      <x:c r="O563" s="21" t="inlineStr">
        <x:is>
          <x:t xml:space="preserve"/>
        </x:is>
      </x:c>
      <x:c r="P563" s="21" t="inlineStr">
        <x:is>
          <x:t xml:space="preserve"/>
        </x:is>
      </x:c>
      <x:c r="Q563" s="21" t="inlineStr">
        <x:is>
          <x:t xml:space="preserve"/>
        </x:is>
      </x:c>
      <x:c r="R563" s="21" t="inlineStr">
        <x:is>
          <x:t xml:space="preserve"/>
        </x:is>
      </x:c>
      <x:c r="S563" s="22">
        <x:f>IF(H563="","",IFERROR(H563/G563,""))</x:f>
      </x:c>
      <x:c r="T563" s="23">
        <x:f>IF(H563="","",IFERROR((J563+K563+L563+N563)/H563,""))</x:f>
      </x:c>
      <x:c r="U563" s="22">
        <x:f>IF(COUNTA(J563:L563,N563)=0,"",IFERROR(AVERAGE(J563:L563,N563),""))</x:f>
      </x:c>
      <x:c r="V563" s="16" t="inlineStr">
        <x:is>
          <x:t xml:space="preserve"/>
        </x:is>
      </x:c>
    </x:row>
    <x:row r="564">
      <x:c r="A564" s="17" t="inlineStr">
        <x:is>
          <x:t xml:space="preserve">P047</x:t>
        </x:is>
      </x:c>
      <x:c r="B564" s="17" t="n">
        <x:v>8</x:v>
      </x:c>
      <x:c r="C564" s="17" t="inlineStr">
        <x:is>
          <x:t xml:space="preserve">V08</x:t>
        </x:is>
      </x:c>
      <x:c r="D564" s="17" t="inlineStr">
        <x:is>
          <x:t xml:space="preserve">Coding</x:t>
        </x:is>
      </x:c>
      <x:c r="E564" s="17" t="inlineStr">
        <x:is>
          <x:t xml:space="preserve">Heavy bionic</x:t>
        </x:is>
      </x:c>
      <x:c r="F564" s="17" t="inlineStr">
        <x:is>
          <x:t xml:space="preserve">Audio-on</x:t>
        </x:is>
      </x:c>
      <x:c r="G564" s="24" t="n">
        <x:v>24</x:v>
      </x:c>
      <x:c r="H564" s="24" t="inlineStr">
        <x:is>
          <x:t xml:space="preserve"/>
        </x:is>
      </x:c>
      <x:c r="I564" s="24" t="inlineStr">
        <x:is>
          <x:t xml:space="preserve"/>
        </x:is>
      </x:c>
      <x:c r="J564" s="24" t="inlineStr">
        <x:is>
          <x:t xml:space="preserve"/>
        </x:is>
      </x:c>
      <x:c r="K564" s="24" t="inlineStr">
        <x:is>
          <x:t xml:space="preserve"/>
        </x:is>
      </x:c>
      <x:c r="L564" s="24" t="inlineStr">
        <x:is>
          <x:t xml:space="preserve"/>
        </x:is>
      </x:c>
      <x:c r="M564" s="24" t="inlineStr">
        <x:is>
          <x:t xml:space="preserve"/>
        </x:is>
      </x:c>
      <x:c r="N564" s="24" t="inlineStr">
        <x:is>
          <x:t xml:space="preserve"/>
        </x:is>
      </x:c>
      <x:c r="O564" s="24" t="inlineStr">
        <x:is>
          <x:t xml:space="preserve"/>
        </x:is>
      </x:c>
      <x:c r="P564" s="24" t="inlineStr">
        <x:is>
          <x:t xml:space="preserve"/>
        </x:is>
      </x:c>
      <x:c r="Q564" s="24" t="inlineStr">
        <x:is>
          <x:t xml:space="preserve"/>
        </x:is>
      </x:c>
      <x:c r="R564" s="24" t="inlineStr">
        <x:is>
          <x:t xml:space="preserve"/>
        </x:is>
      </x:c>
      <x:c r="S564" s="25">
        <x:f>IF(H564="","",IFERROR(H564/G564,""))</x:f>
      </x:c>
      <x:c r="T564" s="26">
        <x:f>IF(H564="","",IFERROR((J564+K564+L564+N564)/H564,""))</x:f>
      </x:c>
      <x:c r="U564" s="25">
        <x:f>IF(COUNTA(J564:L564,N564)=0,"",IFERROR(AVERAGE(J564:L564,N564),""))</x:f>
      </x:c>
      <x:c r="V564" s="17" t="inlineStr">
        <x:is>
          <x:t xml:space="preserve"/>
        </x:is>
      </x:c>
    </x:row>
    <x:row r="565">
      <x:c r="A565" s="16" t="inlineStr">
        <x:is>
          <x:t xml:space="preserve">P047</x:t>
        </x:is>
      </x:c>
      <x:c r="B565" s="16" t="n">
        <x:v>9</x:v>
      </x:c>
      <x:c r="C565" s="16" t="inlineStr">
        <x:is>
          <x:t xml:space="preserve">V11</x:t>
        </x:is>
      </x:c>
      <x:c r="D565" s="16" t="inlineStr">
        <x:is>
          <x:t xml:space="preserve">Creator strategy</x:t>
        </x:is>
      </x:c>
      <x:c r="E565" s="16" t="inlineStr">
        <x:is>
          <x:t xml:space="preserve">Semantic compression</x:t>
        </x:is>
      </x:c>
      <x:c r="F565" s="16" t="inlineStr">
        <x:is>
          <x:t xml:space="preserve">Audio-on</x:t>
        </x:is>
      </x:c>
      <x:c r="G565" s="21" t="n">
        <x:v>17</x:v>
      </x:c>
      <x:c r="H565" s="21" t="inlineStr">
        <x:is>
          <x:t xml:space="preserve"/>
        </x:is>
      </x:c>
      <x:c r="I565" s="21" t="inlineStr">
        <x:is>
          <x:t xml:space="preserve"/>
        </x:is>
      </x:c>
      <x:c r="J565" s="21" t="inlineStr">
        <x:is>
          <x:t xml:space="preserve"/>
        </x:is>
      </x:c>
      <x:c r="K565" s="21" t="inlineStr">
        <x:is>
          <x:t xml:space="preserve"/>
        </x:is>
      </x:c>
      <x:c r="L565" s="21" t="inlineStr">
        <x:is>
          <x:t xml:space="preserve"/>
        </x:is>
      </x:c>
      <x:c r="M565" s="21" t="inlineStr">
        <x:is>
          <x:t xml:space="preserve"/>
        </x:is>
      </x:c>
      <x:c r="N565" s="21" t="inlineStr">
        <x:is>
          <x:t xml:space="preserve"/>
        </x:is>
      </x:c>
      <x:c r="O565" s="21" t="inlineStr">
        <x:is>
          <x:t xml:space="preserve"/>
        </x:is>
      </x:c>
      <x:c r="P565" s="21" t="inlineStr">
        <x:is>
          <x:t xml:space="preserve"/>
        </x:is>
      </x:c>
      <x:c r="Q565" s="21" t="inlineStr">
        <x:is>
          <x:t xml:space="preserve"/>
        </x:is>
      </x:c>
      <x:c r="R565" s="21" t="inlineStr">
        <x:is>
          <x:t xml:space="preserve"/>
        </x:is>
      </x:c>
      <x:c r="S565" s="22">
        <x:f>IF(H565="","",IFERROR(H565/G565,""))</x:f>
      </x:c>
      <x:c r="T565" s="23">
        <x:f>IF(H565="","",IFERROR((J565+K565+L565+N565)/H565,""))</x:f>
      </x:c>
      <x:c r="U565" s="22">
        <x:f>IF(COUNTA(J565:L565,N565)=0,"",IFERROR(AVERAGE(J565:L565,N565),""))</x:f>
      </x:c>
      <x:c r="V565" s="16" t="inlineStr">
        <x:is>
          <x:t xml:space="preserve"/>
        </x:is>
      </x:c>
    </x:row>
    <x:row r="566">
      <x:c r="A566" s="17" t="inlineStr">
        <x:is>
          <x:t xml:space="preserve">P047</x:t>
        </x:is>
      </x:c>
      <x:c r="B566" s="17" t="n">
        <x:v>10</x:v>
      </x:c>
      <x:c r="C566" s="17" t="inlineStr">
        <x:is>
          <x:t xml:space="preserve">V07</x:t>
        </x:is>
      </x:c>
      <x:c r="D566" s="17" t="inlineStr">
        <x:is>
          <x:t xml:space="preserve">Business</x:t>
        </x:is>
      </x:c>
      <x:c r="E566" s="17" t="inlineStr">
        <x:is>
          <x:t xml:space="preserve">BCC+</x:t>
        </x:is>
      </x:c>
      <x:c r="F566" s="17" t="inlineStr">
        <x:is>
          <x:t xml:space="preserve">Audio-on</x:t>
        </x:is>
      </x:c>
      <x:c r="G566" s="24" t="n">
        <x:v>18</x:v>
      </x:c>
      <x:c r="H566" s="24" t="inlineStr">
        <x:is>
          <x:t xml:space="preserve"/>
        </x:is>
      </x:c>
      <x:c r="I566" s="24" t="inlineStr">
        <x:is>
          <x:t xml:space="preserve"/>
        </x:is>
      </x:c>
      <x:c r="J566" s="24" t="inlineStr">
        <x:is>
          <x:t xml:space="preserve"/>
        </x:is>
      </x:c>
      <x:c r="K566" s="24" t="inlineStr">
        <x:is>
          <x:t xml:space="preserve"/>
        </x:is>
      </x:c>
      <x:c r="L566" s="24" t="inlineStr">
        <x:is>
          <x:t xml:space="preserve"/>
        </x:is>
      </x:c>
      <x:c r="M566" s="24" t="inlineStr">
        <x:is>
          <x:t xml:space="preserve"/>
        </x:is>
      </x:c>
      <x:c r="N566" s="24" t="inlineStr">
        <x:is>
          <x:t xml:space="preserve"/>
        </x:is>
      </x:c>
      <x:c r="O566" s="24" t="inlineStr">
        <x:is>
          <x:t xml:space="preserve"/>
        </x:is>
      </x:c>
      <x:c r="P566" s="24" t="inlineStr">
        <x:is>
          <x:t xml:space="preserve"/>
        </x:is>
      </x:c>
      <x:c r="Q566" s="24" t="inlineStr">
        <x:is>
          <x:t xml:space="preserve"/>
        </x:is>
      </x:c>
      <x:c r="R566" s="24" t="inlineStr">
        <x:is>
          <x:t xml:space="preserve"/>
        </x:is>
      </x:c>
      <x:c r="S566" s="25">
        <x:f>IF(H566="","",IFERROR(H566/G566,""))</x:f>
      </x:c>
      <x:c r="T566" s="26">
        <x:f>IF(H566="","",IFERROR((J566+K566+L566+N566)/H566,""))</x:f>
      </x:c>
      <x:c r="U566" s="25">
        <x:f>IF(COUNTA(J566:L566,N566)=0,"",IFERROR(AVERAGE(J566:L566,N566),""))</x:f>
      </x:c>
      <x:c r="V566" s="17" t="inlineStr">
        <x:is>
          <x:t xml:space="preserve"/>
        </x:is>
      </x:c>
    </x:row>
    <x:row r="567">
      <x:c r="A567" s="16" t="inlineStr">
        <x:is>
          <x:t xml:space="preserve">P047</x:t>
        </x:is>
      </x:c>
      <x:c r="B567" s="16" t="n">
        <x:v>11</x:v>
      </x:c>
      <x:c r="C567" s="16" t="inlineStr">
        <x:is>
          <x:t xml:space="preserve">V05</x:t>
        </x:is>
      </x:c>
      <x:c r="D567" s="16" t="inlineStr">
        <x:is>
          <x:t xml:space="preserve">Tutorial</x:t>
        </x:is>
      </x:c>
      <x:c r="E567" s="16" t="inlineStr">
        <x:is>
          <x:t xml:space="preserve">Semantic compression</x:t>
        </x:is>
      </x:c>
      <x:c r="F567" s="16" t="inlineStr">
        <x:is>
          <x:t xml:space="preserve">Audio-on</x:t>
        </x:is>
      </x:c>
      <x:c r="G567" s="21" t="n">
        <x:v>20</x:v>
      </x:c>
      <x:c r="H567" s="21" t="inlineStr">
        <x:is>
          <x:t xml:space="preserve"/>
        </x:is>
      </x:c>
      <x:c r="I567" s="21" t="inlineStr">
        <x:is>
          <x:t xml:space="preserve"/>
        </x:is>
      </x:c>
      <x:c r="J567" s="21" t="inlineStr">
        <x:is>
          <x:t xml:space="preserve"/>
        </x:is>
      </x:c>
      <x:c r="K567" s="21" t="inlineStr">
        <x:is>
          <x:t xml:space="preserve"/>
        </x:is>
      </x:c>
      <x:c r="L567" s="21" t="inlineStr">
        <x:is>
          <x:t xml:space="preserve"/>
        </x:is>
      </x:c>
      <x:c r="M567" s="21" t="inlineStr">
        <x:is>
          <x:t xml:space="preserve"/>
        </x:is>
      </x:c>
      <x:c r="N567" s="21" t="inlineStr">
        <x:is>
          <x:t xml:space="preserve"/>
        </x:is>
      </x:c>
      <x:c r="O567" s="21" t="inlineStr">
        <x:is>
          <x:t xml:space="preserve"/>
        </x:is>
      </x:c>
      <x:c r="P567" s="21" t="inlineStr">
        <x:is>
          <x:t xml:space="preserve"/>
        </x:is>
      </x:c>
      <x:c r="Q567" s="21" t="inlineStr">
        <x:is>
          <x:t xml:space="preserve"/>
        </x:is>
      </x:c>
      <x:c r="R567" s="21" t="inlineStr">
        <x:is>
          <x:t xml:space="preserve"/>
        </x:is>
      </x:c>
      <x:c r="S567" s="22">
        <x:f>IF(H567="","",IFERROR(H567/G567,""))</x:f>
      </x:c>
      <x:c r="T567" s="23">
        <x:f>IF(H567="","",IFERROR((J567+K567+L567+N567)/H567,""))</x:f>
      </x:c>
      <x:c r="U567" s="22">
        <x:f>IF(COUNTA(J567:L567,N567)=0,"",IFERROR(AVERAGE(J567:L567,N567),""))</x:f>
      </x:c>
      <x:c r="V567" s="16" t="inlineStr">
        <x:is>
          <x:t xml:space="preserve"/>
        </x:is>
      </x:c>
    </x:row>
    <x:row r="568">
      <x:c r="A568" s="17" t="inlineStr">
        <x:is>
          <x:t xml:space="preserve">P047</x:t>
        </x:is>
      </x:c>
      <x:c r="B568" s="17" t="n">
        <x:v>12</x:v>
      </x:c>
      <x:c r="C568" s="17" t="inlineStr">
        <x:is>
          <x:t xml:space="preserve">V02</x:t>
        </x:is>
      </x:c>
      <x:c r="D568" s="17" t="inlineStr">
        <x:is>
          <x:t xml:space="preserve">Study</x:t>
        </x:is>
      </x:c>
      <x:c r="E568" s="17" t="inlineStr">
        <x:is>
          <x:t xml:space="preserve">Heavy bionic</x:t>
        </x:is>
      </x:c>
      <x:c r="F568" s="17" t="inlineStr">
        <x:is>
          <x:t xml:space="preserve">Audio-on</x:t>
        </x:is>
      </x:c>
      <x:c r="G568" s="24" t="n">
        <x:v>18</x:v>
      </x:c>
      <x:c r="H568" s="24" t="inlineStr">
        <x:is>
          <x:t xml:space="preserve"/>
        </x:is>
      </x:c>
      <x:c r="I568" s="24" t="inlineStr">
        <x:is>
          <x:t xml:space="preserve"/>
        </x:is>
      </x:c>
      <x:c r="J568" s="24" t="inlineStr">
        <x:is>
          <x:t xml:space="preserve"/>
        </x:is>
      </x:c>
      <x:c r="K568" s="24" t="inlineStr">
        <x:is>
          <x:t xml:space="preserve"/>
        </x:is>
      </x:c>
      <x:c r="L568" s="24" t="inlineStr">
        <x:is>
          <x:t xml:space="preserve"/>
        </x:is>
      </x:c>
      <x:c r="M568" s="24" t="inlineStr">
        <x:is>
          <x:t xml:space="preserve"/>
        </x:is>
      </x:c>
      <x:c r="N568" s="24" t="inlineStr">
        <x:is>
          <x:t xml:space="preserve"/>
        </x:is>
      </x:c>
      <x:c r="O568" s="24" t="inlineStr">
        <x:is>
          <x:t xml:space="preserve"/>
        </x:is>
      </x:c>
      <x:c r="P568" s="24" t="inlineStr">
        <x:is>
          <x:t xml:space="preserve"/>
        </x:is>
      </x:c>
      <x:c r="Q568" s="24" t="inlineStr">
        <x:is>
          <x:t xml:space="preserve"/>
        </x:is>
      </x:c>
      <x:c r="R568" s="24" t="inlineStr">
        <x:is>
          <x:t xml:space="preserve"/>
        </x:is>
      </x:c>
      <x:c r="S568" s="25">
        <x:f>IF(H568="","",IFERROR(H568/G568,""))</x:f>
      </x:c>
      <x:c r="T568" s="26">
        <x:f>IF(H568="","",IFERROR((J568+K568+L568+N568)/H568,""))</x:f>
      </x:c>
      <x:c r="U568" s="25">
        <x:f>IF(COUNTA(J568:L568,N568)=0,"",IFERROR(AVERAGE(J568:L568,N568),""))</x:f>
      </x:c>
      <x:c r="V568" s="17" t="inlineStr">
        <x:is>
          <x:t xml:space="preserve"/>
        </x:is>
      </x:c>
    </x:row>
    <x:row r="569">
      <x:c r="A569" s="16" t="inlineStr">
        <x:is>
          <x:t xml:space="preserve">P048</x:t>
        </x:is>
      </x:c>
      <x:c r="B569" s="16" t="n">
        <x:v>1</x:v>
      </x:c>
      <x:c r="C569" s="16" t="inlineStr">
        <x:is>
          <x:t xml:space="preserve">V11</x:t>
        </x:is>
      </x:c>
      <x:c r="D569" s="16" t="inlineStr">
        <x:is>
          <x:t xml:space="preserve">Creator strategy</x:t>
        </x:is>
      </x:c>
      <x:c r="E569" s="16" t="inlineStr">
        <x:is>
          <x:t xml:space="preserve">BCC</x:t>
        </x:is>
      </x:c>
      <x:c r="F569" s="16" t="inlineStr">
        <x:is>
          <x:t xml:space="preserve">Audio-on</x:t>
        </x:is>
      </x:c>
      <x:c r="G569" s="21" t="n">
        <x:v>17</x:v>
      </x:c>
      <x:c r="H569" s="21" t="inlineStr">
        <x:is>
          <x:t xml:space="preserve"/>
        </x:is>
      </x:c>
      <x:c r="I569" s="21" t="inlineStr">
        <x:is>
          <x:t xml:space="preserve"/>
        </x:is>
      </x:c>
      <x:c r="J569" s="21" t="inlineStr">
        <x:is>
          <x:t xml:space="preserve"/>
        </x:is>
      </x:c>
      <x:c r="K569" s="21" t="inlineStr">
        <x:is>
          <x:t xml:space="preserve"/>
        </x:is>
      </x:c>
      <x:c r="L569" s="21" t="inlineStr">
        <x:is>
          <x:t xml:space="preserve"/>
        </x:is>
      </x:c>
      <x:c r="M569" s="21" t="inlineStr">
        <x:is>
          <x:t xml:space="preserve"/>
        </x:is>
      </x:c>
      <x:c r="N569" s="21" t="inlineStr">
        <x:is>
          <x:t xml:space="preserve"/>
        </x:is>
      </x:c>
      <x:c r="O569" s="21" t="inlineStr">
        <x:is>
          <x:t xml:space="preserve"/>
        </x:is>
      </x:c>
      <x:c r="P569" s="21" t="inlineStr">
        <x:is>
          <x:t xml:space="preserve"/>
        </x:is>
      </x:c>
      <x:c r="Q569" s="21" t="inlineStr">
        <x:is>
          <x:t xml:space="preserve"/>
        </x:is>
      </x:c>
      <x:c r="R569" s="21" t="inlineStr">
        <x:is>
          <x:t xml:space="preserve"/>
        </x:is>
      </x:c>
      <x:c r="S569" s="22">
        <x:f>IF(H569="","",IFERROR(H569/G569,""))</x:f>
      </x:c>
      <x:c r="T569" s="23">
        <x:f>IF(H569="","",IFERROR((J569+K569+L569+N569)/H569,""))</x:f>
      </x:c>
      <x:c r="U569" s="22">
        <x:f>IF(COUNTA(J569:L569,N569)=0,"",IFERROR(AVERAGE(J569:L569,N569),""))</x:f>
      </x:c>
      <x:c r="V569" s="16" t="inlineStr">
        <x:is>
          <x:t xml:space="preserve"/>
        </x:is>
      </x:c>
    </x:row>
    <x:row r="570">
      <x:c r="A570" s="17" t="inlineStr">
        <x:is>
          <x:t xml:space="preserve">P048</x:t>
        </x:is>
      </x:c>
      <x:c r="B570" s="17" t="n">
        <x:v>2</x:v>
      </x:c>
      <x:c r="C570" s="17" t="inlineStr">
        <x:is>
          <x:t xml:space="preserve">V07</x:t>
        </x:is>
      </x:c>
      <x:c r="D570" s="17" t="inlineStr">
        <x:is>
          <x:t xml:space="preserve">Business</x:t>
        </x:is>
      </x:c>
      <x:c r="E570" s="17" t="inlineStr">
        <x:is>
          <x:t xml:space="preserve">Heavy bionic</x:t>
        </x:is>
      </x:c>
      <x:c r="F570" s="17" t="inlineStr">
        <x:is>
          <x:t xml:space="preserve">Audio-on</x:t>
        </x:is>
      </x:c>
      <x:c r="G570" s="24" t="n">
        <x:v>18</x:v>
      </x:c>
      <x:c r="H570" s="24" t="inlineStr">
        <x:is>
          <x:t xml:space="preserve"/>
        </x:is>
      </x:c>
      <x:c r="I570" s="24" t="inlineStr">
        <x:is>
          <x:t xml:space="preserve"/>
        </x:is>
      </x:c>
      <x:c r="J570" s="24" t="inlineStr">
        <x:is>
          <x:t xml:space="preserve"/>
        </x:is>
      </x:c>
      <x:c r="K570" s="24" t="inlineStr">
        <x:is>
          <x:t xml:space="preserve"/>
        </x:is>
      </x:c>
      <x:c r="L570" s="24" t="inlineStr">
        <x:is>
          <x:t xml:space="preserve"/>
        </x:is>
      </x:c>
      <x:c r="M570" s="24" t="inlineStr">
        <x:is>
          <x:t xml:space="preserve"/>
        </x:is>
      </x:c>
      <x:c r="N570" s="24" t="inlineStr">
        <x:is>
          <x:t xml:space="preserve"/>
        </x:is>
      </x:c>
      <x:c r="O570" s="24" t="inlineStr">
        <x:is>
          <x:t xml:space="preserve"/>
        </x:is>
      </x:c>
      <x:c r="P570" s="24" t="inlineStr">
        <x:is>
          <x:t xml:space="preserve"/>
        </x:is>
      </x:c>
      <x:c r="Q570" s="24" t="inlineStr">
        <x:is>
          <x:t xml:space="preserve"/>
        </x:is>
      </x:c>
      <x:c r="R570" s="24" t="inlineStr">
        <x:is>
          <x:t xml:space="preserve"/>
        </x:is>
      </x:c>
      <x:c r="S570" s="25">
        <x:f>IF(H570="","",IFERROR(H570/G570,""))</x:f>
      </x:c>
      <x:c r="T570" s="26">
        <x:f>IF(H570="","",IFERROR((J570+K570+L570+N570)/H570,""))</x:f>
      </x:c>
      <x:c r="U570" s="25">
        <x:f>IF(COUNTA(J570:L570,N570)=0,"",IFERROR(AVERAGE(J570:L570,N570),""))</x:f>
      </x:c>
      <x:c r="V570" s="17" t="inlineStr">
        <x:is>
          <x:t xml:space="preserve"/>
        </x:is>
      </x:c>
    </x:row>
    <x:row r="571">
      <x:c r="A571" s="16" t="inlineStr">
        <x:is>
          <x:t xml:space="preserve">P048</x:t>
        </x:is>
      </x:c>
      <x:c r="B571" s="16" t="n">
        <x:v>3</x:v>
      </x:c>
      <x:c r="C571" s="16" t="inlineStr">
        <x:is>
          <x:t xml:space="preserve">V09</x:t>
        </x:is>
      </x:c>
      <x:c r="D571" s="16" t="inlineStr">
        <x:is>
          <x:t xml:space="preserve">Sleep habit</x:t>
        </x:is>
      </x:c>
      <x:c r="E571" s="16" t="inlineStr">
        <x:is>
          <x:t xml:space="preserve">Keyword highlight</x:t>
        </x:is>
      </x:c>
      <x:c r="F571" s="16" t="inlineStr">
        <x:is>
          <x:t xml:space="preserve">Audio-on</x:t>
        </x:is>
      </x:c>
      <x:c r="G571" s="21" t="n">
        <x:v>19</x:v>
      </x:c>
      <x:c r="H571" s="21" t="inlineStr">
        <x:is>
          <x:t xml:space="preserve"/>
        </x:is>
      </x:c>
      <x:c r="I571" s="21" t="inlineStr">
        <x:is>
          <x:t xml:space="preserve"/>
        </x:is>
      </x:c>
      <x:c r="J571" s="21" t="inlineStr">
        <x:is>
          <x:t xml:space="preserve"/>
        </x:is>
      </x:c>
      <x:c r="K571" s="21" t="inlineStr">
        <x:is>
          <x:t xml:space="preserve"/>
        </x:is>
      </x:c>
      <x:c r="L571" s="21" t="inlineStr">
        <x:is>
          <x:t xml:space="preserve"/>
        </x:is>
      </x:c>
      <x:c r="M571" s="21" t="inlineStr">
        <x:is>
          <x:t xml:space="preserve"/>
        </x:is>
      </x:c>
      <x:c r="N571" s="21" t="inlineStr">
        <x:is>
          <x:t xml:space="preserve"/>
        </x:is>
      </x:c>
      <x:c r="O571" s="21" t="inlineStr">
        <x:is>
          <x:t xml:space="preserve"/>
        </x:is>
      </x:c>
      <x:c r="P571" s="21" t="inlineStr">
        <x:is>
          <x:t xml:space="preserve"/>
        </x:is>
      </x:c>
      <x:c r="Q571" s="21" t="inlineStr">
        <x:is>
          <x:t xml:space="preserve"/>
        </x:is>
      </x:c>
      <x:c r="R571" s="21" t="inlineStr">
        <x:is>
          <x:t xml:space="preserve"/>
        </x:is>
      </x:c>
      <x:c r="S571" s="22">
        <x:f>IF(H571="","",IFERROR(H571/G571,""))</x:f>
      </x:c>
      <x:c r="T571" s="23">
        <x:f>IF(H571="","",IFERROR((J571+K571+L571+N571)/H571,""))</x:f>
      </x:c>
      <x:c r="U571" s="22">
        <x:f>IF(COUNTA(J571:L571,N571)=0,"",IFERROR(AVERAGE(J571:L571,N571),""))</x:f>
      </x:c>
      <x:c r="V571" s="16" t="inlineStr">
        <x:is>
          <x:t xml:space="preserve"/>
        </x:is>
      </x:c>
    </x:row>
    <x:row r="572">
      <x:c r="A572" s="17" t="inlineStr">
        <x:is>
          <x:t xml:space="preserve">P048</x:t>
        </x:is>
      </x:c>
      <x:c r="B572" s="17" t="n">
        <x:v>4</x:v>
      </x:c>
      <x:c r="C572" s="17" t="inlineStr">
        <x:is>
          <x:t xml:space="preserve">V02</x:t>
        </x:is>
      </x:c>
      <x:c r="D572" s="17" t="inlineStr">
        <x:is>
          <x:t xml:space="preserve">Study</x:t>
        </x:is>
      </x:c>
      <x:c r="E572" s="17" t="inlineStr">
        <x:is>
          <x:t xml:space="preserve">Full transcript</x:t>
        </x:is>
      </x:c>
      <x:c r="F572" s="17" t="inlineStr">
        <x:is>
          <x:t xml:space="preserve">Audio-on</x:t>
        </x:is>
      </x:c>
      <x:c r="G572" s="24" t="n">
        <x:v>18</x:v>
      </x:c>
      <x:c r="H572" s="24" t="inlineStr">
        <x:is>
          <x:t xml:space="preserve"/>
        </x:is>
      </x:c>
      <x:c r="I572" s="24" t="inlineStr">
        <x:is>
          <x:t xml:space="preserve"/>
        </x:is>
      </x:c>
      <x:c r="J572" s="24" t="inlineStr">
        <x:is>
          <x:t xml:space="preserve"/>
        </x:is>
      </x:c>
      <x:c r="K572" s="24" t="inlineStr">
        <x:is>
          <x:t xml:space="preserve"/>
        </x:is>
      </x:c>
      <x:c r="L572" s="24" t="inlineStr">
        <x:is>
          <x:t xml:space="preserve"/>
        </x:is>
      </x:c>
      <x:c r="M572" s="24" t="inlineStr">
        <x:is>
          <x:t xml:space="preserve"/>
        </x:is>
      </x:c>
      <x:c r="N572" s="24" t="inlineStr">
        <x:is>
          <x:t xml:space="preserve"/>
        </x:is>
      </x:c>
      <x:c r="O572" s="24" t="inlineStr">
        <x:is>
          <x:t xml:space="preserve"/>
        </x:is>
      </x:c>
      <x:c r="P572" s="24" t="inlineStr">
        <x:is>
          <x:t xml:space="preserve"/>
        </x:is>
      </x:c>
      <x:c r="Q572" s="24" t="inlineStr">
        <x:is>
          <x:t xml:space="preserve"/>
        </x:is>
      </x:c>
      <x:c r="R572" s="24" t="inlineStr">
        <x:is>
          <x:t xml:space="preserve"/>
        </x:is>
      </x:c>
      <x:c r="S572" s="25">
        <x:f>IF(H572="","",IFERROR(H572/G572,""))</x:f>
      </x:c>
      <x:c r="T572" s="26">
        <x:f>IF(H572="","",IFERROR((J572+K572+L572+N572)/H572,""))</x:f>
      </x:c>
      <x:c r="U572" s="25">
        <x:f>IF(COUNTA(J572:L572,N572)=0,"",IFERROR(AVERAGE(J572:L572,N572),""))</x:f>
      </x:c>
      <x:c r="V572" s="17" t="inlineStr">
        <x:is>
          <x:t xml:space="preserve"/>
        </x:is>
      </x:c>
    </x:row>
    <x:row r="573">
      <x:c r="A573" s="16" t="inlineStr">
        <x:is>
          <x:t xml:space="preserve">P048</x:t>
        </x:is>
      </x:c>
      <x:c r="B573" s="16" t="n">
        <x:v>5</x:v>
      </x:c>
      <x:c r="C573" s="16" t="inlineStr">
        <x:is>
          <x:t xml:space="preserve">V10</x:t>
        </x:is>
      </x:c>
      <x:c r="D573" s="16" t="inlineStr">
        <x:is>
          <x:t xml:space="preserve">Product demo</x:t>
        </x:is>
      </x:c>
      <x:c r="E573" s="16" t="inlineStr">
        <x:is>
          <x:t xml:space="preserve">Semantic compression</x:t>
        </x:is>
      </x:c>
      <x:c r="F573" s="16" t="inlineStr">
        <x:is>
          <x:t xml:space="preserve">Audio-on</x:t>
        </x:is>
      </x:c>
      <x:c r="G573" s="21" t="n">
        <x:v>15</x:v>
      </x:c>
      <x:c r="H573" s="21" t="inlineStr">
        <x:is>
          <x:t xml:space="preserve"/>
        </x:is>
      </x:c>
      <x:c r="I573" s="21" t="inlineStr">
        <x:is>
          <x:t xml:space="preserve"/>
        </x:is>
      </x:c>
      <x:c r="J573" s="21" t="inlineStr">
        <x:is>
          <x:t xml:space="preserve"/>
        </x:is>
      </x:c>
      <x:c r="K573" s="21" t="inlineStr">
        <x:is>
          <x:t xml:space="preserve"/>
        </x:is>
      </x:c>
      <x:c r="L573" s="21" t="inlineStr">
        <x:is>
          <x:t xml:space="preserve"/>
        </x:is>
      </x:c>
      <x:c r="M573" s="21" t="inlineStr">
        <x:is>
          <x:t xml:space="preserve"/>
        </x:is>
      </x:c>
      <x:c r="N573" s="21" t="inlineStr">
        <x:is>
          <x:t xml:space="preserve"/>
        </x:is>
      </x:c>
      <x:c r="O573" s="21" t="inlineStr">
        <x:is>
          <x:t xml:space="preserve"/>
        </x:is>
      </x:c>
      <x:c r="P573" s="21" t="inlineStr">
        <x:is>
          <x:t xml:space="preserve"/>
        </x:is>
      </x:c>
      <x:c r="Q573" s="21" t="inlineStr">
        <x:is>
          <x:t xml:space="preserve"/>
        </x:is>
      </x:c>
      <x:c r="R573" s="21" t="inlineStr">
        <x:is>
          <x:t xml:space="preserve"/>
        </x:is>
      </x:c>
      <x:c r="S573" s="22">
        <x:f>IF(H573="","",IFERROR(H573/G573,""))</x:f>
      </x:c>
      <x:c r="T573" s="23">
        <x:f>IF(H573="","",IFERROR((J573+K573+L573+N573)/H573,""))</x:f>
      </x:c>
      <x:c r="U573" s="22">
        <x:f>IF(COUNTA(J573:L573,N573)=0,"",IFERROR(AVERAGE(J573:L573,N573),""))</x:f>
      </x:c>
      <x:c r="V573" s="16" t="inlineStr">
        <x:is>
          <x:t xml:space="preserve"/>
        </x:is>
      </x:c>
    </x:row>
    <x:row r="574">
      <x:c r="A574" s="17" t="inlineStr">
        <x:is>
          <x:t xml:space="preserve">P048</x:t>
        </x:is>
      </x:c>
      <x:c r="B574" s="17" t="n">
        <x:v>6</x:v>
      </x:c>
      <x:c r="C574" s="17" t="inlineStr">
        <x:is>
          <x:t xml:space="preserve">V08</x:t>
        </x:is>
      </x:c>
      <x:c r="D574" s="17" t="inlineStr">
        <x:is>
          <x:t xml:space="preserve">Coding</x:t>
        </x:is>
      </x:c>
      <x:c r="E574" s="17" t="inlineStr">
        <x:is>
          <x:t xml:space="preserve">Full transcript</x:t>
        </x:is>
      </x:c>
      <x:c r="F574" s="17" t="inlineStr">
        <x:is>
          <x:t xml:space="preserve">Audio-on</x:t>
        </x:is>
      </x:c>
      <x:c r="G574" s="24" t="n">
        <x:v>24</x:v>
      </x:c>
      <x:c r="H574" s="24" t="inlineStr">
        <x:is>
          <x:t xml:space="preserve"/>
        </x:is>
      </x:c>
      <x:c r="I574" s="24" t="inlineStr">
        <x:is>
          <x:t xml:space="preserve"/>
        </x:is>
      </x:c>
      <x:c r="J574" s="24" t="inlineStr">
        <x:is>
          <x:t xml:space="preserve"/>
        </x:is>
      </x:c>
      <x:c r="K574" s="24" t="inlineStr">
        <x:is>
          <x:t xml:space="preserve"/>
        </x:is>
      </x:c>
      <x:c r="L574" s="24" t="inlineStr">
        <x:is>
          <x:t xml:space="preserve"/>
        </x:is>
      </x:c>
      <x:c r="M574" s="24" t="inlineStr">
        <x:is>
          <x:t xml:space="preserve"/>
        </x:is>
      </x:c>
      <x:c r="N574" s="24" t="inlineStr">
        <x:is>
          <x:t xml:space="preserve"/>
        </x:is>
      </x:c>
      <x:c r="O574" s="24" t="inlineStr">
        <x:is>
          <x:t xml:space="preserve"/>
        </x:is>
      </x:c>
      <x:c r="P574" s="24" t="inlineStr">
        <x:is>
          <x:t xml:space="preserve"/>
        </x:is>
      </x:c>
      <x:c r="Q574" s="24" t="inlineStr">
        <x:is>
          <x:t xml:space="preserve"/>
        </x:is>
      </x:c>
      <x:c r="R574" s="24" t="inlineStr">
        <x:is>
          <x:t xml:space="preserve"/>
        </x:is>
      </x:c>
      <x:c r="S574" s="25">
        <x:f>IF(H574="","",IFERROR(H574/G574,""))</x:f>
      </x:c>
      <x:c r="T574" s="26">
        <x:f>IF(H574="","",IFERROR((J574+K574+L574+N574)/H574,""))</x:f>
      </x:c>
      <x:c r="U574" s="25">
        <x:f>IF(COUNTA(J574:L574,N574)=0,"",IFERROR(AVERAGE(J574:L574,N574),""))</x:f>
      </x:c>
      <x:c r="V574" s="17" t="inlineStr">
        <x:is>
          <x:t xml:space="preserve"/>
        </x:is>
      </x:c>
    </x:row>
    <x:row r="575">
      <x:c r="A575" s="16" t="inlineStr">
        <x:is>
          <x:t xml:space="preserve">P048</x:t>
        </x:is>
      </x:c>
      <x:c r="B575" s="16" t="n">
        <x:v>7</x:v>
      </x:c>
      <x:c r="C575" s="16" t="inlineStr">
        <x:is>
          <x:t xml:space="preserve">V06</x:t>
        </x:is>
      </x:c>
      <x:c r="D575" s="16" t="inlineStr">
        <x:is>
          <x:t xml:space="preserve">Overload</x:t>
        </x:is>
      </x:c>
      <x:c r="E575" s="16" t="inlineStr">
        <x:is>
          <x:t xml:space="preserve">BCC+</x:t>
        </x:is>
      </x:c>
      <x:c r="F575" s="16" t="inlineStr">
        <x:is>
          <x:t xml:space="preserve">Audio-on</x:t>
        </x:is>
      </x:c>
      <x:c r="G575" s="21" t="n">
        <x:v>16</x:v>
      </x:c>
      <x:c r="H575" s="21" t="inlineStr">
        <x:is>
          <x:t xml:space="preserve"/>
        </x:is>
      </x:c>
      <x:c r="I575" s="21" t="inlineStr">
        <x:is>
          <x:t xml:space="preserve"/>
        </x:is>
      </x:c>
      <x:c r="J575" s="21" t="inlineStr">
        <x:is>
          <x:t xml:space="preserve"/>
        </x:is>
      </x:c>
      <x:c r="K575" s="21" t="inlineStr">
        <x:is>
          <x:t xml:space="preserve"/>
        </x:is>
      </x:c>
      <x:c r="L575" s="21" t="inlineStr">
        <x:is>
          <x:t xml:space="preserve"/>
        </x:is>
      </x:c>
      <x:c r="M575" s="21" t="inlineStr">
        <x:is>
          <x:t xml:space="preserve"/>
        </x:is>
      </x:c>
      <x:c r="N575" s="21" t="inlineStr">
        <x:is>
          <x:t xml:space="preserve"/>
        </x:is>
      </x:c>
      <x:c r="O575" s="21" t="inlineStr">
        <x:is>
          <x:t xml:space="preserve"/>
        </x:is>
      </x:c>
      <x:c r="P575" s="21" t="inlineStr">
        <x:is>
          <x:t xml:space="preserve"/>
        </x:is>
      </x:c>
      <x:c r="Q575" s="21" t="inlineStr">
        <x:is>
          <x:t xml:space="preserve"/>
        </x:is>
      </x:c>
      <x:c r="R575" s="21" t="inlineStr">
        <x:is>
          <x:t xml:space="preserve"/>
        </x:is>
      </x:c>
      <x:c r="S575" s="22">
        <x:f>IF(H575="","",IFERROR(H575/G575,""))</x:f>
      </x:c>
      <x:c r="T575" s="23">
        <x:f>IF(H575="","",IFERROR((J575+K575+L575+N575)/H575,""))</x:f>
      </x:c>
      <x:c r="U575" s="22">
        <x:f>IF(COUNTA(J575:L575,N575)=0,"",IFERROR(AVERAGE(J575:L575,N575),""))</x:f>
      </x:c>
      <x:c r="V575" s="16" t="inlineStr">
        <x:is>
          <x:t xml:space="preserve"/>
        </x:is>
      </x:c>
    </x:row>
    <x:row r="576">
      <x:c r="A576" s="17" t="inlineStr">
        <x:is>
          <x:t xml:space="preserve">P048</x:t>
        </x:is>
      </x:c>
      <x:c r="B576" s="17" t="n">
        <x:v>8</x:v>
      </x:c>
      <x:c r="C576" s="17" t="inlineStr">
        <x:is>
          <x:t xml:space="preserve">V01</x:t>
        </x:is>
      </x:c>
      <x:c r="D576" s="17" t="inlineStr">
        <x:is>
          <x:t xml:space="preserve">Productivity</x:t>
        </x:is>
      </x:c>
      <x:c r="E576" s="17" t="inlineStr">
        <x:is>
          <x:t xml:space="preserve">Heavy bionic</x:t>
        </x:is>
      </x:c>
      <x:c r="F576" s="17" t="inlineStr">
        <x:is>
          <x:t xml:space="preserve">Audio-on</x:t>
        </x:is>
      </x:c>
      <x:c r="G576" s="24" t="n">
        <x:v>25</x:v>
      </x:c>
      <x:c r="H576" s="24" t="inlineStr">
        <x:is>
          <x:t xml:space="preserve"/>
        </x:is>
      </x:c>
      <x:c r="I576" s="24" t="inlineStr">
        <x:is>
          <x:t xml:space="preserve"/>
        </x:is>
      </x:c>
      <x:c r="J576" s="24" t="inlineStr">
        <x:is>
          <x:t xml:space="preserve"/>
        </x:is>
      </x:c>
      <x:c r="K576" s="24" t="inlineStr">
        <x:is>
          <x:t xml:space="preserve"/>
        </x:is>
      </x:c>
      <x:c r="L576" s="24" t="inlineStr">
        <x:is>
          <x:t xml:space="preserve"/>
        </x:is>
      </x:c>
      <x:c r="M576" s="24" t="inlineStr">
        <x:is>
          <x:t xml:space="preserve"/>
        </x:is>
      </x:c>
      <x:c r="N576" s="24" t="inlineStr">
        <x:is>
          <x:t xml:space="preserve"/>
        </x:is>
      </x:c>
      <x:c r="O576" s="24" t="inlineStr">
        <x:is>
          <x:t xml:space="preserve"/>
        </x:is>
      </x:c>
      <x:c r="P576" s="24" t="inlineStr">
        <x:is>
          <x:t xml:space="preserve"/>
        </x:is>
      </x:c>
      <x:c r="Q576" s="24" t="inlineStr">
        <x:is>
          <x:t xml:space="preserve"/>
        </x:is>
      </x:c>
      <x:c r="R576" s="24" t="inlineStr">
        <x:is>
          <x:t xml:space="preserve"/>
        </x:is>
      </x:c>
      <x:c r="S576" s="25">
        <x:f>IF(H576="","",IFERROR(H576/G576,""))</x:f>
      </x:c>
      <x:c r="T576" s="26">
        <x:f>IF(H576="","",IFERROR((J576+K576+L576+N576)/H576,""))</x:f>
      </x:c>
      <x:c r="U576" s="25">
        <x:f>IF(COUNTA(J576:L576,N576)=0,"",IFERROR(AVERAGE(J576:L576,N576),""))</x:f>
      </x:c>
      <x:c r="V576" s="17" t="inlineStr">
        <x:is>
          <x:t xml:space="preserve"/>
        </x:is>
      </x:c>
    </x:row>
    <x:row r="577">
      <x:c r="A577" s="16" t="inlineStr">
        <x:is>
          <x:t xml:space="preserve">P048</x:t>
        </x:is>
      </x:c>
      <x:c r="B577" s="16" t="n">
        <x:v>9</x:v>
      </x:c>
      <x:c r="C577" s="16" t="inlineStr">
        <x:is>
          <x:t xml:space="preserve">V04</x:t>
        </x:is>
      </x:c>
      <x:c r="D577" s="16" t="inlineStr">
        <x:is>
          <x:t xml:space="preserve">Finance</x:t>
        </x:is>
      </x:c>
      <x:c r="E577" s="16" t="inlineStr">
        <x:is>
          <x:t xml:space="preserve">Semantic compression</x:t>
        </x:is>
      </x:c>
      <x:c r="F577" s="16" t="inlineStr">
        <x:is>
          <x:t xml:space="preserve">Audio-on</x:t>
        </x:is>
      </x:c>
      <x:c r="G577" s="21" t="n">
        <x:v>20</x:v>
      </x:c>
      <x:c r="H577" s="21" t="inlineStr">
        <x:is>
          <x:t xml:space="preserve"/>
        </x:is>
      </x:c>
      <x:c r="I577" s="21" t="inlineStr">
        <x:is>
          <x:t xml:space="preserve"/>
        </x:is>
      </x:c>
      <x:c r="J577" s="21" t="inlineStr">
        <x:is>
          <x:t xml:space="preserve"/>
        </x:is>
      </x:c>
      <x:c r="K577" s="21" t="inlineStr">
        <x:is>
          <x:t xml:space="preserve"/>
        </x:is>
      </x:c>
      <x:c r="L577" s="21" t="inlineStr">
        <x:is>
          <x:t xml:space="preserve"/>
        </x:is>
      </x:c>
      <x:c r="M577" s="21" t="inlineStr">
        <x:is>
          <x:t xml:space="preserve"/>
        </x:is>
      </x:c>
      <x:c r="N577" s="21" t="inlineStr">
        <x:is>
          <x:t xml:space="preserve"/>
        </x:is>
      </x:c>
      <x:c r="O577" s="21" t="inlineStr">
        <x:is>
          <x:t xml:space="preserve"/>
        </x:is>
      </x:c>
      <x:c r="P577" s="21" t="inlineStr">
        <x:is>
          <x:t xml:space="preserve"/>
        </x:is>
      </x:c>
      <x:c r="Q577" s="21" t="inlineStr">
        <x:is>
          <x:t xml:space="preserve"/>
        </x:is>
      </x:c>
      <x:c r="R577" s="21" t="inlineStr">
        <x:is>
          <x:t xml:space="preserve"/>
        </x:is>
      </x:c>
      <x:c r="S577" s="22">
        <x:f>IF(H577="","",IFERROR(H577/G577,""))</x:f>
      </x:c>
      <x:c r="T577" s="23">
        <x:f>IF(H577="","",IFERROR((J577+K577+L577+N577)/H577,""))</x:f>
      </x:c>
      <x:c r="U577" s="22">
        <x:f>IF(COUNTA(J577:L577,N577)=0,"",IFERROR(AVERAGE(J577:L577,N577),""))</x:f>
      </x:c>
      <x:c r="V577" s="16" t="inlineStr">
        <x:is>
          <x:t xml:space="preserve"/>
        </x:is>
      </x:c>
    </x:row>
    <x:row r="578">
      <x:c r="A578" s="17" t="inlineStr">
        <x:is>
          <x:t xml:space="preserve">P048</x:t>
        </x:is>
      </x:c>
      <x:c r="B578" s="17" t="n">
        <x:v>10</x:v>
      </x:c>
      <x:c r="C578" s="17" t="inlineStr">
        <x:is>
          <x:t xml:space="preserve">V03</x:t>
        </x:is>
      </x:c>
      <x:c r="D578" s="17" t="inlineStr">
        <x:is>
          <x:t xml:space="preserve">Fitness</x:t>
        </x:is>
      </x:c>
      <x:c r="E578" s="17" t="inlineStr">
        <x:is>
          <x:t xml:space="preserve">Keyword highlight</x:t>
        </x:is>
      </x:c>
      <x:c r="F578" s="17" t="inlineStr">
        <x:is>
          <x:t xml:space="preserve">Audio-on</x:t>
        </x:is>
      </x:c>
      <x:c r="G578" s="24" t="n">
        <x:v>18</x:v>
      </x:c>
      <x:c r="H578" s="24" t="inlineStr">
        <x:is>
          <x:t xml:space="preserve"/>
        </x:is>
      </x:c>
      <x:c r="I578" s="24" t="inlineStr">
        <x:is>
          <x:t xml:space="preserve"/>
        </x:is>
      </x:c>
      <x:c r="J578" s="24" t="inlineStr">
        <x:is>
          <x:t xml:space="preserve"/>
        </x:is>
      </x:c>
      <x:c r="K578" s="24" t="inlineStr">
        <x:is>
          <x:t xml:space="preserve"/>
        </x:is>
      </x:c>
      <x:c r="L578" s="24" t="inlineStr">
        <x:is>
          <x:t xml:space="preserve"/>
        </x:is>
      </x:c>
      <x:c r="M578" s="24" t="inlineStr">
        <x:is>
          <x:t xml:space="preserve"/>
        </x:is>
      </x:c>
      <x:c r="N578" s="24" t="inlineStr">
        <x:is>
          <x:t xml:space="preserve"/>
        </x:is>
      </x:c>
      <x:c r="O578" s="24" t="inlineStr">
        <x:is>
          <x:t xml:space="preserve"/>
        </x:is>
      </x:c>
      <x:c r="P578" s="24" t="inlineStr">
        <x:is>
          <x:t xml:space="preserve"/>
        </x:is>
      </x:c>
      <x:c r="Q578" s="24" t="inlineStr">
        <x:is>
          <x:t xml:space="preserve"/>
        </x:is>
      </x:c>
      <x:c r="R578" s="24" t="inlineStr">
        <x:is>
          <x:t xml:space="preserve"/>
        </x:is>
      </x:c>
      <x:c r="S578" s="25">
        <x:f>IF(H578="","",IFERROR(H578/G578,""))</x:f>
      </x:c>
      <x:c r="T578" s="26">
        <x:f>IF(H578="","",IFERROR((J578+K578+L578+N578)/H578,""))</x:f>
      </x:c>
      <x:c r="U578" s="25">
        <x:f>IF(COUNTA(J578:L578,N578)=0,"",IFERROR(AVERAGE(J578:L578,N578),""))</x:f>
      </x:c>
      <x:c r="V578" s="17" t="inlineStr">
        <x:is>
          <x:t xml:space="preserve"/>
        </x:is>
      </x:c>
    </x:row>
    <x:row r="579">
      <x:c r="A579" s="16" t="inlineStr">
        <x:is>
          <x:t xml:space="preserve">P048</x:t>
        </x:is>
      </x:c>
      <x:c r="B579" s="16" t="n">
        <x:v>11</x:v>
      </x:c>
      <x:c r="C579" s="16" t="inlineStr">
        <x:is>
          <x:t xml:space="preserve">V12</x:t>
        </x:is>
      </x:c>
      <x:c r="D579" s="16" t="inlineStr">
        <x:is>
          <x:t xml:space="preserve">Time management</x:t>
        </x:is>
      </x:c>
      <x:c r="E579" s="16" t="inlineStr">
        <x:is>
          <x:t xml:space="preserve">BCC+</x:t>
        </x:is>
      </x:c>
      <x:c r="F579" s="16" t="inlineStr">
        <x:is>
          <x:t xml:space="preserve">Audio-on</x:t>
        </x:is>
      </x:c>
      <x:c r="G579" s="21" t="n">
        <x:v>21</x:v>
      </x:c>
      <x:c r="H579" s="21" t="inlineStr">
        <x:is>
          <x:t xml:space="preserve"/>
        </x:is>
      </x:c>
      <x:c r="I579" s="21" t="inlineStr">
        <x:is>
          <x:t xml:space="preserve"/>
        </x:is>
      </x:c>
      <x:c r="J579" s="21" t="inlineStr">
        <x:is>
          <x:t xml:space="preserve"/>
        </x:is>
      </x:c>
      <x:c r="K579" s="21" t="inlineStr">
        <x:is>
          <x:t xml:space="preserve"/>
        </x:is>
      </x:c>
      <x:c r="L579" s="21" t="inlineStr">
        <x:is>
          <x:t xml:space="preserve"/>
        </x:is>
      </x:c>
      <x:c r="M579" s="21" t="inlineStr">
        <x:is>
          <x:t xml:space="preserve"/>
        </x:is>
      </x:c>
      <x:c r="N579" s="21" t="inlineStr">
        <x:is>
          <x:t xml:space="preserve"/>
        </x:is>
      </x:c>
      <x:c r="O579" s="21" t="inlineStr">
        <x:is>
          <x:t xml:space="preserve"/>
        </x:is>
      </x:c>
      <x:c r="P579" s="21" t="inlineStr">
        <x:is>
          <x:t xml:space="preserve"/>
        </x:is>
      </x:c>
      <x:c r="Q579" s="21" t="inlineStr">
        <x:is>
          <x:t xml:space="preserve"/>
        </x:is>
      </x:c>
      <x:c r="R579" s="21" t="inlineStr">
        <x:is>
          <x:t xml:space="preserve"/>
        </x:is>
      </x:c>
      <x:c r="S579" s="22">
        <x:f>IF(H579="","",IFERROR(H579/G579,""))</x:f>
      </x:c>
      <x:c r="T579" s="23">
        <x:f>IF(H579="","",IFERROR((J579+K579+L579+N579)/H579,""))</x:f>
      </x:c>
      <x:c r="U579" s="22">
        <x:f>IF(COUNTA(J579:L579,N579)=0,"",IFERROR(AVERAGE(J579:L579,N579),""))</x:f>
      </x:c>
      <x:c r="V579" s="16" t="inlineStr">
        <x:is>
          <x:t xml:space="preserve"/>
        </x:is>
      </x:c>
    </x:row>
    <x:row r="580">
      <x:c r="A580" s="17" t="inlineStr">
        <x:is>
          <x:t xml:space="preserve">P048</x:t>
        </x:is>
      </x:c>
      <x:c r="B580" s="17" t="n">
        <x:v>12</x:v>
      </x:c>
      <x:c r="C580" s="17" t="inlineStr">
        <x:is>
          <x:t xml:space="preserve">V05</x:t>
        </x:is>
      </x:c>
      <x:c r="D580" s="17" t="inlineStr">
        <x:is>
          <x:t xml:space="preserve">Tutorial</x:t>
        </x:is>
      </x:c>
      <x:c r="E580" s="17" t="inlineStr">
        <x:is>
          <x:t xml:space="preserve">BCC</x:t>
        </x:is>
      </x:c>
      <x:c r="F580" s="17" t="inlineStr">
        <x:is>
          <x:t xml:space="preserve">Audio-on</x:t>
        </x:is>
      </x:c>
      <x:c r="G580" s="24" t="n">
        <x:v>20</x:v>
      </x:c>
      <x:c r="H580" s="24" t="inlineStr">
        <x:is>
          <x:t xml:space="preserve"/>
        </x:is>
      </x:c>
      <x:c r="I580" s="24" t="inlineStr">
        <x:is>
          <x:t xml:space="preserve"/>
        </x:is>
      </x:c>
      <x:c r="J580" s="24" t="inlineStr">
        <x:is>
          <x:t xml:space="preserve"/>
        </x:is>
      </x:c>
      <x:c r="K580" s="24" t="inlineStr">
        <x:is>
          <x:t xml:space="preserve"/>
        </x:is>
      </x:c>
      <x:c r="L580" s="24" t="inlineStr">
        <x:is>
          <x:t xml:space="preserve"/>
        </x:is>
      </x:c>
      <x:c r="M580" s="24" t="inlineStr">
        <x:is>
          <x:t xml:space="preserve"/>
        </x:is>
      </x:c>
      <x:c r="N580" s="24" t="inlineStr">
        <x:is>
          <x:t xml:space="preserve"/>
        </x:is>
      </x:c>
      <x:c r="O580" s="24" t="inlineStr">
        <x:is>
          <x:t xml:space="preserve"/>
        </x:is>
      </x:c>
      <x:c r="P580" s="24" t="inlineStr">
        <x:is>
          <x:t xml:space="preserve"/>
        </x:is>
      </x:c>
      <x:c r="Q580" s="24" t="inlineStr">
        <x:is>
          <x:t xml:space="preserve"/>
        </x:is>
      </x:c>
      <x:c r="R580" s="24" t="inlineStr">
        <x:is>
          <x:t xml:space="preserve"/>
        </x:is>
      </x:c>
      <x:c r="S580" s="25">
        <x:f>IF(H580="","",IFERROR(H580/G580,""))</x:f>
      </x:c>
      <x:c r="T580" s="26">
        <x:f>IF(H580="","",IFERROR((J580+K580+L580+N580)/H580,""))</x:f>
      </x:c>
      <x:c r="U580" s="25">
        <x:f>IF(COUNTA(J580:L580,N580)=0,"",IFERROR(AVERAGE(J580:L580,N580),""))</x:f>
      </x:c>
      <x:c r="V580" s="17" t="inlineStr">
        <x:is>
          <x:t xml:space="preserve"/>
        </x:is>
      </x:c>
    </x:row>
  </x:sheetData>
  <x:mergeCells>
    <x:mergeCell ref="A1:T1"/>
    <x:mergeCell ref="A2:T2"/>
  </x:mergeCells>
  <x:dataValidations count="9">
    <x:dataValidation type="whole" operator="between" allowBlank="1" showDropDown="0" showInputMessage="0" showErrorMessage="0" sqref="J5:J580">
      <x:formula1>0</x:formula1>
      <x:formula2>1</x:formula2>
    </x:dataValidation>
    <x:dataValidation type="whole" operator="between" allowBlank="1" showDropDown="0" showInputMessage="0" showErrorMessage="0" sqref="K5:K580">
      <x:formula1>0</x:formula1>
      <x:formula2>1</x:formula2>
    </x:dataValidation>
    <x:dataValidation type="whole" operator="between" allowBlank="1" showDropDown="0" showInputMessage="0" showErrorMessage="0" sqref="L5:L580">
      <x:formula1>0</x:formula1>
      <x:formula2>1</x:formula2>
    </x:dataValidation>
    <x:dataValidation type="whole" operator="between" allowBlank="1" showDropDown="0" showInputMessage="0" showErrorMessage="0" sqref="N5:N580">
      <x:formula1>0</x:formula1>
      <x:formula2>1</x:formula2>
    </x:dataValidation>
    <x:dataValidation type="whole" operator="between" allowBlank="1" showDropDown="0" showInputMessage="0" showErrorMessage="0" sqref="M5:M580">
      <x:formula1>0</x:formula1>
      <x:formula2>2</x:formula2>
    </x:dataValidation>
    <x:dataValidation type="whole" operator="between" allowBlank="1" showDropDown="0" showInputMessage="0" showErrorMessage="0" sqref="O5:O580">
      <x:formula1>1</x:formula1>
      <x:formula2>7</x:formula2>
    </x:dataValidation>
    <x:dataValidation type="whole" operator="between" allowBlank="1" showDropDown="0" showInputMessage="0" showErrorMessage="0" sqref="P5:P580">
      <x:formula1>1</x:formula1>
      <x:formula2>7</x:formula2>
    </x:dataValidation>
    <x:dataValidation type="whole" operator="between" allowBlank="1" showDropDown="0" showInputMessage="0" showErrorMessage="0" sqref="Q5:Q580">
      <x:formula1>1</x:formula1>
      <x:formula2>7</x:formula2>
    </x:dataValidation>
    <x:dataValidation type="whole" operator="between" allowBlank="1" showDropDown="0" showInputMessage="0" showErrorMessage="0" sqref="R5:R580">
      <x:formula1>1</x:formula1>
      <x:formula2>7</x:formula2>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22" customWidth="1"/>
    <x:col min="2" max="2" width="10" customWidth="1"/>
    <x:col min="3" max="3" width="16" customWidth="1"/>
    <x:col min="4" max="4" width="18" customWidth="1"/>
    <x:col min="5" max="5" width="18" customWidth="1"/>
    <x:col min="6" max="6" width="12" customWidth="1"/>
    <x:col min="7" max="7" width="16" customWidth="1"/>
    <x:col min="8" max="8" width="16" customWidth="1"/>
    <x:col min="9" max="9" width="14" customWidth="1"/>
    <x:col min="10" max="10" width="16" customWidth="1"/>
    <x:col min="11" max="11" width="52" customWidth="1"/>
  </x:cols>
  <x:sheetData>
    <x:row r="1" ht="24" customHeight="1">
      <x:c r="A1" s="14" t="inlineStr">
        <x:is>
          <x:t xml:space="preserve">Summary Dashboard — Auto Summary by Variant</x:t>
        </x:is>
      </x:c>
    </x:row>
    <x:row r="2" ht="32" customHeight="1">
      <x:c r="A2" s="3" t="inlineStr">
        <x:is>
          <x:t xml:space="preserve">Summary formulas calculate once Data Entry Template is populated. Blank values indicate no data entered yet.</x:t>
        </x:is>
      </x:c>
    </x:row>
    <x:row r="4">
      <x:c r="A4" s="15" t="inlineStr">
        <x:is>
          <x:t xml:space="preserve">Variant</x:t>
        </x:is>
      </x:c>
      <x:c r="B4" s="15" t="inlineStr">
        <x:is>
          <x:t xml:space="preserve">N trials</x:t>
        </x:is>
      </x:c>
      <x:c r="C4" s="15" t="inlineStr">
        <x:is>
          <x:t xml:space="preserve">Avg completion</x:t>
        </x:is>
      </x:c>
      <x:c r="D4" s="15" t="inlineStr">
        <x:is>
          <x:t xml:space="preserve">Avg meaning/sec</x:t>
        </x:is>
      </x:c>
      <x:c r="E4" s="15" t="inlineStr">
        <x:is>
          <x:t xml:space="preserve">Avg comprehension</x:t>
        </x:is>
      </x:c>
      <x:c r="F4" s="15" t="inlineStr">
        <x:is>
          <x:t xml:space="preserve">Avg effort</x:t>
        </x:is>
      </x:c>
      <x:c r="G4" s="15" t="inlineStr">
        <x:is>
          <x:t xml:space="preserve">Avg helpfulness</x:t>
        </x:is>
      </x:c>
      <x:c r="H4" s="15" t="inlineStr">
        <x:is>
          <x:t xml:space="preserve">Avg distraction</x:t>
        </x:is>
      </x:c>
      <x:c r="I4" s="15" t="inlineStr">
        <x:is>
          <x:t xml:space="preserve">Avg clarity</x:t>
        </x:is>
      </x:c>
      <x:c r="J4" s="15" t="inlineStr">
        <x:is>
          <x:t xml:space="preserve">Decision signal</x:t>
        </x:is>
      </x:c>
      <x:c r="K4" s="15" t="inlineStr">
        <x:is>
          <x:t xml:space="preserve">Interpretation</x:t>
        </x:is>
      </x:c>
    </x:row>
    <x:row r="5" ht="50" customHeight="1">
      <x:c r="A5" s="16" t="inlineStr">
        <x:is>
          <x:t xml:space="preserve">Full transcript</x:t>
        </x:is>
      </x:c>
      <x:c r="B5" s="38">
        <x:f>COUNTIF('Data Entry Template'!E:E,A5)</x:f>
        <x:v>96</x:v>
      </x:c>
      <x:c r="C5" s="27">
        <x:f>IFERROR(AVERAGEIFS('Data Entry Template'!S:S,'Data Entry Template'!E:E,A5,'Data Entry Template'!S:S,"&lt;&gt;"),"")</x:f>
      </x:c>
      <x:c r="D5" s="28">
        <x:f>IFERROR(AVERAGEIFS('Data Entry Template'!T:T,'Data Entry Template'!E:E,A5,'Data Entry Template'!T:T,"&lt;&gt;"),"")</x:f>
      </x:c>
      <x:c r="E5" s="27">
        <x:f>IFERROR(AVERAGEIFS('Data Entry Template'!U:U,'Data Entry Template'!E:E,A5,'Data Entry Template'!U:U,"&lt;&gt;"),"")</x:f>
      </x:c>
      <x:c r="F5" s="29">
        <x:f>IFERROR(AVERAGEIFS('Data Entry Template'!O:O,'Data Entry Template'!E:E,A5,'Data Entry Template'!O:O,"&lt;&gt;"),"")</x:f>
      </x:c>
      <x:c r="G5" s="29">
        <x:f>IFERROR(AVERAGEIFS('Data Entry Template'!P:P,'Data Entry Template'!E:E,A5,'Data Entry Template'!P:P,"&lt;&gt;"),"")</x:f>
      </x:c>
      <x:c r="H5" s="29">
        <x:f>IFERROR(AVERAGEIFS('Data Entry Template'!Q:Q,'Data Entry Template'!E:E,A5,'Data Entry Template'!Q:Q,"&lt;&gt;"),"")</x:f>
      </x:c>
      <x:c r="I5" s="29">
        <x:f>IFERROR(AVERAGEIFS('Data Entry Template'!R:R,'Data Entry Template'!E:E,A5,'Data Entry Template'!R:R,"&lt;&gt;"),"")</x:f>
      </x:c>
      <x:c r="J5" s="30" t="inlineStr">
        <x:is>
          <x:t xml:space="preserve"/>
        </x:is>
      </x:c>
      <x:c r="K5" s="16" t="inlineStr">
        <x:is>
          <x:t xml:space="preserve"/>
        </x:is>
      </x:c>
    </x:row>
    <x:row r="6" ht="50" customHeight="1">
      <x:c r="A6" s="17" t="inlineStr">
        <x:is>
          <x:t xml:space="preserve">Keyword highlight</x:t>
        </x:is>
      </x:c>
      <x:c r="B6" s="39">
        <x:f>COUNTIF('Data Entry Template'!E:E,A6)</x:f>
        <x:v>96</x:v>
      </x:c>
      <x:c r="C6" s="31">
        <x:f>IFERROR(AVERAGEIFS('Data Entry Template'!S:S,'Data Entry Template'!E:E,A6,'Data Entry Template'!S:S,"&lt;&gt;"),"")</x:f>
      </x:c>
      <x:c r="D6" s="32">
        <x:f>IFERROR(AVERAGEIFS('Data Entry Template'!T:T,'Data Entry Template'!E:E,A6,'Data Entry Template'!T:T,"&lt;&gt;"),"")</x:f>
      </x:c>
      <x:c r="E6" s="31">
        <x:f>IFERROR(AVERAGEIFS('Data Entry Template'!U:U,'Data Entry Template'!E:E,A6,'Data Entry Template'!U:U,"&lt;&gt;"),"")</x:f>
      </x:c>
      <x:c r="F6" s="33">
        <x:f>IFERROR(AVERAGEIFS('Data Entry Template'!O:O,'Data Entry Template'!E:E,A6,'Data Entry Template'!O:O,"&lt;&gt;"),"")</x:f>
      </x:c>
      <x:c r="G6" s="33">
        <x:f>IFERROR(AVERAGEIFS('Data Entry Template'!P:P,'Data Entry Template'!E:E,A6,'Data Entry Template'!P:P,"&lt;&gt;"),"")</x:f>
      </x:c>
      <x:c r="H6" s="33">
        <x:f>IFERROR(AVERAGEIFS('Data Entry Template'!Q:Q,'Data Entry Template'!E:E,A6,'Data Entry Template'!Q:Q,"&lt;&gt;"),"")</x:f>
      </x:c>
      <x:c r="I6" s="33">
        <x:f>IFERROR(AVERAGEIFS('Data Entry Template'!R:R,'Data Entry Template'!E:E,A6,'Data Entry Template'!R:R,"&lt;&gt;"),"")</x:f>
      </x:c>
      <x:c r="J6" s="34" t="inlineStr">
        <x:is>
          <x:t xml:space="preserve"/>
        </x:is>
      </x:c>
      <x:c r="K6" s="17" t="inlineStr">
        <x:is>
          <x:t xml:space="preserve"/>
        </x:is>
      </x:c>
    </x:row>
    <x:row r="7" ht="50" customHeight="1">
      <x:c r="A7" s="16" t="inlineStr">
        <x:is>
          <x:t xml:space="preserve">Semantic compression</x:t>
        </x:is>
      </x:c>
      <x:c r="B7" s="38">
        <x:f>COUNTIF('Data Entry Template'!E:E,A7)</x:f>
        <x:v>96</x:v>
      </x:c>
      <x:c r="C7" s="27">
        <x:f>IFERROR(AVERAGEIFS('Data Entry Template'!S:S,'Data Entry Template'!E:E,A7,'Data Entry Template'!S:S,"&lt;&gt;"),"")</x:f>
      </x:c>
      <x:c r="D7" s="28">
        <x:f>IFERROR(AVERAGEIFS('Data Entry Template'!T:T,'Data Entry Template'!E:E,A7,'Data Entry Template'!T:T,"&lt;&gt;"),"")</x:f>
      </x:c>
      <x:c r="E7" s="27">
        <x:f>IFERROR(AVERAGEIFS('Data Entry Template'!U:U,'Data Entry Template'!E:E,A7,'Data Entry Template'!U:U,"&lt;&gt;"),"")</x:f>
      </x:c>
      <x:c r="F7" s="29">
        <x:f>IFERROR(AVERAGEIFS('Data Entry Template'!O:O,'Data Entry Template'!E:E,A7,'Data Entry Template'!O:O,"&lt;&gt;"),"")</x:f>
      </x:c>
      <x:c r="G7" s="29">
        <x:f>IFERROR(AVERAGEIFS('Data Entry Template'!P:P,'Data Entry Template'!E:E,A7,'Data Entry Template'!P:P,"&lt;&gt;"),"")</x:f>
      </x:c>
      <x:c r="H7" s="29">
        <x:f>IFERROR(AVERAGEIFS('Data Entry Template'!Q:Q,'Data Entry Template'!E:E,A7,'Data Entry Template'!Q:Q,"&lt;&gt;"),"")</x:f>
      </x:c>
      <x:c r="I7" s="29">
        <x:f>IFERROR(AVERAGEIFS('Data Entry Template'!R:R,'Data Entry Template'!E:E,A7,'Data Entry Template'!R:R,"&lt;&gt;"),"")</x:f>
      </x:c>
      <x:c r="J7" s="30" t="inlineStr">
        <x:is>
          <x:t xml:space="preserve"/>
        </x:is>
      </x:c>
      <x:c r="K7" s="16" t="inlineStr">
        <x:is>
          <x:t xml:space="preserve"/>
        </x:is>
      </x:c>
    </x:row>
    <x:row r="8" ht="50" customHeight="1">
      <x:c r="A8" s="17" t="inlineStr">
        <x:is>
          <x:t xml:space="preserve">BCC</x:t>
        </x:is>
      </x:c>
      <x:c r="B8" s="39">
        <x:f>COUNTIF('Data Entry Template'!E:E,A8)</x:f>
        <x:v>96</x:v>
      </x:c>
      <x:c r="C8" s="31">
        <x:f>IFERROR(AVERAGEIFS('Data Entry Template'!S:S,'Data Entry Template'!E:E,A8,'Data Entry Template'!S:S,"&lt;&gt;"),"")</x:f>
      </x:c>
      <x:c r="D8" s="32">
        <x:f>IFERROR(AVERAGEIFS('Data Entry Template'!T:T,'Data Entry Template'!E:E,A8,'Data Entry Template'!T:T,"&lt;&gt;"),"")</x:f>
      </x:c>
      <x:c r="E8" s="31">
        <x:f>IFERROR(AVERAGEIFS('Data Entry Template'!U:U,'Data Entry Template'!E:E,A8,'Data Entry Template'!U:U,"&lt;&gt;"),"")</x:f>
      </x:c>
      <x:c r="F8" s="33">
        <x:f>IFERROR(AVERAGEIFS('Data Entry Template'!O:O,'Data Entry Template'!E:E,A8,'Data Entry Template'!O:O,"&lt;&gt;"),"")</x:f>
      </x:c>
      <x:c r="G8" s="33">
        <x:f>IFERROR(AVERAGEIFS('Data Entry Template'!P:P,'Data Entry Template'!E:E,A8,'Data Entry Template'!P:P,"&lt;&gt;"),"")</x:f>
      </x:c>
      <x:c r="H8" s="33">
        <x:f>IFERROR(AVERAGEIFS('Data Entry Template'!Q:Q,'Data Entry Template'!E:E,A8,'Data Entry Template'!Q:Q,"&lt;&gt;"),"")</x:f>
      </x:c>
      <x:c r="I8" s="33">
        <x:f>IFERROR(AVERAGEIFS('Data Entry Template'!R:R,'Data Entry Template'!E:E,A8,'Data Entry Template'!R:R,"&lt;&gt;"),"")</x:f>
      </x:c>
      <x:c r="J8" s="31">
        <x:f>IF(OR(E8="",E7=""),"",E8-E7)</x:f>
      </x:c>
      <x:c r="K8" s="17" t="inlineStr">
        <x:is>
          <x:t xml:space="preserve">BCC - Semantic Compression: positive value means anchors add comprehension value.</x:t>
        </x:is>
      </x:c>
    </x:row>
    <x:row r="9" ht="50" customHeight="1">
      <x:c r="A9" s="16" t="inlineStr">
        <x:is>
          <x:t xml:space="preserve">BCC+</x:t>
        </x:is>
      </x:c>
      <x:c r="B9" s="38">
        <x:f>COUNTIF('Data Entry Template'!E:E,A9)</x:f>
        <x:v>96</x:v>
      </x:c>
      <x:c r="C9" s="27">
        <x:f>IFERROR(AVERAGEIFS('Data Entry Template'!S:S,'Data Entry Template'!E:E,A9,'Data Entry Template'!S:S,"&lt;&gt;"),"")</x:f>
      </x:c>
      <x:c r="D9" s="28">
        <x:f>IFERROR(AVERAGEIFS('Data Entry Template'!T:T,'Data Entry Template'!E:E,A9,'Data Entry Template'!T:T,"&lt;&gt;"),"")</x:f>
      </x:c>
      <x:c r="E9" s="27">
        <x:f>IFERROR(AVERAGEIFS('Data Entry Template'!U:U,'Data Entry Template'!E:E,A9,'Data Entry Template'!U:U,"&lt;&gt;"),"")</x:f>
      </x:c>
      <x:c r="F9" s="29">
        <x:f>IFERROR(AVERAGEIFS('Data Entry Template'!O:O,'Data Entry Template'!E:E,A9,'Data Entry Template'!O:O,"&lt;&gt;"),"")</x:f>
      </x:c>
      <x:c r="G9" s="29">
        <x:f>IFERROR(AVERAGEIFS('Data Entry Template'!P:P,'Data Entry Template'!E:E,A9,'Data Entry Template'!P:P,"&lt;&gt;"),"")</x:f>
      </x:c>
      <x:c r="H9" s="29">
        <x:f>IFERROR(AVERAGEIFS('Data Entry Template'!Q:Q,'Data Entry Template'!E:E,A9,'Data Entry Template'!Q:Q,"&lt;&gt;"),"")</x:f>
      </x:c>
      <x:c r="I9" s="29">
        <x:f>IFERROR(AVERAGEIFS('Data Entry Template'!R:R,'Data Entry Template'!E:E,A9,'Data Entry Template'!R:R,"&lt;&gt;"),"")</x:f>
      </x:c>
      <x:c r="J9" s="27">
        <x:f>IF(OR(E9="",E8=""),"",E9-E8)</x:f>
      </x:c>
      <x:c r="K9" s="16" t="inlineStr">
        <x:is>
          <x:t xml:space="preserve">BCC+ - BCC: positive value means placement/adaptive-density adds value.</x:t>
        </x:is>
      </x:c>
    </x:row>
    <x:row r="10" ht="50" customHeight="1">
      <x:c r="A10" s="17" t="inlineStr">
        <x:is>
          <x:t xml:space="preserve">Heavy bionic</x:t>
        </x:is>
      </x:c>
      <x:c r="B10" s="39">
        <x:f>COUNTIF('Data Entry Template'!E:E,A10)</x:f>
        <x:v>96</x:v>
      </x:c>
      <x:c r="C10" s="31">
        <x:f>IFERROR(AVERAGEIFS('Data Entry Template'!S:S,'Data Entry Template'!E:E,A10,'Data Entry Template'!S:S,"&lt;&gt;"),"")</x:f>
      </x:c>
      <x:c r="D10" s="32">
        <x:f>IFERROR(AVERAGEIFS('Data Entry Template'!T:T,'Data Entry Template'!E:E,A10,'Data Entry Template'!T:T,"&lt;&gt;"),"")</x:f>
      </x:c>
      <x:c r="E10" s="31">
        <x:f>IFERROR(AVERAGEIFS('Data Entry Template'!U:U,'Data Entry Template'!E:E,A10,'Data Entry Template'!U:U,"&lt;&gt;"),"")</x:f>
      </x:c>
      <x:c r="F10" s="33">
        <x:f>IFERROR(AVERAGEIFS('Data Entry Template'!O:O,'Data Entry Template'!E:E,A10,'Data Entry Template'!O:O,"&lt;&gt;"),"")</x:f>
      </x:c>
      <x:c r="G10" s="33">
        <x:f>IFERROR(AVERAGEIFS('Data Entry Template'!P:P,'Data Entry Template'!E:E,A10,'Data Entry Template'!P:P,"&lt;&gt;"),"")</x:f>
      </x:c>
      <x:c r="H10" s="33">
        <x:f>IFERROR(AVERAGEIFS('Data Entry Template'!Q:Q,'Data Entry Template'!E:E,A10,'Data Entry Template'!Q:Q,"&lt;&gt;"),"")</x:f>
      </x:c>
      <x:c r="I10" s="33">
        <x:f>IFERROR(AVERAGEIFS('Data Entry Template'!R:R,'Data Entry Template'!E:E,A10,'Data Entry Template'!R:R,"&lt;&gt;"),"")</x:f>
      </x:c>
      <x:c r="J10" s="31">
        <x:f>IF(OR(E10="",E8=""),"",E10-E8)</x:f>
      </x:c>
      <x:c r="K10" s="17" t="inlineStr">
        <x:is>
          <x:t xml:space="preserve">Heavy Bionic - BCC: negative value supports sparse anchoring.</x:t>
        </x:is>
      </x:c>
    </x:row>
    <x:row r="13" ht="62" customHeight="1">
      <x:c r="A13" s="8" t="inlineStr">
        <x:is>
          <x:t xml:space="preserve">Decision gate</x:t>
        </x:is>
      </x:c>
      <x:c r="B13" s="2" t="inlineStr">
        <x:is>
          <x:t xml:space="preserve">If Semantic Compression ≈ BCC, bionic anchors become optional styling. If BCC+ &gt; BCC on visual recall/effort/completion, placement and adaptive density become the main product advantage.</x:t>
        </x:is>
      </x:c>
    </x:row>
  </x:sheetData>
  <x:mergeCells>
    <x:mergeCell ref="A2:L2"/>
    <x:mergeCell ref="B13:L13"/>
    <x:mergeCell ref="A1:L1"/>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8" customWidth="1"/>
    <x:col min="2" max="2" width="24" customWidth="1"/>
    <x:col min="3" max="3" width="34" customWidth="1"/>
    <x:col min="4" max="4" width="36" customWidth="1"/>
    <x:col min="5" max="5" width="48" customWidth="1"/>
    <x:col min="6" max="6" width="42" customWidth="1"/>
  </x:cols>
  <x:sheetData>
    <x:row r="1" ht="24" customHeight="1">
      <x:c r="A1" s="14" t="inlineStr">
        <x:is>
          <x:t xml:space="preserve">Analysis Plan — Tests, Contrasts, and Decision Gates</x:t>
        </x:is>
      </x:c>
    </x:row>
    <x:row r="2" ht="32" customHeight="1">
      <x:c r="A2" s="3" t="inlineStr">
        <x:is>
          <x:t xml:space="preserve">Use this to interpret controlled pilot and platform A/B data. The key is isolating components rather than proving a preferred style.</x:t>
        </x:is>
      </x:c>
    </x:row>
    <x:row r="4">
      <x:c r="A4" s="15" t="inlineStr">
        <x:is>
          <x:t xml:space="preserve">ID</x:t>
        </x:is>
      </x:c>
      <x:c r="B4" s="15" t="inlineStr">
        <x:is>
          <x:t xml:space="preserve">Effect</x:t>
        </x:is>
      </x:c>
      <x:c r="C4" s="15" t="inlineStr">
        <x:is>
          <x:t xml:space="preserve">Primary comparison</x:t>
        </x:is>
      </x:c>
      <x:c r="D4" s="15" t="inlineStr">
        <x:is>
          <x:t xml:space="preserve">Primary measures</x:t>
        </x:is>
      </x:c>
      <x:c r="E4" s="15" t="inlineStr">
        <x:is>
          <x:t xml:space="preserve">Expected result</x:t>
        </x:is>
      </x:c>
      <x:c r="F4" s="15" t="inlineStr">
        <x:is>
          <x:t xml:space="preserve">Decision / next action</x:t>
        </x:is>
      </x:c>
    </x:row>
    <x:row r="5" ht="70" customHeight="1">
      <x:c r="A5" s="16" t="inlineStr">
        <x:is>
          <x:t xml:space="preserve">A1</x:t>
        </x:is>
      </x:c>
      <x:c r="B5" s="16" t="inlineStr">
        <x:is>
          <x:t xml:space="preserve">Semantic compression effect</x:t>
        </x:is>
      </x:c>
      <x:c r="C5" s="16" t="inlineStr">
        <x:is>
          <x:t xml:space="preserve">Full transcript vs Semantic compression</x:t>
        </x:is>
      </x:c>
      <x:c r="D5" s="16" t="inlineStr">
        <x:is>
          <x:t xml:space="preserve">Gist recall; action recall; effort</x:t>
        </x:is>
      </x:c>
      <x:c r="E5" s="16" t="inlineStr">
        <x:is>
          <x:t xml:space="preserve">Semantic compression should raise gist/action or lower effort, but may lower exact recall.</x:t>
        </x:is>
      </x:c>
      <x:c r="F5" s="16" t="inlineStr">
        <x:is>
          <x:t xml:space="preserve">If no improvement, revise compression method.</x:t>
        </x:is>
      </x:c>
    </x:row>
    <x:row r="6" ht="70" customHeight="1">
      <x:c r="A6" s="17" t="inlineStr">
        <x:is>
          <x:t xml:space="preserve">A2</x:t>
        </x:is>
      </x:c>
      <x:c r="B6" s="17" t="inlineStr">
        <x:is>
          <x:t xml:space="preserve">Bionic anchor effect</x:t>
        </x:is>
      </x:c>
      <x:c r="C6" s="17" t="inlineStr">
        <x:is>
          <x:t xml:space="preserve">Semantic compression vs BCC</x:t>
        </x:is>
      </x:c>
      <x:c r="D6" s="17" t="inlineStr">
        <x:is>
          <x:t xml:space="preserve">Gist; phrase recall; clarity; effort</x:t>
        </x:is>
      </x:c>
      <x:c r="E6" s="17" t="inlineStr">
        <x:is>
          <x:t xml:space="preserve">BCC must beat compression on at least one key metric without higher distraction.</x:t>
        </x:is>
      </x:c>
      <x:c r="F6" s="17" t="inlineStr">
        <x:is>
          <x:t xml:space="preserve">If not, mark bionic anchors optional.</x:t>
        </x:is>
      </x:c>
    </x:row>
    <x:row r="7" ht="70" customHeight="1">
      <x:c r="A7" s="16" t="inlineStr">
        <x:is>
          <x:t xml:space="preserve">A3</x:t>
        </x:is>
      </x:c>
      <x:c r="B7" s="16" t="inlineStr">
        <x:is>
          <x:t xml:space="preserve">BCC+ physiology effect</x:t>
        </x:is>
      </x:c>
      <x:c r="C7" s="16" t="inlineStr">
        <x:is>
          <x:t xml:space="preserve">BCC vs BCC+</x:t>
        </x:is>
      </x:c>
      <x:c r="D7" s="16" t="inlineStr">
        <x:is>
          <x:t xml:space="preserve">Visual recall; face/object dwell; effort; completion</x:t>
        </x:is>
      </x:c>
      <x:c r="E7" s="16" t="inlineStr">
        <x:is>
          <x:t xml:space="preserve">BCC+ should reduce interference and improve muted comprehension.</x:t>
        </x:is>
      </x:c>
      <x:c r="F7" s="16" t="inlineStr">
        <x:is>
          <x:t xml:space="preserve">If yes, prioritize placement engine.</x:t>
        </x:is>
      </x:c>
    </x:row>
    <x:row r="8" ht="70" customHeight="1">
      <x:c r="A8" s="17" t="inlineStr">
        <x:is>
          <x:t xml:space="preserve">A4</x:t>
        </x:is>
      </x:c>
      <x:c r="B8" s="17" t="inlineStr">
        <x:is>
          <x:t xml:space="preserve">Over-styling cost</x:t>
        </x:is>
      </x:c>
      <x:c r="C8" s="17" t="inlineStr">
        <x:is>
          <x:t xml:space="preserve">BCC vs Heavy bionic</x:t>
        </x:is>
      </x:c>
      <x:c r="D8" s="17" t="inlineStr">
        <x:is>
          <x:t xml:space="preserve">Effort; distraction; comprehension</x:t>
        </x:is>
      </x:c>
      <x:c r="E8" s="17" t="inlineStr">
        <x:is>
          <x:t xml:space="preserve">Heavy bionic should be worse; validates sparse-anchor rule.</x:t>
        </x:is>
      </x:c>
      <x:c r="F8" s="17" t="inlineStr">
        <x:is>
          <x:t xml:space="preserve">If heavy wins, revisit assumptions.</x:t>
        </x:is>
      </x:c>
    </x:row>
    <x:row r="9" ht="70" customHeight="1">
      <x:c r="A9" s="16" t="inlineStr">
        <x:is>
          <x:t xml:space="preserve">A5</x:t>
        </x:is>
      </x:c>
      <x:c r="B9" s="16" t="inlineStr">
        <x:is>
          <x:t xml:space="preserve">Muted mode effect</x:t>
        </x:is>
      </x:c>
      <x:c r="C9" s="16" t="inlineStr">
        <x:is>
          <x:t xml:space="preserve">Audio-on vs muted within each variant</x:t>
        </x:is>
      </x:c>
      <x:c r="D9" s="16" t="inlineStr">
        <x:is>
          <x:t xml:space="preserve">Muted comprehension; effort</x:t>
        </x:is>
      </x:c>
      <x:c r="E9" s="16" t="inlineStr">
        <x:is>
          <x:t xml:space="preserve">Muted should make overlays more important; BCC+ should help most.</x:t>
        </x:is>
      </x:c>
      <x:c r="F9" s="16" t="inlineStr">
        <x:is>
          <x:t xml:space="preserve">If not, refine muted-first overlays.</x:t>
        </x:is>
      </x:c>
    </x:row>
    <x:row r="10" ht="70" customHeight="1">
      <x:c r="A10" s="17" t="inlineStr">
        <x:is>
          <x:t xml:space="preserve">A6</x:t>
        </x:is>
      </x:c>
      <x:c r="B10" s="17" t="inlineStr">
        <x:is>
          <x:t xml:space="preserve">Category interaction</x:t>
        </x:is>
      </x:c>
      <x:c r="C10" s="17" t="inlineStr">
        <x:is>
          <x:t xml:space="preserve">Variant × category</x:t>
        </x:is>
      </x:c>
      <x:c r="D10" s="17" t="inlineStr">
        <x:is>
          <x:t xml:space="preserve">Category-specific recall/completion</x:t>
        </x:is>
      </x:c>
      <x:c r="E10" s="17" t="inlineStr">
        <x:is>
          <x:t xml:space="preserve">BCC+ should help demos differently than talking-head clips.</x:t>
        </x:is>
      </x:c>
      <x:c r="F10" s="17" t="inlineStr">
        <x:is>
          <x:t xml:space="preserve">Build category rules.</x:t>
        </x:is>
      </x:c>
    </x:row>
    <x:row r="11" ht="70" customHeight="1">
      <x:c r="A11" s="16" t="inlineStr">
        <x:is>
          <x:t xml:space="preserve">A7</x:t>
        </x:is>
      </x:c>
      <x:c r="B11" s="16" t="inlineStr">
        <x:is>
          <x:t xml:space="preserve">Platform translation</x:t>
        </x:is>
      </x:c>
      <x:c r="C11" s="16" t="inlineStr">
        <x:is>
          <x:t xml:space="preserve">Controlled recall vs platform metrics</x:t>
        </x:is>
      </x:c>
      <x:c r="D11" s="16" t="inlineStr">
        <x:is>
          <x:t xml:space="preserve">Completion, saves, shares, comments</x:t>
        </x:is>
      </x:c>
      <x:c r="E11" s="16" t="inlineStr">
        <x:is>
          <x:t xml:space="preserve">Saves/share/comments should align with utility, not only watch time.</x:t>
        </x:is>
      </x:c>
      <x:c r="F11" s="16" t="inlineStr">
        <x:is>
          <x:t xml:space="preserve">Avoid optimizing watch time without comprehension.</x:t>
        </x:is>
      </x:c>
    </x:row>
    <x:row r="14" ht="68" customHeight="1">
      <x:c r="A14" s="7" t="inlineStr">
        <x:is>
          <x:t xml:space="preserve">Model suggestion</x:t>
        </x:is>
      </x:c>
      <x:c r="B14" s="2" t="inlineStr">
        <x:is>
          <x:t xml:space="preserve">For validation, use mixed-effects models where possible: outcome ~ variant * audio_mode + category + (1|participant) + (1|video). For a small pilot, use descriptive summaries and planned contrasts rather than overclaiming significance.</x:t>
        </x:is>
      </x:c>
    </x:row>
  </x:sheetData>
  <x:mergeCells>
    <x:mergeCell ref="B14:H14"/>
    <x:mergeCell ref="A2:H2"/>
    <x:mergeCell ref="A1:H1"/>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16" customWidth="1"/>
    <x:col min="2" max="2" width="12" customWidth="1"/>
    <x:col min="3" max="3" width="10" customWidth="1"/>
    <x:col min="4" max="4" width="18" customWidth="1"/>
    <x:col min="5" max="5" width="22" customWidth="1"/>
    <x:col min="6" max="6" width="14" customWidth="1"/>
    <x:col min="7" max="7" width="10" customWidth="1"/>
    <x:col min="8" max="8" width="15" customWidth="1"/>
    <x:col min="9" max="9" width="14" customWidth="1"/>
    <x:col min="10" max="10" width="16" customWidth="1"/>
    <x:col min="11" max="11" width="14" customWidth="1"/>
    <x:col min="12" max="12" width="14" customWidth="1"/>
    <x:col min="13" max="13" width="10" customWidth="1"/>
    <x:col min="14" max="14" width="10" customWidth="1"/>
    <x:col min="15" max="15" width="12" customWidth="1"/>
    <x:col min="16" max="16" width="22" customWidth="1"/>
    <x:col min="17" max="17" width="14" customWidth="1"/>
    <x:col min="18" max="18" width="14" customWidth="1"/>
    <x:col min="19" max="19" width="32" customWidth="1"/>
  </x:cols>
  <x:sheetData>
    <x:row r="1" ht="24" customHeight="1">
      <x:c r="A1" s="14" t="inlineStr">
        <x:is>
          <x:t xml:space="preserve">Platform A/B Tracker — Feed Metrics</x:t>
        </x:is>
      </x:c>
    </x:row>
    <x:row r="2" ht="32" customHeight="1">
      <x:c r="A2" s="3" t="inlineStr">
        <x:is>
          <x:t xml:space="preserve">Use after controlled pilot selects candidate variants. Do not treat raw watch time as sufficient; track clarity failures and utility signals.</x:t>
        </x:is>
      </x:c>
    </x:row>
    <x:row r="4">
      <x:c r="A4" s="15" t="inlineStr">
        <x:is>
          <x:t xml:space="preserve">Post_ID</x:t>
        </x:is>
      </x:c>
      <x:c r="B4" s="15" t="inlineStr">
        <x:is>
          <x:t xml:space="preserve">Platform</x:t>
        </x:is>
      </x:c>
      <x:c r="C4" s="15" t="inlineStr">
        <x:is>
          <x:t xml:space="preserve">Video_ID</x:t>
        </x:is>
      </x:c>
      <x:c r="D4" s="15" t="inlineStr">
        <x:is>
          <x:t xml:space="preserve">Category</x:t>
        </x:is>
      </x:c>
      <x:c r="E4" s="15" t="inlineStr">
        <x:is>
          <x:t xml:space="preserve">Variant</x:t>
        </x:is>
      </x:c>
      <x:c r="F4" s="15" t="inlineStr">
        <x:is>
          <x:t xml:space="preserve">Post_Date</x:t>
        </x:is>
      </x:c>
      <x:c r="G4" s="15" t="inlineStr">
        <x:is>
          <x:t xml:space="preserve">Views</x:t>
        </x:is>
      </x:c>
      <x:c r="H4" s="15" t="inlineStr">
        <x:is>
          <x:t xml:space="preserve">Video_Length_sec</x:t>
        </x:is>
      </x:c>
      <x:c r="I4" s="15" t="inlineStr">
        <x:is>
          <x:t xml:space="preserve">Avg_Watch_sec</x:t>
        </x:is>
      </x:c>
      <x:c r="J4" s="15" t="inlineStr">
        <x:is>
          <x:t xml:space="preserve">Completion_Rate</x:t>
        </x:is>
      </x:c>
      <x:c r="K4" s="15" t="inlineStr">
        <x:is>
          <x:t xml:space="preserve">3s_Hold_Rate</x:t>
        </x:is>
      </x:c>
      <x:c r="L4" s="15" t="inlineStr">
        <x:is>
          <x:t xml:space="preserve">Rewatch_Rate</x:t>
        </x:is>
      </x:c>
      <x:c r="M4" s="15" t="inlineStr">
        <x:is>
          <x:t xml:space="preserve">Saves</x:t>
        </x:is>
      </x:c>
      <x:c r="N4" s="15" t="inlineStr">
        <x:is>
          <x:t xml:space="preserve">Shares</x:t>
        </x:is>
      </x:c>
      <x:c r="O4" s="15" t="inlineStr">
        <x:is>
          <x:t xml:space="preserve">Comments</x:t>
        </x:is>
      </x:c>
      <x:c r="P4" s="15" t="inlineStr">
        <x:is>
          <x:t xml:space="preserve">Clarification_Comments</x:t>
        </x:is>
      </x:c>
      <x:c r="Q4" s="15" t="inlineStr">
        <x:is>
          <x:t xml:space="preserve">Saves_per_1k</x:t>
        </x:is>
      </x:c>
      <x:c r="R4" s="15" t="inlineStr">
        <x:is>
          <x:t xml:space="preserve">Shares_per_1k</x:t>
        </x:is>
      </x:c>
      <x:c r="S4" s="15" t="inlineStr">
        <x:is>
          <x:t xml:space="preserve">Notes</x:t>
        </x:is>
      </x:c>
    </x:row>
    <x:row r="5">
      <x:c r="A5" s="16" t="n"/>
      <x:c r="B5" s="16" t="n"/>
      <x:c r="C5" s="16" t="n"/>
      <x:c r="D5" s="16" t="n"/>
      <x:c r="E5" s="16" t="n"/>
      <x:c r="F5" s="16" t="n"/>
      <x:c r="G5" s="16" t="n"/>
      <x:c r="H5" s="16" t="n"/>
      <x:c r="I5" s="16" t="n"/>
      <x:c r="J5" s="27">
        <x:f>IF(I5="","",IFERROR(I5/H5,""))</x:f>
      </x:c>
      <x:c r="K5" s="30" t="n"/>
      <x:c r="L5" s="30" t="n"/>
      <x:c r="M5" s="16" t="n"/>
      <x:c r="N5" s="16" t="n"/>
      <x:c r="O5" s="16" t="n"/>
      <x:c r="P5" s="16" t="n"/>
      <x:c r="Q5" s="29">
        <x:f>IF(OR(M5="",G5=""),"",IFERROR(M5/G5*1000,""))</x:f>
      </x:c>
      <x:c r="R5" s="29">
        <x:f>IF(OR(N5="",G5=""),"",IFERROR(N5/G5*1000,""))</x:f>
      </x:c>
      <x:c r="S5" s="16" t="n"/>
    </x:row>
    <x:row r="6">
      <x:c r="A6" s="17" t="n"/>
      <x:c r="B6" s="17" t="n"/>
      <x:c r="C6" s="17" t="n"/>
      <x:c r="D6" s="17" t="n"/>
      <x:c r="E6" s="17" t="n"/>
      <x:c r="F6" s="17" t="n"/>
      <x:c r="G6" s="17" t="n"/>
      <x:c r="H6" s="17" t="n"/>
      <x:c r="I6" s="17" t="n"/>
      <x:c r="J6" s="31">
        <x:f>IF(I6="","",IFERROR(I6/H6,""))</x:f>
      </x:c>
      <x:c r="K6" s="34" t="n"/>
      <x:c r="L6" s="34" t="n"/>
      <x:c r="M6" s="17" t="n"/>
      <x:c r="N6" s="17" t="n"/>
      <x:c r="O6" s="17" t="n"/>
      <x:c r="P6" s="17" t="n"/>
      <x:c r="Q6" s="33">
        <x:f>IF(OR(M6="",G6=""),"",IFERROR(M6/G6*1000,""))</x:f>
      </x:c>
      <x:c r="R6" s="33">
        <x:f>IF(OR(N6="",G6=""),"",IFERROR(N6/G6*1000,""))</x:f>
      </x:c>
      <x:c r="S6" s="17" t="n"/>
    </x:row>
    <x:row r="7">
      <x:c r="A7" s="16" t="n"/>
      <x:c r="B7" s="16" t="n"/>
      <x:c r="C7" s="16" t="n"/>
      <x:c r="D7" s="16" t="n"/>
      <x:c r="E7" s="16" t="n"/>
      <x:c r="F7" s="16" t="n"/>
      <x:c r="G7" s="16" t="n"/>
      <x:c r="H7" s="16" t="n"/>
      <x:c r="I7" s="16" t="n"/>
      <x:c r="J7" s="27">
        <x:f>IF(I7="","",IFERROR(I7/H7,""))</x:f>
      </x:c>
      <x:c r="K7" s="30" t="n"/>
      <x:c r="L7" s="30" t="n"/>
      <x:c r="M7" s="16" t="n"/>
      <x:c r="N7" s="16" t="n"/>
      <x:c r="O7" s="16" t="n"/>
      <x:c r="P7" s="16" t="n"/>
      <x:c r="Q7" s="29">
        <x:f>IF(OR(M7="",G7=""),"",IFERROR(M7/G7*1000,""))</x:f>
      </x:c>
      <x:c r="R7" s="29">
        <x:f>IF(OR(N7="",G7=""),"",IFERROR(N7/G7*1000,""))</x:f>
      </x:c>
      <x:c r="S7" s="16" t="n"/>
    </x:row>
    <x:row r="8">
      <x:c r="A8" s="17" t="n"/>
      <x:c r="B8" s="17" t="n"/>
      <x:c r="C8" s="17" t="n"/>
      <x:c r="D8" s="17" t="n"/>
      <x:c r="E8" s="17" t="n"/>
      <x:c r="F8" s="17" t="n"/>
      <x:c r="G8" s="17" t="n"/>
      <x:c r="H8" s="17" t="n"/>
      <x:c r="I8" s="17" t="n"/>
      <x:c r="J8" s="31">
        <x:f>IF(I8="","",IFERROR(I8/H8,""))</x:f>
      </x:c>
      <x:c r="K8" s="34" t="n"/>
      <x:c r="L8" s="34" t="n"/>
      <x:c r="M8" s="17" t="n"/>
      <x:c r="N8" s="17" t="n"/>
      <x:c r="O8" s="17" t="n"/>
      <x:c r="P8" s="17" t="n"/>
      <x:c r="Q8" s="33">
        <x:f>IF(OR(M8="",G8=""),"",IFERROR(M8/G8*1000,""))</x:f>
      </x:c>
      <x:c r="R8" s="33">
        <x:f>IF(OR(N8="",G8=""),"",IFERROR(N8/G8*1000,""))</x:f>
      </x:c>
      <x:c r="S8" s="17" t="n"/>
    </x:row>
    <x:row r="9">
      <x:c r="A9" s="16" t="n"/>
      <x:c r="B9" s="16" t="n"/>
      <x:c r="C9" s="16" t="n"/>
      <x:c r="D9" s="16" t="n"/>
      <x:c r="E9" s="16" t="n"/>
      <x:c r="F9" s="16" t="n"/>
      <x:c r="G9" s="16" t="n"/>
      <x:c r="H9" s="16" t="n"/>
      <x:c r="I9" s="16" t="n"/>
      <x:c r="J9" s="27">
        <x:f>IF(I9="","",IFERROR(I9/H9,""))</x:f>
      </x:c>
      <x:c r="K9" s="30" t="n"/>
      <x:c r="L9" s="30" t="n"/>
      <x:c r="M9" s="16" t="n"/>
      <x:c r="N9" s="16" t="n"/>
      <x:c r="O9" s="16" t="n"/>
      <x:c r="P9" s="16" t="n"/>
      <x:c r="Q9" s="29">
        <x:f>IF(OR(M9="",G9=""),"",IFERROR(M9/G9*1000,""))</x:f>
      </x:c>
      <x:c r="R9" s="29">
        <x:f>IF(OR(N9="",G9=""),"",IFERROR(N9/G9*1000,""))</x:f>
      </x:c>
      <x:c r="S9" s="16" t="n"/>
    </x:row>
    <x:row r="10">
      <x:c r="A10" s="17" t="n"/>
      <x:c r="B10" s="17" t="n"/>
      <x:c r="C10" s="17" t="n"/>
      <x:c r="D10" s="17" t="n"/>
      <x:c r="E10" s="17" t="n"/>
      <x:c r="F10" s="17" t="n"/>
      <x:c r="G10" s="17" t="n"/>
      <x:c r="H10" s="17" t="n"/>
      <x:c r="I10" s="17" t="n"/>
      <x:c r="J10" s="31">
        <x:f>IF(I10="","",IFERROR(I10/H10,""))</x:f>
      </x:c>
      <x:c r="K10" s="34" t="n"/>
      <x:c r="L10" s="34" t="n"/>
      <x:c r="M10" s="17" t="n"/>
      <x:c r="N10" s="17" t="n"/>
      <x:c r="O10" s="17" t="n"/>
      <x:c r="P10" s="17" t="n"/>
      <x:c r="Q10" s="33">
        <x:f>IF(OR(M10="",G10=""),"",IFERROR(M10/G10*1000,""))</x:f>
      </x:c>
      <x:c r="R10" s="33">
        <x:f>IF(OR(N10="",G10=""),"",IFERROR(N10/G10*1000,""))</x:f>
      </x:c>
      <x:c r="S10" s="17" t="n"/>
    </x:row>
    <x:row r="11">
      <x:c r="A11" s="16" t="n"/>
      <x:c r="B11" s="16" t="n"/>
      <x:c r="C11" s="16" t="n"/>
      <x:c r="D11" s="16" t="n"/>
      <x:c r="E11" s="16" t="n"/>
      <x:c r="F11" s="16" t="n"/>
      <x:c r="G11" s="16" t="n"/>
      <x:c r="H11" s="16" t="n"/>
      <x:c r="I11" s="16" t="n"/>
      <x:c r="J11" s="27">
        <x:f>IF(I11="","",IFERROR(I11/H11,""))</x:f>
      </x:c>
      <x:c r="K11" s="30" t="n"/>
      <x:c r="L11" s="30" t="n"/>
      <x:c r="M11" s="16" t="n"/>
      <x:c r="N11" s="16" t="n"/>
      <x:c r="O11" s="16" t="n"/>
      <x:c r="P11" s="16" t="n"/>
      <x:c r="Q11" s="29">
        <x:f>IF(OR(M11="",G11=""),"",IFERROR(M11/G11*1000,""))</x:f>
      </x:c>
      <x:c r="R11" s="29">
        <x:f>IF(OR(N11="",G11=""),"",IFERROR(N11/G11*1000,""))</x:f>
      </x:c>
      <x:c r="S11" s="16" t="n"/>
    </x:row>
    <x:row r="12">
      <x:c r="A12" s="17" t="n"/>
      <x:c r="B12" s="17" t="n"/>
      <x:c r="C12" s="17" t="n"/>
      <x:c r="D12" s="17" t="n"/>
      <x:c r="E12" s="17" t="n"/>
      <x:c r="F12" s="17" t="n"/>
      <x:c r="G12" s="17" t="n"/>
      <x:c r="H12" s="17" t="n"/>
      <x:c r="I12" s="17" t="n"/>
      <x:c r="J12" s="31">
        <x:f>IF(I12="","",IFERROR(I12/H12,""))</x:f>
      </x:c>
      <x:c r="K12" s="34" t="n"/>
      <x:c r="L12" s="34" t="n"/>
      <x:c r="M12" s="17" t="n"/>
      <x:c r="N12" s="17" t="n"/>
      <x:c r="O12" s="17" t="n"/>
      <x:c r="P12" s="17" t="n"/>
      <x:c r="Q12" s="33">
        <x:f>IF(OR(M12="",G12=""),"",IFERROR(M12/G12*1000,""))</x:f>
      </x:c>
      <x:c r="R12" s="33">
        <x:f>IF(OR(N12="",G12=""),"",IFERROR(N12/G12*1000,""))</x:f>
      </x:c>
      <x:c r="S12" s="17" t="n"/>
    </x:row>
    <x:row r="13">
      <x:c r="A13" s="16" t="n"/>
      <x:c r="B13" s="16" t="n"/>
      <x:c r="C13" s="16" t="n"/>
      <x:c r="D13" s="16" t="n"/>
      <x:c r="E13" s="16" t="n"/>
      <x:c r="F13" s="16" t="n"/>
      <x:c r="G13" s="16" t="n"/>
      <x:c r="H13" s="16" t="n"/>
      <x:c r="I13" s="16" t="n"/>
      <x:c r="J13" s="27">
        <x:f>IF(I13="","",IFERROR(I13/H13,""))</x:f>
      </x:c>
      <x:c r="K13" s="30" t="n"/>
      <x:c r="L13" s="30" t="n"/>
      <x:c r="M13" s="16" t="n"/>
      <x:c r="N13" s="16" t="n"/>
      <x:c r="O13" s="16" t="n"/>
      <x:c r="P13" s="16" t="n"/>
      <x:c r="Q13" s="29">
        <x:f>IF(OR(M13="",G13=""),"",IFERROR(M13/G13*1000,""))</x:f>
      </x:c>
      <x:c r="R13" s="29">
        <x:f>IF(OR(N13="",G13=""),"",IFERROR(N13/G13*1000,""))</x:f>
      </x:c>
      <x:c r="S13" s="16" t="n"/>
    </x:row>
    <x:row r="14">
      <x:c r="A14" s="17" t="n"/>
      <x:c r="B14" s="17" t="n"/>
      <x:c r="C14" s="17" t="n"/>
      <x:c r="D14" s="17" t="n"/>
      <x:c r="E14" s="17" t="n"/>
      <x:c r="F14" s="17" t="n"/>
      <x:c r="G14" s="17" t="n"/>
      <x:c r="H14" s="17" t="n"/>
      <x:c r="I14" s="17" t="n"/>
      <x:c r="J14" s="31">
        <x:f>IF(I14="","",IFERROR(I14/H14,""))</x:f>
      </x:c>
      <x:c r="K14" s="34" t="n"/>
      <x:c r="L14" s="34" t="n"/>
      <x:c r="M14" s="17" t="n"/>
      <x:c r="N14" s="17" t="n"/>
      <x:c r="O14" s="17" t="n"/>
      <x:c r="P14" s="17" t="n"/>
      <x:c r="Q14" s="33">
        <x:f>IF(OR(M14="",G14=""),"",IFERROR(M14/G14*1000,""))</x:f>
      </x:c>
      <x:c r="R14" s="33">
        <x:f>IF(OR(N14="",G14=""),"",IFERROR(N14/G14*1000,""))</x:f>
      </x:c>
      <x:c r="S14" s="17" t="n"/>
    </x:row>
    <x:row r="15">
      <x:c r="A15" s="16" t="n"/>
      <x:c r="B15" s="16" t="n"/>
      <x:c r="C15" s="16" t="n"/>
      <x:c r="D15" s="16" t="n"/>
      <x:c r="E15" s="16" t="n"/>
      <x:c r="F15" s="16" t="n"/>
      <x:c r="G15" s="16" t="n"/>
      <x:c r="H15" s="16" t="n"/>
      <x:c r="I15" s="16" t="n"/>
      <x:c r="J15" s="27">
        <x:f>IF(I15="","",IFERROR(I15/H15,""))</x:f>
      </x:c>
      <x:c r="K15" s="30" t="n"/>
      <x:c r="L15" s="30" t="n"/>
      <x:c r="M15" s="16" t="n"/>
      <x:c r="N15" s="16" t="n"/>
      <x:c r="O15" s="16" t="n"/>
      <x:c r="P15" s="16" t="n"/>
      <x:c r="Q15" s="29">
        <x:f>IF(OR(M15="",G15=""),"",IFERROR(M15/G15*1000,""))</x:f>
      </x:c>
      <x:c r="R15" s="29">
        <x:f>IF(OR(N15="",G15=""),"",IFERROR(N15/G15*1000,""))</x:f>
      </x:c>
      <x:c r="S15" s="16" t="n"/>
    </x:row>
    <x:row r="16">
      <x:c r="A16" s="17" t="n"/>
      <x:c r="B16" s="17" t="n"/>
      <x:c r="C16" s="17" t="n"/>
      <x:c r="D16" s="17" t="n"/>
      <x:c r="E16" s="17" t="n"/>
      <x:c r="F16" s="17" t="n"/>
      <x:c r="G16" s="17" t="n"/>
      <x:c r="H16" s="17" t="n"/>
      <x:c r="I16" s="17" t="n"/>
      <x:c r="J16" s="31">
        <x:f>IF(I16="","",IFERROR(I16/H16,""))</x:f>
      </x:c>
      <x:c r="K16" s="34" t="n"/>
      <x:c r="L16" s="34" t="n"/>
      <x:c r="M16" s="17" t="n"/>
      <x:c r="N16" s="17" t="n"/>
      <x:c r="O16" s="17" t="n"/>
      <x:c r="P16" s="17" t="n"/>
      <x:c r="Q16" s="33">
        <x:f>IF(OR(M16="",G16=""),"",IFERROR(M16/G16*1000,""))</x:f>
      </x:c>
      <x:c r="R16" s="33">
        <x:f>IF(OR(N16="",G16=""),"",IFERROR(N16/G16*1000,""))</x:f>
      </x:c>
      <x:c r="S16" s="17" t="n"/>
    </x:row>
    <x:row r="17">
      <x:c r="A17" s="16" t="n"/>
      <x:c r="B17" s="16" t="n"/>
      <x:c r="C17" s="16" t="n"/>
      <x:c r="D17" s="16" t="n"/>
      <x:c r="E17" s="16" t="n"/>
      <x:c r="F17" s="16" t="n"/>
      <x:c r="G17" s="16" t="n"/>
      <x:c r="H17" s="16" t="n"/>
      <x:c r="I17" s="16" t="n"/>
      <x:c r="J17" s="27">
        <x:f>IF(I17="","",IFERROR(I17/H17,""))</x:f>
      </x:c>
      <x:c r="K17" s="30" t="n"/>
      <x:c r="L17" s="30" t="n"/>
      <x:c r="M17" s="16" t="n"/>
      <x:c r="N17" s="16" t="n"/>
      <x:c r="O17" s="16" t="n"/>
      <x:c r="P17" s="16" t="n"/>
      <x:c r="Q17" s="29">
        <x:f>IF(OR(M17="",G17=""),"",IFERROR(M17/G17*1000,""))</x:f>
      </x:c>
      <x:c r="R17" s="29">
        <x:f>IF(OR(N17="",G17=""),"",IFERROR(N17/G17*1000,""))</x:f>
      </x:c>
      <x:c r="S17" s="16" t="n"/>
    </x:row>
    <x:row r="18">
      <x:c r="A18" s="17" t="n"/>
      <x:c r="B18" s="17" t="n"/>
      <x:c r="C18" s="17" t="n"/>
      <x:c r="D18" s="17" t="n"/>
      <x:c r="E18" s="17" t="n"/>
      <x:c r="F18" s="17" t="n"/>
      <x:c r="G18" s="17" t="n"/>
      <x:c r="H18" s="17" t="n"/>
      <x:c r="I18" s="17" t="n"/>
      <x:c r="J18" s="31">
        <x:f>IF(I18="","",IFERROR(I18/H18,""))</x:f>
      </x:c>
      <x:c r="K18" s="34" t="n"/>
      <x:c r="L18" s="34" t="n"/>
      <x:c r="M18" s="17" t="n"/>
      <x:c r="N18" s="17" t="n"/>
      <x:c r="O18" s="17" t="n"/>
      <x:c r="P18" s="17" t="n"/>
      <x:c r="Q18" s="33">
        <x:f>IF(OR(M18="",G18=""),"",IFERROR(M18/G18*1000,""))</x:f>
      </x:c>
      <x:c r="R18" s="33">
        <x:f>IF(OR(N18="",G18=""),"",IFERROR(N18/G18*1000,""))</x:f>
      </x:c>
      <x:c r="S18" s="17" t="n"/>
    </x:row>
    <x:row r="19">
      <x:c r="A19" s="16" t="n"/>
      <x:c r="B19" s="16" t="n"/>
      <x:c r="C19" s="16" t="n"/>
      <x:c r="D19" s="16" t="n"/>
      <x:c r="E19" s="16" t="n"/>
      <x:c r="F19" s="16" t="n"/>
      <x:c r="G19" s="16" t="n"/>
      <x:c r="H19" s="16" t="n"/>
      <x:c r="I19" s="16" t="n"/>
      <x:c r="J19" s="27">
        <x:f>IF(I19="","",IFERROR(I19/H19,""))</x:f>
      </x:c>
      <x:c r="K19" s="30" t="n"/>
      <x:c r="L19" s="30" t="n"/>
      <x:c r="M19" s="16" t="n"/>
      <x:c r="N19" s="16" t="n"/>
      <x:c r="O19" s="16" t="n"/>
      <x:c r="P19" s="16" t="n"/>
      <x:c r="Q19" s="29">
        <x:f>IF(OR(M19="",G19=""),"",IFERROR(M19/G19*1000,""))</x:f>
      </x:c>
      <x:c r="R19" s="29">
        <x:f>IF(OR(N19="",G19=""),"",IFERROR(N19/G19*1000,""))</x:f>
      </x:c>
      <x:c r="S19" s="16" t="n"/>
    </x:row>
    <x:row r="20">
      <x:c r="A20" s="17" t="n"/>
      <x:c r="B20" s="17" t="n"/>
      <x:c r="C20" s="17" t="n"/>
      <x:c r="D20" s="17" t="n"/>
      <x:c r="E20" s="17" t="n"/>
      <x:c r="F20" s="17" t="n"/>
      <x:c r="G20" s="17" t="n"/>
      <x:c r="H20" s="17" t="n"/>
      <x:c r="I20" s="17" t="n"/>
      <x:c r="J20" s="31">
        <x:f>IF(I20="","",IFERROR(I20/H20,""))</x:f>
      </x:c>
      <x:c r="K20" s="34" t="n"/>
      <x:c r="L20" s="34" t="n"/>
      <x:c r="M20" s="17" t="n"/>
      <x:c r="N20" s="17" t="n"/>
      <x:c r="O20" s="17" t="n"/>
      <x:c r="P20" s="17" t="n"/>
      <x:c r="Q20" s="33">
        <x:f>IF(OR(M20="",G20=""),"",IFERROR(M20/G20*1000,""))</x:f>
      </x:c>
      <x:c r="R20" s="33">
        <x:f>IF(OR(N20="",G20=""),"",IFERROR(N20/G20*1000,""))</x:f>
      </x:c>
      <x:c r="S20" s="17" t="n"/>
    </x:row>
    <x:row r="21">
      <x:c r="A21" s="16" t="n"/>
      <x:c r="B21" s="16" t="n"/>
      <x:c r="C21" s="16" t="n"/>
      <x:c r="D21" s="16" t="n"/>
      <x:c r="E21" s="16" t="n"/>
      <x:c r="F21" s="16" t="n"/>
      <x:c r="G21" s="16" t="n"/>
      <x:c r="H21" s="16" t="n"/>
      <x:c r="I21" s="16" t="n"/>
      <x:c r="J21" s="27">
        <x:f>IF(I21="","",IFERROR(I21/H21,""))</x:f>
      </x:c>
      <x:c r="K21" s="30" t="n"/>
      <x:c r="L21" s="30" t="n"/>
      <x:c r="M21" s="16" t="n"/>
      <x:c r="N21" s="16" t="n"/>
      <x:c r="O21" s="16" t="n"/>
      <x:c r="P21" s="16" t="n"/>
      <x:c r="Q21" s="29">
        <x:f>IF(OR(M21="",G21=""),"",IFERROR(M21/G21*1000,""))</x:f>
      </x:c>
      <x:c r="R21" s="29">
        <x:f>IF(OR(N21="",G21=""),"",IFERROR(N21/G21*1000,""))</x:f>
      </x:c>
      <x:c r="S21" s="16" t="n"/>
    </x:row>
    <x:row r="22">
      <x:c r="A22" s="17" t="n"/>
      <x:c r="B22" s="17" t="n"/>
      <x:c r="C22" s="17" t="n"/>
      <x:c r="D22" s="17" t="n"/>
      <x:c r="E22" s="17" t="n"/>
      <x:c r="F22" s="17" t="n"/>
      <x:c r="G22" s="17" t="n"/>
      <x:c r="H22" s="17" t="n"/>
      <x:c r="I22" s="17" t="n"/>
      <x:c r="J22" s="31">
        <x:f>IF(I22="","",IFERROR(I22/H22,""))</x:f>
      </x:c>
      <x:c r="K22" s="34" t="n"/>
      <x:c r="L22" s="34" t="n"/>
      <x:c r="M22" s="17" t="n"/>
      <x:c r="N22" s="17" t="n"/>
      <x:c r="O22" s="17" t="n"/>
      <x:c r="P22" s="17" t="n"/>
      <x:c r="Q22" s="33">
        <x:f>IF(OR(M22="",G22=""),"",IFERROR(M22/G22*1000,""))</x:f>
      </x:c>
      <x:c r="R22" s="33">
        <x:f>IF(OR(N22="",G22=""),"",IFERROR(N22/G22*1000,""))</x:f>
      </x:c>
      <x:c r="S22" s="17" t="n"/>
    </x:row>
    <x:row r="23">
      <x:c r="A23" s="16" t="n"/>
      <x:c r="B23" s="16" t="n"/>
      <x:c r="C23" s="16" t="n"/>
      <x:c r="D23" s="16" t="n"/>
      <x:c r="E23" s="16" t="n"/>
      <x:c r="F23" s="16" t="n"/>
      <x:c r="G23" s="16" t="n"/>
      <x:c r="H23" s="16" t="n"/>
      <x:c r="I23" s="16" t="n"/>
      <x:c r="J23" s="27">
        <x:f>IF(I23="","",IFERROR(I23/H23,""))</x:f>
      </x:c>
      <x:c r="K23" s="30" t="n"/>
      <x:c r="L23" s="30" t="n"/>
      <x:c r="M23" s="16" t="n"/>
      <x:c r="N23" s="16" t="n"/>
      <x:c r="O23" s="16" t="n"/>
      <x:c r="P23" s="16" t="n"/>
      <x:c r="Q23" s="29">
        <x:f>IF(OR(M23="",G23=""),"",IFERROR(M23/G23*1000,""))</x:f>
      </x:c>
      <x:c r="R23" s="29">
        <x:f>IF(OR(N23="",G23=""),"",IFERROR(N23/G23*1000,""))</x:f>
      </x:c>
      <x:c r="S23" s="16" t="n"/>
    </x:row>
    <x:row r="24">
      <x:c r="A24" s="17" t="n"/>
      <x:c r="B24" s="17" t="n"/>
      <x:c r="C24" s="17" t="n"/>
      <x:c r="D24" s="17" t="n"/>
      <x:c r="E24" s="17" t="n"/>
      <x:c r="F24" s="17" t="n"/>
      <x:c r="G24" s="17" t="n"/>
      <x:c r="H24" s="17" t="n"/>
      <x:c r="I24" s="17" t="n"/>
      <x:c r="J24" s="31">
        <x:f>IF(I24="","",IFERROR(I24/H24,""))</x:f>
      </x:c>
      <x:c r="K24" s="34" t="n"/>
      <x:c r="L24" s="34" t="n"/>
      <x:c r="M24" s="17" t="n"/>
      <x:c r="N24" s="17" t="n"/>
      <x:c r="O24" s="17" t="n"/>
      <x:c r="P24" s="17" t="n"/>
      <x:c r="Q24" s="33">
        <x:f>IF(OR(M24="",G24=""),"",IFERROR(M24/G24*1000,""))</x:f>
      </x:c>
      <x:c r="R24" s="33">
        <x:f>IF(OR(N24="",G24=""),"",IFERROR(N24/G24*1000,""))</x:f>
      </x:c>
      <x:c r="S24" s="17" t="n"/>
    </x:row>
    <x:row r="25">
      <x:c r="A25" s="16" t="n"/>
      <x:c r="B25" s="16" t="n"/>
      <x:c r="C25" s="16" t="n"/>
      <x:c r="D25" s="16" t="n"/>
      <x:c r="E25" s="16" t="n"/>
      <x:c r="F25" s="16" t="n"/>
      <x:c r="G25" s="16" t="n"/>
      <x:c r="H25" s="16" t="n"/>
      <x:c r="I25" s="16" t="n"/>
      <x:c r="J25" s="27">
        <x:f>IF(I25="","",IFERROR(I25/H25,""))</x:f>
      </x:c>
      <x:c r="K25" s="30" t="n"/>
      <x:c r="L25" s="30" t="n"/>
      <x:c r="M25" s="16" t="n"/>
      <x:c r="N25" s="16" t="n"/>
      <x:c r="O25" s="16" t="n"/>
      <x:c r="P25" s="16" t="n"/>
      <x:c r="Q25" s="29">
        <x:f>IF(OR(M25="",G25=""),"",IFERROR(M25/G25*1000,""))</x:f>
      </x:c>
      <x:c r="R25" s="29">
        <x:f>IF(OR(N25="",G25=""),"",IFERROR(N25/G25*1000,""))</x:f>
      </x:c>
      <x:c r="S25" s="16" t="n"/>
    </x:row>
    <x:row r="26">
      <x:c r="A26" s="17" t="n"/>
      <x:c r="B26" s="17" t="n"/>
      <x:c r="C26" s="17" t="n"/>
      <x:c r="D26" s="17" t="n"/>
      <x:c r="E26" s="17" t="n"/>
      <x:c r="F26" s="17" t="n"/>
      <x:c r="G26" s="17" t="n"/>
      <x:c r="H26" s="17" t="n"/>
      <x:c r="I26" s="17" t="n"/>
      <x:c r="J26" s="31">
        <x:f>IF(I26="","",IFERROR(I26/H26,""))</x:f>
      </x:c>
      <x:c r="K26" s="34" t="n"/>
      <x:c r="L26" s="34" t="n"/>
      <x:c r="M26" s="17" t="n"/>
      <x:c r="N26" s="17" t="n"/>
      <x:c r="O26" s="17" t="n"/>
      <x:c r="P26" s="17" t="n"/>
      <x:c r="Q26" s="33">
        <x:f>IF(OR(M26="",G26=""),"",IFERROR(M26/G26*1000,""))</x:f>
      </x:c>
      <x:c r="R26" s="33">
        <x:f>IF(OR(N26="",G26=""),"",IFERROR(N26/G26*1000,""))</x:f>
      </x:c>
      <x:c r="S26" s="17" t="n"/>
    </x:row>
    <x:row r="27">
      <x:c r="A27" s="16" t="n"/>
      <x:c r="B27" s="16" t="n"/>
      <x:c r="C27" s="16" t="n"/>
      <x:c r="D27" s="16" t="n"/>
      <x:c r="E27" s="16" t="n"/>
      <x:c r="F27" s="16" t="n"/>
      <x:c r="G27" s="16" t="n"/>
      <x:c r="H27" s="16" t="n"/>
      <x:c r="I27" s="16" t="n"/>
      <x:c r="J27" s="27">
        <x:f>IF(I27="","",IFERROR(I27/H27,""))</x:f>
      </x:c>
      <x:c r="K27" s="30" t="n"/>
      <x:c r="L27" s="30" t="n"/>
      <x:c r="M27" s="16" t="n"/>
      <x:c r="N27" s="16" t="n"/>
      <x:c r="O27" s="16" t="n"/>
      <x:c r="P27" s="16" t="n"/>
      <x:c r="Q27" s="29">
        <x:f>IF(OR(M27="",G27=""),"",IFERROR(M27/G27*1000,""))</x:f>
      </x:c>
      <x:c r="R27" s="29">
        <x:f>IF(OR(N27="",G27=""),"",IFERROR(N27/G27*1000,""))</x:f>
      </x:c>
      <x:c r="S27" s="16" t="n"/>
    </x:row>
    <x:row r="28">
      <x:c r="A28" s="17" t="n"/>
      <x:c r="B28" s="17" t="n"/>
      <x:c r="C28" s="17" t="n"/>
      <x:c r="D28" s="17" t="n"/>
      <x:c r="E28" s="17" t="n"/>
      <x:c r="F28" s="17" t="n"/>
      <x:c r="G28" s="17" t="n"/>
      <x:c r="H28" s="17" t="n"/>
      <x:c r="I28" s="17" t="n"/>
      <x:c r="J28" s="31">
        <x:f>IF(I28="","",IFERROR(I28/H28,""))</x:f>
      </x:c>
      <x:c r="K28" s="34" t="n"/>
      <x:c r="L28" s="34" t="n"/>
      <x:c r="M28" s="17" t="n"/>
      <x:c r="N28" s="17" t="n"/>
      <x:c r="O28" s="17" t="n"/>
      <x:c r="P28" s="17" t="n"/>
      <x:c r="Q28" s="33">
        <x:f>IF(OR(M28="",G28=""),"",IFERROR(M28/G28*1000,""))</x:f>
      </x:c>
      <x:c r="R28" s="33">
        <x:f>IF(OR(N28="",G28=""),"",IFERROR(N28/G28*1000,""))</x:f>
      </x:c>
      <x:c r="S28" s="17" t="n"/>
    </x:row>
    <x:row r="29">
      <x:c r="A29" s="16" t="n"/>
      <x:c r="B29" s="16" t="n"/>
      <x:c r="C29" s="16" t="n"/>
      <x:c r="D29" s="16" t="n"/>
      <x:c r="E29" s="16" t="n"/>
      <x:c r="F29" s="16" t="n"/>
      <x:c r="G29" s="16" t="n"/>
      <x:c r="H29" s="16" t="n"/>
      <x:c r="I29" s="16" t="n"/>
      <x:c r="J29" s="27">
        <x:f>IF(I29="","",IFERROR(I29/H29,""))</x:f>
      </x:c>
      <x:c r="K29" s="30" t="n"/>
      <x:c r="L29" s="30" t="n"/>
      <x:c r="M29" s="16" t="n"/>
      <x:c r="N29" s="16" t="n"/>
      <x:c r="O29" s="16" t="n"/>
      <x:c r="P29" s="16" t="n"/>
      <x:c r="Q29" s="29">
        <x:f>IF(OR(M29="",G29=""),"",IFERROR(M29/G29*1000,""))</x:f>
      </x:c>
      <x:c r="R29" s="29">
        <x:f>IF(OR(N29="",G29=""),"",IFERROR(N29/G29*1000,""))</x:f>
      </x:c>
      <x:c r="S29" s="16" t="n"/>
    </x:row>
    <x:row r="30">
      <x:c r="A30" s="17" t="n"/>
      <x:c r="B30" s="17" t="n"/>
      <x:c r="C30" s="17" t="n"/>
      <x:c r="D30" s="17" t="n"/>
      <x:c r="E30" s="17" t="n"/>
      <x:c r="F30" s="17" t="n"/>
      <x:c r="G30" s="17" t="n"/>
      <x:c r="H30" s="17" t="n"/>
      <x:c r="I30" s="17" t="n"/>
      <x:c r="J30" s="31">
        <x:f>IF(I30="","",IFERROR(I30/H30,""))</x:f>
      </x:c>
      <x:c r="K30" s="34" t="n"/>
      <x:c r="L30" s="34" t="n"/>
      <x:c r="M30" s="17" t="n"/>
      <x:c r="N30" s="17" t="n"/>
      <x:c r="O30" s="17" t="n"/>
      <x:c r="P30" s="17" t="n"/>
      <x:c r="Q30" s="33">
        <x:f>IF(OR(M30="",G30=""),"",IFERROR(M30/G30*1000,""))</x:f>
      </x:c>
      <x:c r="R30" s="33">
        <x:f>IF(OR(N30="",G30=""),"",IFERROR(N30/G30*1000,""))</x:f>
      </x:c>
      <x:c r="S30" s="17" t="n"/>
    </x:row>
    <x:row r="31">
      <x:c r="A31" s="16" t="n"/>
      <x:c r="B31" s="16" t="n"/>
      <x:c r="C31" s="16" t="n"/>
      <x:c r="D31" s="16" t="n"/>
      <x:c r="E31" s="16" t="n"/>
      <x:c r="F31" s="16" t="n"/>
      <x:c r="G31" s="16" t="n"/>
      <x:c r="H31" s="16" t="n"/>
      <x:c r="I31" s="16" t="n"/>
      <x:c r="J31" s="27">
        <x:f>IF(I31="","",IFERROR(I31/H31,""))</x:f>
      </x:c>
      <x:c r="K31" s="30" t="n"/>
      <x:c r="L31" s="30" t="n"/>
      <x:c r="M31" s="16" t="n"/>
      <x:c r="N31" s="16" t="n"/>
      <x:c r="O31" s="16" t="n"/>
      <x:c r="P31" s="16" t="n"/>
      <x:c r="Q31" s="29">
        <x:f>IF(OR(M31="",G31=""),"",IFERROR(M31/G31*1000,""))</x:f>
      </x:c>
      <x:c r="R31" s="29">
        <x:f>IF(OR(N31="",G31=""),"",IFERROR(N31/G31*1000,""))</x:f>
      </x:c>
      <x:c r="S31" s="16" t="n"/>
    </x:row>
    <x:row r="32">
      <x:c r="A32" s="17" t="n"/>
      <x:c r="B32" s="17" t="n"/>
      <x:c r="C32" s="17" t="n"/>
      <x:c r="D32" s="17" t="n"/>
      <x:c r="E32" s="17" t="n"/>
      <x:c r="F32" s="17" t="n"/>
      <x:c r="G32" s="17" t="n"/>
      <x:c r="H32" s="17" t="n"/>
      <x:c r="I32" s="17" t="n"/>
      <x:c r="J32" s="31">
        <x:f>IF(I32="","",IFERROR(I32/H32,""))</x:f>
      </x:c>
      <x:c r="K32" s="34" t="n"/>
      <x:c r="L32" s="34" t="n"/>
      <x:c r="M32" s="17" t="n"/>
      <x:c r="N32" s="17" t="n"/>
      <x:c r="O32" s="17" t="n"/>
      <x:c r="P32" s="17" t="n"/>
      <x:c r="Q32" s="33">
        <x:f>IF(OR(M32="",G32=""),"",IFERROR(M32/G32*1000,""))</x:f>
      </x:c>
      <x:c r="R32" s="33">
        <x:f>IF(OR(N32="",G32=""),"",IFERROR(N32/G32*1000,""))</x:f>
      </x:c>
      <x:c r="S32" s="17" t="n"/>
    </x:row>
    <x:row r="33">
      <x:c r="A33" s="16" t="n"/>
      <x:c r="B33" s="16" t="n"/>
      <x:c r="C33" s="16" t="n"/>
      <x:c r="D33" s="16" t="n"/>
      <x:c r="E33" s="16" t="n"/>
      <x:c r="F33" s="16" t="n"/>
      <x:c r="G33" s="16" t="n"/>
      <x:c r="H33" s="16" t="n"/>
      <x:c r="I33" s="16" t="n"/>
      <x:c r="J33" s="27">
        <x:f>IF(I33="","",IFERROR(I33/H33,""))</x:f>
      </x:c>
      <x:c r="K33" s="30" t="n"/>
      <x:c r="L33" s="30" t="n"/>
      <x:c r="M33" s="16" t="n"/>
      <x:c r="N33" s="16" t="n"/>
      <x:c r="O33" s="16" t="n"/>
      <x:c r="P33" s="16" t="n"/>
      <x:c r="Q33" s="29">
        <x:f>IF(OR(M33="",G33=""),"",IFERROR(M33/G33*1000,""))</x:f>
      </x:c>
      <x:c r="R33" s="29">
        <x:f>IF(OR(N33="",G33=""),"",IFERROR(N33/G33*1000,""))</x:f>
      </x:c>
      <x:c r="S33" s="16" t="n"/>
    </x:row>
    <x:row r="34">
      <x:c r="A34" s="17" t="n"/>
      <x:c r="B34" s="17" t="n"/>
      <x:c r="C34" s="17" t="n"/>
      <x:c r="D34" s="17" t="n"/>
      <x:c r="E34" s="17" t="n"/>
      <x:c r="F34" s="17" t="n"/>
      <x:c r="G34" s="17" t="n"/>
      <x:c r="H34" s="17" t="n"/>
      <x:c r="I34" s="17" t="n"/>
      <x:c r="J34" s="31">
        <x:f>IF(I34="","",IFERROR(I34/H34,""))</x:f>
      </x:c>
      <x:c r="K34" s="34" t="n"/>
      <x:c r="L34" s="34" t="n"/>
      <x:c r="M34" s="17" t="n"/>
      <x:c r="N34" s="17" t="n"/>
      <x:c r="O34" s="17" t="n"/>
      <x:c r="P34" s="17" t="n"/>
      <x:c r="Q34" s="33">
        <x:f>IF(OR(M34="",G34=""),"",IFERROR(M34/G34*1000,""))</x:f>
      </x:c>
      <x:c r="R34" s="33">
        <x:f>IF(OR(N34="",G34=""),"",IFERROR(N34/G34*1000,""))</x:f>
      </x:c>
      <x:c r="S34" s="17" t="n"/>
    </x:row>
    <x:row r="35">
      <x:c r="A35" s="16" t="n"/>
      <x:c r="B35" s="16" t="n"/>
      <x:c r="C35" s="16" t="n"/>
      <x:c r="D35" s="16" t="n"/>
      <x:c r="E35" s="16" t="n"/>
      <x:c r="F35" s="16" t="n"/>
      <x:c r="G35" s="16" t="n"/>
      <x:c r="H35" s="16" t="n"/>
      <x:c r="I35" s="16" t="n"/>
      <x:c r="J35" s="27">
        <x:f>IF(I35="","",IFERROR(I35/H35,""))</x:f>
      </x:c>
      <x:c r="K35" s="30" t="n"/>
      <x:c r="L35" s="30" t="n"/>
      <x:c r="M35" s="16" t="n"/>
      <x:c r="N35" s="16" t="n"/>
      <x:c r="O35" s="16" t="n"/>
      <x:c r="P35" s="16" t="n"/>
      <x:c r="Q35" s="29">
        <x:f>IF(OR(M35="",G35=""),"",IFERROR(M35/G35*1000,""))</x:f>
      </x:c>
      <x:c r="R35" s="29">
        <x:f>IF(OR(N35="",G35=""),"",IFERROR(N35/G35*1000,""))</x:f>
      </x:c>
      <x:c r="S35" s="16" t="n"/>
    </x:row>
    <x:row r="36">
      <x:c r="A36" s="17" t="n"/>
      <x:c r="B36" s="17" t="n"/>
      <x:c r="C36" s="17" t="n"/>
      <x:c r="D36" s="17" t="n"/>
      <x:c r="E36" s="17" t="n"/>
      <x:c r="F36" s="17" t="n"/>
      <x:c r="G36" s="17" t="n"/>
      <x:c r="H36" s="17" t="n"/>
      <x:c r="I36" s="17" t="n"/>
      <x:c r="J36" s="31">
        <x:f>IF(I36="","",IFERROR(I36/H36,""))</x:f>
      </x:c>
      <x:c r="K36" s="34" t="n"/>
      <x:c r="L36" s="34" t="n"/>
      <x:c r="M36" s="17" t="n"/>
      <x:c r="N36" s="17" t="n"/>
      <x:c r="O36" s="17" t="n"/>
      <x:c r="P36" s="17" t="n"/>
      <x:c r="Q36" s="33">
        <x:f>IF(OR(M36="",G36=""),"",IFERROR(M36/G36*1000,""))</x:f>
      </x:c>
      <x:c r="R36" s="33">
        <x:f>IF(OR(N36="",G36=""),"",IFERROR(N36/G36*1000,""))</x:f>
      </x:c>
      <x:c r="S36" s="17" t="n"/>
    </x:row>
    <x:row r="37">
      <x:c r="A37" s="16" t="n"/>
      <x:c r="B37" s="16" t="n"/>
      <x:c r="C37" s="16" t="n"/>
      <x:c r="D37" s="16" t="n"/>
      <x:c r="E37" s="16" t="n"/>
      <x:c r="F37" s="16" t="n"/>
      <x:c r="G37" s="16" t="n"/>
      <x:c r="H37" s="16" t="n"/>
      <x:c r="I37" s="16" t="n"/>
      <x:c r="J37" s="27">
        <x:f>IF(I37="","",IFERROR(I37/H37,""))</x:f>
      </x:c>
      <x:c r="K37" s="30" t="n"/>
      <x:c r="L37" s="30" t="n"/>
      <x:c r="M37" s="16" t="n"/>
      <x:c r="N37" s="16" t="n"/>
      <x:c r="O37" s="16" t="n"/>
      <x:c r="P37" s="16" t="n"/>
      <x:c r="Q37" s="29">
        <x:f>IF(OR(M37="",G37=""),"",IFERROR(M37/G37*1000,""))</x:f>
      </x:c>
      <x:c r="R37" s="29">
        <x:f>IF(OR(N37="",G37=""),"",IFERROR(N37/G37*1000,""))</x:f>
      </x:c>
      <x:c r="S37" s="16" t="n"/>
    </x:row>
    <x:row r="38">
      <x:c r="A38" s="17" t="n"/>
      <x:c r="B38" s="17" t="n"/>
      <x:c r="C38" s="17" t="n"/>
      <x:c r="D38" s="17" t="n"/>
      <x:c r="E38" s="17" t="n"/>
      <x:c r="F38" s="17" t="n"/>
      <x:c r="G38" s="17" t="n"/>
      <x:c r="H38" s="17" t="n"/>
      <x:c r="I38" s="17" t="n"/>
      <x:c r="J38" s="31">
        <x:f>IF(I38="","",IFERROR(I38/H38,""))</x:f>
      </x:c>
      <x:c r="K38" s="34" t="n"/>
      <x:c r="L38" s="34" t="n"/>
      <x:c r="M38" s="17" t="n"/>
      <x:c r="N38" s="17" t="n"/>
      <x:c r="O38" s="17" t="n"/>
      <x:c r="P38" s="17" t="n"/>
      <x:c r="Q38" s="33">
        <x:f>IF(OR(M38="",G38=""),"",IFERROR(M38/G38*1000,""))</x:f>
      </x:c>
      <x:c r="R38" s="33">
        <x:f>IF(OR(N38="",G38=""),"",IFERROR(N38/G38*1000,""))</x:f>
      </x:c>
      <x:c r="S38" s="17" t="n"/>
    </x:row>
    <x:row r="39">
      <x:c r="A39" s="16" t="n"/>
      <x:c r="B39" s="16" t="n"/>
      <x:c r="C39" s="16" t="n"/>
      <x:c r="D39" s="16" t="n"/>
      <x:c r="E39" s="16" t="n"/>
      <x:c r="F39" s="16" t="n"/>
      <x:c r="G39" s="16" t="n"/>
      <x:c r="H39" s="16" t="n"/>
      <x:c r="I39" s="16" t="n"/>
      <x:c r="J39" s="27">
        <x:f>IF(I39="","",IFERROR(I39/H39,""))</x:f>
      </x:c>
      <x:c r="K39" s="30" t="n"/>
      <x:c r="L39" s="30" t="n"/>
      <x:c r="M39" s="16" t="n"/>
      <x:c r="N39" s="16" t="n"/>
      <x:c r="O39" s="16" t="n"/>
      <x:c r="P39" s="16" t="n"/>
      <x:c r="Q39" s="29">
        <x:f>IF(OR(M39="",G39=""),"",IFERROR(M39/G39*1000,""))</x:f>
      </x:c>
      <x:c r="R39" s="29">
        <x:f>IF(OR(N39="",G39=""),"",IFERROR(N39/G39*1000,""))</x:f>
      </x:c>
      <x:c r="S39" s="16" t="n"/>
    </x:row>
    <x:row r="40">
      <x:c r="A40" s="17" t="n"/>
      <x:c r="B40" s="17" t="n"/>
      <x:c r="C40" s="17" t="n"/>
      <x:c r="D40" s="17" t="n"/>
      <x:c r="E40" s="17" t="n"/>
      <x:c r="F40" s="17" t="n"/>
      <x:c r="G40" s="17" t="n"/>
      <x:c r="H40" s="17" t="n"/>
      <x:c r="I40" s="17" t="n"/>
      <x:c r="J40" s="31">
        <x:f>IF(I40="","",IFERROR(I40/H40,""))</x:f>
      </x:c>
      <x:c r="K40" s="34" t="n"/>
      <x:c r="L40" s="34" t="n"/>
      <x:c r="M40" s="17" t="n"/>
      <x:c r="N40" s="17" t="n"/>
      <x:c r="O40" s="17" t="n"/>
      <x:c r="P40" s="17" t="n"/>
      <x:c r="Q40" s="33">
        <x:f>IF(OR(M40="",G40=""),"",IFERROR(M40/G40*1000,""))</x:f>
      </x:c>
      <x:c r="R40" s="33">
        <x:f>IF(OR(N40="",G40=""),"",IFERROR(N40/G40*1000,""))</x:f>
      </x:c>
      <x:c r="S40" s="17" t="n"/>
    </x:row>
    <x:row r="41">
      <x:c r="A41" s="16" t="n"/>
      <x:c r="B41" s="16" t="n"/>
      <x:c r="C41" s="16" t="n"/>
      <x:c r="D41" s="16" t="n"/>
      <x:c r="E41" s="16" t="n"/>
      <x:c r="F41" s="16" t="n"/>
      <x:c r="G41" s="16" t="n"/>
      <x:c r="H41" s="16" t="n"/>
      <x:c r="I41" s="16" t="n"/>
      <x:c r="J41" s="27">
        <x:f>IF(I41="","",IFERROR(I41/H41,""))</x:f>
      </x:c>
      <x:c r="K41" s="30" t="n"/>
      <x:c r="L41" s="30" t="n"/>
      <x:c r="M41" s="16" t="n"/>
      <x:c r="N41" s="16" t="n"/>
      <x:c r="O41" s="16" t="n"/>
      <x:c r="P41" s="16" t="n"/>
      <x:c r="Q41" s="29">
        <x:f>IF(OR(M41="",G41=""),"",IFERROR(M41/G41*1000,""))</x:f>
      </x:c>
      <x:c r="R41" s="29">
        <x:f>IF(OR(N41="",G41=""),"",IFERROR(N41/G41*1000,""))</x:f>
      </x:c>
      <x:c r="S41" s="16" t="n"/>
    </x:row>
    <x:row r="42">
      <x:c r="A42" s="17" t="n"/>
      <x:c r="B42" s="17" t="n"/>
      <x:c r="C42" s="17" t="n"/>
      <x:c r="D42" s="17" t="n"/>
      <x:c r="E42" s="17" t="n"/>
      <x:c r="F42" s="17" t="n"/>
      <x:c r="G42" s="17" t="n"/>
      <x:c r="H42" s="17" t="n"/>
      <x:c r="I42" s="17" t="n"/>
      <x:c r="J42" s="31">
        <x:f>IF(I42="","",IFERROR(I42/H42,""))</x:f>
      </x:c>
      <x:c r="K42" s="34" t="n"/>
      <x:c r="L42" s="34" t="n"/>
      <x:c r="M42" s="17" t="n"/>
      <x:c r="N42" s="17" t="n"/>
      <x:c r="O42" s="17" t="n"/>
      <x:c r="P42" s="17" t="n"/>
      <x:c r="Q42" s="33">
        <x:f>IF(OR(M42="",G42=""),"",IFERROR(M42/G42*1000,""))</x:f>
      </x:c>
      <x:c r="R42" s="33">
        <x:f>IF(OR(N42="",G42=""),"",IFERROR(N42/G42*1000,""))</x:f>
      </x:c>
      <x:c r="S42" s="17" t="n"/>
    </x:row>
    <x:row r="43">
      <x:c r="A43" s="16" t="n"/>
      <x:c r="B43" s="16" t="n"/>
      <x:c r="C43" s="16" t="n"/>
      <x:c r="D43" s="16" t="n"/>
      <x:c r="E43" s="16" t="n"/>
      <x:c r="F43" s="16" t="n"/>
      <x:c r="G43" s="16" t="n"/>
      <x:c r="H43" s="16" t="n"/>
      <x:c r="I43" s="16" t="n"/>
      <x:c r="J43" s="27">
        <x:f>IF(I43="","",IFERROR(I43/H43,""))</x:f>
      </x:c>
      <x:c r="K43" s="30" t="n"/>
      <x:c r="L43" s="30" t="n"/>
      <x:c r="M43" s="16" t="n"/>
      <x:c r="N43" s="16" t="n"/>
      <x:c r="O43" s="16" t="n"/>
      <x:c r="P43" s="16" t="n"/>
      <x:c r="Q43" s="29">
        <x:f>IF(OR(M43="",G43=""),"",IFERROR(M43/G43*1000,""))</x:f>
      </x:c>
      <x:c r="R43" s="29">
        <x:f>IF(OR(N43="",G43=""),"",IFERROR(N43/G43*1000,""))</x:f>
      </x:c>
      <x:c r="S43" s="16" t="n"/>
    </x:row>
    <x:row r="44">
      <x:c r="A44" s="17" t="n"/>
      <x:c r="B44" s="17" t="n"/>
      <x:c r="C44" s="17" t="n"/>
      <x:c r="D44" s="17" t="n"/>
      <x:c r="E44" s="17" t="n"/>
      <x:c r="F44" s="17" t="n"/>
      <x:c r="G44" s="17" t="n"/>
      <x:c r="H44" s="17" t="n"/>
      <x:c r="I44" s="17" t="n"/>
      <x:c r="J44" s="31">
        <x:f>IF(I44="","",IFERROR(I44/H44,""))</x:f>
      </x:c>
      <x:c r="K44" s="34" t="n"/>
      <x:c r="L44" s="34" t="n"/>
      <x:c r="M44" s="17" t="n"/>
      <x:c r="N44" s="17" t="n"/>
      <x:c r="O44" s="17" t="n"/>
      <x:c r="P44" s="17" t="n"/>
      <x:c r="Q44" s="33">
        <x:f>IF(OR(M44="",G44=""),"",IFERROR(M44/G44*1000,""))</x:f>
      </x:c>
      <x:c r="R44" s="33">
        <x:f>IF(OR(N44="",G44=""),"",IFERROR(N44/G44*1000,""))</x:f>
      </x:c>
      <x:c r="S44" s="17" t="n"/>
    </x:row>
    <x:row r="45">
      <x:c r="A45" s="16" t="n"/>
      <x:c r="B45" s="16" t="n"/>
      <x:c r="C45" s="16" t="n"/>
      <x:c r="D45" s="16" t="n"/>
      <x:c r="E45" s="16" t="n"/>
      <x:c r="F45" s="16" t="n"/>
      <x:c r="G45" s="16" t="n"/>
      <x:c r="H45" s="16" t="n"/>
      <x:c r="I45" s="16" t="n"/>
      <x:c r="J45" s="27">
        <x:f>IF(I45="","",IFERROR(I45/H45,""))</x:f>
      </x:c>
      <x:c r="K45" s="30" t="n"/>
      <x:c r="L45" s="30" t="n"/>
      <x:c r="M45" s="16" t="n"/>
      <x:c r="N45" s="16" t="n"/>
      <x:c r="O45" s="16" t="n"/>
      <x:c r="P45" s="16" t="n"/>
      <x:c r="Q45" s="29">
        <x:f>IF(OR(M45="",G45=""),"",IFERROR(M45/G45*1000,""))</x:f>
      </x:c>
      <x:c r="R45" s="29">
        <x:f>IF(OR(N45="",G45=""),"",IFERROR(N45/G45*1000,""))</x:f>
      </x:c>
      <x:c r="S45" s="16" t="n"/>
    </x:row>
    <x:row r="46">
      <x:c r="A46" s="17" t="n"/>
      <x:c r="B46" s="17" t="n"/>
      <x:c r="C46" s="17" t="n"/>
      <x:c r="D46" s="17" t="n"/>
      <x:c r="E46" s="17" t="n"/>
      <x:c r="F46" s="17" t="n"/>
      <x:c r="G46" s="17" t="n"/>
      <x:c r="H46" s="17" t="n"/>
      <x:c r="I46" s="17" t="n"/>
      <x:c r="J46" s="31">
        <x:f>IF(I46="","",IFERROR(I46/H46,""))</x:f>
      </x:c>
      <x:c r="K46" s="34" t="n"/>
      <x:c r="L46" s="34" t="n"/>
      <x:c r="M46" s="17" t="n"/>
      <x:c r="N46" s="17" t="n"/>
      <x:c r="O46" s="17" t="n"/>
      <x:c r="P46" s="17" t="n"/>
      <x:c r="Q46" s="33">
        <x:f>IF(OR(M46="",G46=""),"",IFERROR(M46/G46*1000,""))</x:f>
      </x:c>
      <x:c r="R46" s="33">
        <x:f>IF(OR(N46="",G46=""),"",IFERROR(N46/G46*1000,""))</x:f>
      </x:c>
      <x:c r="S46" s="17" t="n"/>
    </x:row>
    <x:row r="47">
      <x:c r="A47" s="16" t="n"/>
      <x:c r="B47" s="16" t="n"/>
      <x:c r="C47" s="16" t="n"/>
      <x:c r="D47" s="16" t="n"/>
      <x:c r="E47" s="16" t="n"/>
      <x:c r="F47" s="16" t="n"/>
      <x:c r="G47" s="16" t="n"/>
      <x:c r="H47" s="16" t="n"/>
      <x:c r="I47" s="16" t="n"/>
      <x:c r="J47" s="27">
        <x:f>IF(I47="","",IFERROR(I47/H47,""))</x:f>
      </x:c>
      <x:c r="K47" s="30" t="n"/>
      <x:c r="L47" s="30" t="n"/>
      <x:c r="M47" s="16" t="n"/>
      <x:c r="N47" s="16" t="n"/>
      <x:c r="O47" s="16" t="n"/>
      <x:c r="P47" s="16" t="n"/>
      <x:c r="Q47" s="29">
        <x:f>IF(OR(M47="",G47=""),"",IFERROR(M47/G47*1000,""))</x:f>
      </x:c>
      <x:c r="R47" s="29">
        <x:f>IF(OR(N47="",G47=""),"",IFERROR(N47/G47*1000,""))</x:f>
      </x:c>
      <x:c r="S47" s="16" t="n"/>
    </x:row>
    <x:row r="48">
      <x:c r="A48" s="17" t="n"/>
      <x:c r="B48" s="17" t="n"/>
      <x:c r="C48" s="17" t="n"/>
      <x:c r="D48" s="17" t="n"/>
      <x:c r="E48" s="17" t="n"/>
      <x:c r="F48" s="17" t="n"/>
      <x:c r="G48" s="17" t="n"/>
      <x:c r="H48" s="17" t="n"/>
      <x:c r="I48" s="17" t="n"/>
      <x:c r="J48" s="31">
        <x:f>IF(I48="","",IFERROR(I48/H48,""))</x:f>
      </x:c>
      <x:c r="K48" s="34" t="n"/>
      <x:c r="L48" s="34" t="n"/>
      <x:c r="M48" s="17" t="n"/>
      <x:c r="N48" s="17" t="n"/>
      <x:c r="O48" s="17" t="n"/>
      <x:c r="P48" s="17" t="n"/>
      <x:c r="Q48" s="33">
        <x:f>IF(OR(M48="",G48=""),"",IFERROR(M48/G48*1000,""))</x:f>
      </x:c>
      <x:c r="R48" s="33">
        <x:f>IF(OR(N48="",G48=""),"",IFERROR(N48/G48*1000,""))</x:f>
      </x:c>
      <x:c r="S48" s="17" t="n"/>
    </x:row>
    <x:row r="49">
      <x:c r="A49" s="16" t="n"/>
      <x:c r="B49" s="16" t="n"/>
      <x:c r="C49" s="16" t="n"/>
      <x:c r="D49" s="16" t="n"/>
      <x:c r="E49" s="16" t="n"/>
      <x:c r="F49" s="16" t="n"/>
      <x:c r="G49" s="16" t="n"/>
      <x:c r="H49" s="16" t="n"/>
      <x:c r="I49" s="16" t="n"/>
      <x:c r="J49" s="27">
        <x:f>IF(I49="","",IFERROR(I49/H49,""))</x:f>
      </x:c>
      <x:c r="K49" s="30" t="n"/>
      <x:c r="L49" s="30" t="n"/>
      <x:c r="M49" s="16" t="n"/>
      <x:c r="N49" s="16" t="n"/>
      <x:c r="O49" s="16" t="n"/>
      <x:c r="P49" s="16" t="n"/>
      <x:c r="Q49" s="29">
        <x:f>IF(OR(M49="",G49=""),"",IFERROR(M49/G49*1000,""))</x:f>
      </x:c>
      <x:c r="R49" s="29">
        <x:f>IF(OR(N49="",G49=""),"",IFERROR(N49/G49*1000,""))</x:f>
      </x:c>
      <x:c r="S49" s="16" t="n"/>
    </x:row>
    <x:row r="50">
      <x:c r="A50" s="17" t="n"/>
      <x:c r="B50" s="17" t="n"/>
      <x:c r="C50" s="17" t="n"/>
      <x:c r="D50" s="17" t="n"/>
      <x:c r="E50" s="17" t="n"/>
      <x:c r="F50" s="17" t="n"/>
      <x:c r="G50" s="17" t="n"/>
      <x:c r="H50" s="17" t="n"/>
      <x:c r="I50" s="17" t="n"/>
      <x:c r="J50" s="31">
        <x:f>IF(I50="","",IFERROR(I50/H50,""))</x:f>
      </x:c>
      <x:c r="K50" s="34" t="n"/>
      <x:c r="L50" s="34" t="n"/>
      <x:c r="M50" s="17" t="n"/>
      <x:c r="N50" s="17" t="n"/>
      <x:c r="O50" s="17" t="n"/>
      <x:c r="P50" s="17" t="n"/>
      <x:c r="Q50" s="33">
        <x:f>IF(OR(M50="",G50=""),"",IFERROR(M50/G50*1000,""))</x:f>
      </x:c>
      <x:c r="R50" s="33">
        <x:f>IF(OR(N50="",G50=""),"",IFERROR(N50/G50*1000,""))</x:f>
      </x:c>
      <x:c r="S50" s="17" t="n"/>
    </x:row>
    <x:row r="51">
      <x:c r="A51" s="16" t="n"/>
      <x:c r="B51" s="16" t="n"/>
      <x:c r="C51" s="16" t="n"/>
      <x:c r="D51" s="16" t="n"/>
      <x:c r="E51" s="16" t="n"/>
      <x:c r="F51" s="16" t="n"/>
      <x:c r="G51" s="16" t="n"/>
      <x:c r="H51" s="16" t="n"/>
      <x:c r="I51" s="16" t="n"/>
      <x:c r="J51" s="27">
        <x:f>IF(I51="","",IFERROR(I51/H51,""))</x:f>
      </x:c>
      <x:c r="K51" s="30" t="n"/>
      <x:c r="L51" s="30" t="n"/>
      <x:c r="M51" s="16" t="n"/>
      <x:c r="N51" s="16" t="n"/>
      <x:c r="O51" s="16" t="n"/>
      <x:c r="P51" s="16" t="n"/>
      <x:c r="Q51" s="29">
        <x:f>IF(OR(M51="",G51=""),"",IFERROR(M51/G51*1000,""))</x:f>
      </x:c>
      <x:c r="R51" s="29">
        <x:f>IF(OR(N51="",G51=""),"",IFERROR(N51/G51*1000,""))</x:f>
      </x:c>
      <x:c r="S51" s="16" t="n"/>
    </x:row>
    <x:row r="52">
      <x:c r="A52" s="17" t="n"/>
      <x:c r="B52" s="17" t="n"/>
      <x:c r="C52" s="17" t="n"/>
      <x:c r="D52" s="17" t="n"/>
      <x:c r="E52" s="17" t="n"/>
      <x:c r="F52" s="17" t="n"/>
      <x:c r="G52" s="17" t="n"/>
      <x:c r="H52" s="17" t="n"/>
      <x:c r="I52" s="17" t="n"/>
      <x:c r="J52" s="31">
        <x:f>IF(I52="","",IFERROR(I52/H52,""))</x:f>
      </x:c>
      <x:c r="K52" s="34" t="n"/>
      <x:c r="L52" s="34" t="n"/>
      <x:c r="M52" s="17" t="n"/>
      <x:c r="N52" s="17" t="n"/>
      <x:c r="O52" s="17" t="n"/>
      <x:c r="P52" s="17" t="n"/>
      <x:c r="Q52" s="33">
        <x:f>IF(OR(M52="",G52=""),"",IFERROR(M52/G52*1000,""))</x:f>
      </x:c>
      <x:c r="R52" s="33">
        <x:f>IF(OR(N52="",G52=""),"",IFERROR(N52/G52*1000,""))</x:f>
      </x:c>
      <x:c r="S52" s="17" t="n"/>
    </x:row>
    <x:row r="53">
      <x:c r="A53" s="16" t="n"/>
      <x:c r="B53" s="16" t="n"/>
      <x:c r="C53" s="16" t="n"/>
      <x:c r="D53" s="16" t="n"/>
      <x:c r="E53" s="16" t="n"/>
      <x:c r="F53" s="16" t="n"/>
      <x:c r="G53" s="16" t="n"/>
      <x:c r="H53" s="16" t="n"/>
      <x:c r="I53" s="16" t="n"/>
      <x:c r="J53" s="27">
        <x:f>IF(I53="","",IFERROR(I53/H53,""))</x:f>
      </x:c>
      <x:c r="K53" s="30" t="n"/>
      <x:c r="L53" s="30" t="n"/>
      <x:c r="M53" s="16" t="n"/>
      <x:c r="N53" s="16" t="n"/>
      <x:c r="O53" s="16" t="n"/>
      <x:c r="P53" s="16" t="n"/>
      <x:c r="Q53" s="29">
        <x:f>IF(OR(M53="",G53=""),"",IFERROR(M53/G53*1000,""))</x:f>
      </x:c>
      <x:c r="R53" s="29">
        <x:f>IF(OR(N53="",G53=""),"",IFERROR(N53/G53*1000,""))</x:f>
      </x:c>
      <x:c r="S53" s="16" t="n"/>
    </x:row>
    <x:row r="54">
      <x:c r="A54" s="17" t="n"/>
      <x:c r="B54" s="17" t="n"/>
      <x:c r="C54" s="17" t="n"/>
      <x:c r="D54" s="17" t="n"/>
      <x:c r="E54" s="17" t="n"/>
      <x:c r="F54" s="17" t="n"/>
      <x:c r="G54" s="17" t="n"/>
      <x:c r="H54" s="17" t="n"/>
      <x:c r="I54" s="17" t="n"/>
      <x:c r="J54" s="31">
        <x:f>IF(I54="","",IFERROR(I54/H54,""))</x:f>
      </x:c>
      <x:c r="K54" s="34" t="n"/>
      <x:c r="L54" s="34" t="n"/>
      <x:c r="M54" s="17" t="n"/>
      <x:c r="N54" s="17" t="n"/>
      <x:c r="O54" s="17" t="n"/>
      <x:c r="P54" s="17" t="n"/>
      <x:c r="Q54" s="33">
        <x:f>IF(OR(M54="",G54=""),"",IFERROR(M54/G54*1000,""))</x:f>
      </x:c>
      <x:c r="R54" s="33">
        <x:f>IF(OR(N54="",G54=""),"",IFERROR(N54/G54*1000,""))</x:f>
      </x:c>
      <x:c r="S54" s="17" t="n"/>
    </x:row>
    <x:row r="55">
      <x:c r="A55" s="16" t="n"/>
      <x:c r="B55" s="16" t="n"/>
      <x:c r="C55" s="16" t="n"/>
      <x:c r="D55" s="16" t="n"/>
      <x:c r="E55" s="16" t="n"/>
      <x:c r="F55" s="16" t="n"/>
      <x:c r="G55" s="16" t="n"/>
      <x:c r="H55" s="16" t="n"/>
      <x:c r="I55" s="16" t="n"/>
      <x:c r="J55" s="27">
        <x:f>IF(I55="","",IFERROR(I55/H55,""))</x:f>
      </x:c>
      <x:c r="K55" s="30" t="n"/>
      <x:c r="L55" s="30" t="n"/>
      <x:c r="M55" s="16" t="n"/>
      <x:c r="N55" s="16" t="n"/>
      <x:c r="O55" s="16" t="n"/>
      <x:c r="P55" s="16" t="n"/>
      <x:c r="Q55" s="29">
        <x:f>IF(OR(M55="",G55=""),"",IFERROR(M55/G55*1000,""))</x:f>
      </x:c>
      <x:c r="R55" s="29">
        <x:f>IF(OR(N55="",G55=""),"",IFERROR(N55/G55*1000,""))</x:f>
      </x:c>
      <x:c r="S55" s="16" t="n"/>
    </x:row>
    <x:row r="56">
      <x:c r="A56" s="17" t="n"/>
      <x:c r="B56" s="17" t="n"/>
      <x:c r="C56" s="17" t="n"/>
      <x:c r="D56" s="17" t="n"/>
      <x:c r="E56" s="17" t="n"/>
      <x:c r="F56" s="17" t="n"/>
      <x:c r="G56" s="17" t="n"/>
      <x:c r="H56" s="17" t="n"/>
      <x:c r="I56" s="17" t="n"/>
      <x:c r="J56" s="31">
        <x:f>IF(I56="","",IFERROR(I56/H56,""))</x:f>
      </x:c>
      <x:c r="K56" s="34" t="n"/>
      <x:c r="L56" s="34" t="n"/>
      <x:c r="M56" s="17" t="n"/>
      <x:c r="N56" s="17" t="n"/>
      <x:c r="O56" s="17" t="n"/>
      <x:c r="P56" s="17" t="n"/>
      <x:c r="Q56" s="33">
        <x:f>IF(OR(M56="",G56=""),"",IFERROR(M56/G56*1000,""))</x:f>
      </x:c>
      <x:c r="R56" s="33">
        <x:f>IF(OR(N56="",G56=""),"",IFERROR(N56/G56*1000,""))</x:f>
      </x:c>
      <x:c r="S56" s="17" t="n"/>
    </x:row>
    <x:row r="57">
      <x:c r="A57" s="16" t="n"/>
      <x:c r="B57" s="16" t="n"/>
      <x:c r="C57" s="16" t="n"/>
      <x:c r="D57" s="16" t="n"/>
      <x:c r="E57" s="16" t="n"/>
      <x:c r="F57" s="16" t="n"/>
      <x:c r="G57" s="16" t="n"/>
      <x:c r="H57" s="16" t="n"/>
      <x:c r="I57" s="16" t="n"/>
      <x:c r="J57" s="27">
        <x:f>IF(I57="","",IFERROR(I57/H57,""))</x:f>
      </x:c>
      <x:c r="K57" s="30" t="n"/>
      <x:c r="L57" s="30" t="n"/>
      <x:c r="M57" s="16" t="n"/>
      <x:c r="N57" s="16" t="n"/>
      <x:c r="O57" s="16" t="n"/>
      <x:c r="P57" s="16" t="n"/>
      <x:c r="Q57" s="29">
        <x:f>IF(OR(M57="",G57=""),"",IFERROR(M57/G57*1000,""))</x:f>
      </x:c>
      <x:c r="R57" s="29">
        <x:f>IF(OR(N57="",G57=""),"",IFERROR(N57/G57*1000,""))</x:f>
      </x:c>
      <x:c r="S57" s="16" t="n"/>
    </x:row>
    <x:row r="58">
      <x:c r="A58" s="17" t="n"/>
      <x:c r="B58" s="17" t="n"/>
      <x:c r="C58" s="17" t="n"/>
      <x:c r="D58" s="17" t="n"/>
      <x:c r="E58" s="17" t="n"/>
      <x:c r="F58" s="17" t="n"/>
      <x:c r="G58" s="17" t="n"/>
      <x:c r="H58" s="17" t="n"/>
      <x:c r="I58" s="17" t="n"/>
      <x:c r="J58" s="31">
        <x:f>IF(I58="","",IFERROR(I58/H58,""))</x:f>
      </x:c>
      <x:c r="K58" s="34" t="n"/>
      <x:c r="L58" s="34" t="n"/>
      <x:c r="M58" s="17" t="n"/>
      <x:c r="N58" s="17" t="n"/>
      <x:c r="O58" s="17" t="n"/>
      <x:c r="P58" s="17" t="n"/>
      <x:c r="Q58" s="33">
        <x:f>IF(OR(M58="",G58=""),"",IFERROR(M58/G58*1000,""))</x:f>
      </x:c>
      <x:c r="R58" s="33">
        <x:f>IF(OR(N58="",G58=""),"",IFERROR(N58/G58*1000,""))</x:f>
      </x:c>
      <x:c r="S58" s="17" t="n"/>
    </x:row>
    <x:row r="59">
      <x:c r="A59" s="16" t="n"/>
      <x:c r="B59" s="16" t="n"/>
      <x:c r="C59" s="16" t="n"/>
      <x:c r="D59" s="16" t="n"/>
      <x:c r="E59" s="16" t="n"/>
      <x:c r="F59" s="16" t="n"/>
      <x:c r="G59" s="16" t="n"/>
      <x:c r="H59" s="16" t="n"/>
      <x:c r="I59" s="16" t="n"/>
      <x:c r="J59" s="27">
        <x:f>IF(I59="","",IFERROR(I59/H59,""))</x:f>
      </x:c>
      <x:c r="K59" s="30" t="n"/>
      <x:c r="L59" s="30" t="n"/>
      <x:c r="M59" s="16" t="n"/>
      <x:c r="N59" s="16" t="n"/>
      <x:c r="O59" s="16" t="n"/>
      <x:c r="P59" s="16" t="n"/>
      <x:c r="Q59" s="29">
        <x:f>IF(OR(M59="",G59=""),"",IFERROR(M59/G59*1000,""))</x:f>
      </x:c>
      <x:c r="R59" s="29">
        <x:f>IF(OR(N59="",G59=""),"",IFERROR(N59/G59*1000,""))</x:f>
      </x:c>
      <x:c r="S59" s="16" t="n"/>
    </x:row>
    <x:row r="60">
      <x:c r="A60" s="17" t="n"/>
      <x:c r="B60" s="17" t="n"/>
      <x:c r="C60" s="17" t="n"/>
      <x:c r="D60" s="17" t="n"/>
      <x:c r="E60" s="17" t="n"/>
      <x:c r="F60" s="17" t="n"/>
      <x:c r="G60" s="17" t="n"/>
      <x:c r="H60" s="17" t="n"/>
      <x:c r="I60" s="17" t="n"/>
      <x:c r="J60" s="31">
        <x:f>IF(I60="","",IFERROR(I60/H60,""))</x:f>
      </x:c>
      <x:c r="K60" s="34" t="n"/>
      <x:c r="L60" s="34" t="n"/>
      <x:c r="M60" s="17" t="n"/>
      <x:c r="N60" s="17" t="n"/>
      <x:c r="O60" s="17" t="n"/>
      <x:c r="P60" s="17" t="n"/>
      <x:c r="Q60" s="33">
        <x:f>IF(OR(M60="",G60=""),"",IFERROR(M60/G60*1000,""))</x:f>
      </x:c>
      <x:c r="R60" s="33">
        <x:f>IF(OR(N60="",G60=""),"",IFERROR(N60/G60*1000,""))</x:f>
      </x:c>
      <x:c r="S60" s="17" t="n"/>
    </x:row>
    <x:row r="61">
      <x:c r="A61" s="16" t="n"/>
      <x:c r="B61" s="16" t="n"/>
      <x:c r="C61" s="16" t="n"/>
      <x:c r="D61" s="16" t="n"/>
      <x:c r="E61" s="16" t="n"/>
      <x:c r="F61" s="16" t="n"/>
      <x:c r="G61" s="16" t="n"/>
      <x:c r="H61" s="16" t="n"/>
      <x:c r="I61" s="16" t="n"/>
      <x:c r="J61" s="27">
        <x:f>IF(I61="","",IFERROR(I61/H61,""))</x:f>
      </x:c>
      <x:c r="K61" s="30" t="n"/>
      <x:c r="L61" s="30" t="n"/>
      <x:c r="M61" s="16" t="n"/>
      <x:c r="N61" s="16" t="n"/>
      <x:c r="O61" s="16" t="n"/>
      <x:c r="P61" s="16" t="n"/>
      <x:c r="Q61" s="29">
        <x:f>IF(OR(M61="",G61=""),"",IFERROR(M61/G61*1000,""))</x:f>
      </x:c>
      <x:c r="R61" s="29">
        <x:f>IF(OR(N61="",G61=""),"",IFERROR(N61/G61*1000,""))</x:f>
      </x:c>
      <x:c r="S61" s="16" t="n"/>
    </x:row>
    <x:row r="62">
      <x:c r="A62" s="17" t="n"/>
      <x:c r="B62" s="17" t="n"/>
      <x:c r="C62" s="17" t="n"/>
      <x:c r="D62" s="17" t="n"/>
      <x:c r="E62" s="17" t="n"/>
      <x:c r="F62" s="17" t="n"/>
      <x:c r="G62" s="17" t="n"/>
      <x:c r="H62" s="17" t="n"/>
      <x:c r="I62" s="17" t="n"/>
      <x:c r="J62" s="31">
        <x:f>IF(I62="","",IFERROR(I62/H62,""))</x:f>
      </x:c>
      <x:c r="K62" s="34" t="n"/>
      <x:c r="L62" s="34" t="n"/>
      <x:c r="M62" s="17" t="n"/>
      <x:c r="N62" s="17" t="n"/>
      <x:c r="O62" s="17" t="n"/>
      <x:c r="P62" s="17" t="n"/>
      <x:c r="Q62" s="33">
        <x:f>IF(OR(M62="",G62=""),"",IFERROR(M62/G62*1000,""))</x:f>
      </x:c>
      <x:c r="R62" s="33">
        <x:f>IF(OR(N62="",G62=""),"",IFERROR(N62/G62*1000,""))</x:f>
      </x:c>
      <x:c r="S62" s="17" t="n"/>
    </x:row>
    <x:row r="63">
      <x:c r="A63" s="16" t="n"/>
      <x:c r="B63" s="16" t="n"/>
      <x:c r="C63" s="16" t="n"/>
      <x:c r="D63" s="16" t="n"/>
      <x:c r="E63" s="16" t="n"/>
      <x:c r="F63" s="16" t="n"/>
      <x:c r="G63" s="16" t="n"/>
      <x:c r="H63" s="16" t="n"/>
      <x:c r="I63" s="16" t="n"/>
      <x:c r="J63" s="27">
        <x:f>IF(I63="","",IFERROR(I63/H63,""))</x:f>
      </x:c>
      <x:c r="K63" s="30" t="n"/>
      <x:c r="L63" s="30" t="n"/>
      <x:c r="M63" s="16" t="n"/>
      <x:c r="N63" s="16" t="n"/>
      <x:c r="O63" s="16" t="n"/>
      <x:c r="P63" s="16" t="n"/>
      <x:c r="Q63" s="29">
        <x:f>IF(OR(M63="",G63=""),"",IFERROR(M63/G63*1000,""))</x:f>
      </x:c>
      <x:c r="R63" s="29">
        <x:f>IF(OR(N63="",G63=""),"",IFERROR(N63/G63*1000,""))</x:f>
      </x:c>
      <x:c r="S63" s="16" t="n"/>
    </x:row>
    <x:row r="64">
      <x:c r="A64" s="17" t="n"/>
      <x:c r="B64" s="17" t="n"/>
      <x:c r="C64" s="17" t="n"/>
      <x:c r="D64" s="17" t="n"/>
      <x:c r="E64" s="17" t="n"/>
      <x:c r="F64" s="17" t="n"/>
      <x:c r="G64" s="17" t="n"/>
      <x:c r="H64" s="17" t="n"/>
      <x:c r="I64" s="17" t="n"/>
      <x:c r="J64" s="31">
        <x:f>IF(I64="","",IFERROR(I64/H64,""))</x:f>
      </x:c>
      <x:c r="K64" s="34" t="n"/>
      <x:c r="L64" s="34" t="n"/>
      <x:c r="M64" s="17" t="n"/>
      <x:c r="N64" s="17" t="n"/>
      <x:c r="O64" s="17" t="n"/>
      <x:c r="P64" s="17" t="n"/>
      <x:c r="Q64" s="33">
        <x:f>IF(OR(M64="",G64=""),"",IFERROR(M64/G64*1000,""))</x:f>
      </x:c>
      <x:c r="R64" s="33">
        <x:f>IF(OR(N64="",G64=""),"",IFERROR(N64/G64*1000,""))</x:f>
      </x:c>
      <x:c r="S64" s="17" t="n"/>
    </x:row>
  </x:sheetData>
  <x:mergeCells>
    <x:mergeCell ref="A2:R2"/>
    <x:mergeCell ref="A1:R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10" customWidth="1"/>
    <x:col min="2" max="2" width="16" customWidth="1"/>
    <x:col min="3" max="3" width="22" customWidth="1"/>
    <x:col min="4" max="4" width="48" customWidth="1"/>
    <x:col min="5" max="5" width="14" customWidth="1"/>
    <x:col min="6" max="6" width="18" customWidth="1"/>
    <x:col min="7" max="7" width="16" customWidth="1"/>
    <x:col min="8" max="8" width="16" customWidth="1"/>
    <x:col min="9" max="9" width="16" customWidth="1"/>
    <x:col min="10" max="10" width="12" customWidth="1"/>
    <x:col min="11" max="11" width="20" customWidth="1"/>
    <x:col min="12" max="12" width="14" customWidth="1"/>
    <x:col min="13" max="13" width="18" customWidth="1"/>
    <x:col min="14" max="14" width="14" customWidth="1"/>
    <x:col min="15" max="15" width="16" customWidth="1"/>
    <x:col min="16" max="16" width="14" customWidth="1"/>
    <x:col min="17" max="17" width="26" customWidth="1"/>
  </x:cols>
  <x:sheetData>
    <x:row r="1" ht="24" customHeight="1">
      <x:c r="A1" s="14" t="inlineStr">
        <x:is>
          <x:t xml:space="preserve">BCC+ Rubric Use — Score Every Overlay Before Publishing</x:t>
        </x:is>
      </x:c>
    </x:row>
    <x:row r="2" ht="32" customHeight="1">
      <x:c r="A2" s="3" t="inlineStr">
        <x:is>
          <x:t xml:space="preserve">A practical scoring form. Input scores 1–5 for each dimension; weighted score calculates automatically.</x:t>
        </x:is>
      </x:c>
    </x:row>
    <x:row r="4">
      <x:c r="A4" t="inlineStr">
        <x:is>
          <x:t xml:space="preserve">Weights</x:t>
        </x:is>
      </x:c>
      <x:c r="E4" s="35" t="n">
        <x:v>1.2</x:v>
      </x:c>
      <x:c r="F4" s="35" t="n">
        <x:v>1.4</x:v>
      </x:c>
      <x:c r="G4" s="35" t="n">
        <x:v>0.8</x:v>
      </x:c>
      <x:c r="H4" s="35" t="n">
        <x:v>0.8</x:v>
      </x:c>
      <x:c r="I4" s="35" t="n">
        <x:v>1.3</x:v>
      </x:c>
      <x:c r="J4" s="35" t="n">
        <x:v>1</x:v>
      </x:c>
      <x:c r="K4" s="35" t="n">
        <x:v>1.4</x:v>
      </x:c>
      <x:c r="L4" s="35" t="n">
        <x:v>1.2</x:v>
      </x:c>
      <x:c r="M4" s="35" t="n">
        <x:v>1.1</x:v>
      </x:c>
      <x:c r="N4" s="35" t="n">
        <x:v>1</x:v>
      </x:c>
    </x:row>
    <x:row r="5">
      <x:c r="A5" s="15" t="inlineStr">
        <x:is>
          <x:t xml:space="preserve">Video_ID</x:t>
        </x:is>
      </x:c>
      <x:c r="B5" s="15" t="inlineStr">
        <x:is>
          <x:t xml:space="preserve">Category</x:t>
        </x:is>
      </x:c>
      <x:c r="C5" s="15" t="inlineStr">
        <x:is>
          <x:t xml:space="preserve">Variant</x:t>
        </x:is>
      </x:c>
      <x:c r="D5" s="15" t="inlineStr">
        <x:is>
          <x:t xml:space="preserve">Overlay Text</x:t>
        </x:is>
      </x:c>
      <x:c r="E5" s="15" t="inlineStr">
        <x:is>
          <x:t xml:space="preserve">Compression</x:t>
        </x:is>
      </x:c>
      <x:c r="F5" s="15" t="inlineStr">
        <x:is>
          <x:t xml:space="preserve">Semantic clarity</x:t>
        </x:is>
      </x:c>
      <x:c r="G5" s="15" t="inlineStr">
        <x:is>
          <x:t xml:space="preserve">Operator strength</x:t>
        </x:is>
      </x:c>
      <x:c r="H5" s="15" t="inlineStr">
        <x:is>
          <x:t xml:space="preserve">Concept anchoring</x:t>
        </x:is>
      </x:c>
      <x:c r="I5" s="15" t="inlineStr">
        <x:is>
          <x:t xml:space="preserve">Placement safety</x:t>
        </x:is>
      </x:c>
      <x:c r="J5" s="15" t="inlineStr">
        <x:is>
          <x:t xml:space="preserve">Timing</x:t>
        </x:is>
      </x:c>
      <x:c r="K5" s="15" t="inlineStr">
        <x:is>
          <x:t xml:space="preserve">Muted comprehension</x:t>
        </x:is>
      </x:c>
      <x:c r="L5" s="15" t="inlineStr">
        <x:is>
          <x:t xml:space="preserve">Visual load</x:t>
        </x:is>
      </x:c>
      <x:c r="M5" s="15" t="inlineStr">
        <x:is>
          <x:t xml:space="preserve">Accessibility layer</x:t>
        </x:is>
      </x:c>
      <x:c r="N5" s="15" t="inlineStr">
        <x:is>
          <x:t xml:space="preserve">Memorability</x:t>
        </x:is>
      </x:c>
      <x:c r="O5" s="15" t="inlineStr">
        <x:is>
          <x:t xml:space="preserve">Weighted Score</x:t>
        </x:is>
      </x:c>
      <x:c r="P5" s="15" t="inlineStr">
        <x:is>
          <x:t xml:space="preserve">Decision</x:t>
        </x:is>
      </x:c>
      <x:c r="Q5" s="15" t="inlineStr">
        <x:is>
          <x:t xml:space="preserve">Notes</x:t>
        </x:is>
      </x:c>
    </x:row>
    <x:row r="6" ht="80" customHeight="1">
      <x:c r="A6" s="17" t="inlineStr">
        <x:is>
          <x:t xml:space="preserve">V01</x:t>
        </x:is>
      </x:c>
      <x:c r="B6" s="17" t="inlineStr">
        <x:is>
          <x:t xml:space="preserve">Productivity</x:t>
        </x:is>
      </x:c>
      <x:c r="C6" s="17" t="inlineStr">
        <x:is>
          <x:t xml:space="preserve">Semantic compression</x:t>
        </x:is>
      </x:c>
      <x:c r="D6" s="17" t="inlineStr">
        <x:is>
          <x:t xml:space="preserve">Not motivation.
Structure.
Reduce friction.
Shrink the start.</x:t>
        </x:is>
      </x:c>
      <x:c r="E6" s="17" t="inlineStr">
        <x:is>
          <x:t xml:space="preserve"/>
        </x:is>
      </x:c>
      <x:c r="F6" s="17" t="inlineStr">
        <x:is>
          <x:t xml:space="preserve"/>
        </x:is>
      </x:c>
      <x:c r="G6" s="17" t="inlineStr">
        <x:is>
          <x:t xml:space="preserve"/>
        </x:is>
      </x:c>
      <x:c r="H6" s="17" t="inlineStr">
        <x:is>
          <x:t xml:space="preserve"/>
        </x:is>
      </x:c>
      <x:c r="I6" s="17" t="inlineStr">
        <x:is>
          <x:t xml:space="preserve"/>
        </x:is>
      </x:c>
      <x:c r="J6" s="17" t="inlineStr">
        <x:is>
          <x:t xml:space="preserve"/>
        </x:is>
      </x:c>
      <x:c r="K6" s="17" t="inlineStr">
        <x:is>
          <x:t xml:space="preserve"/>
        </x:is>
      </x:c>
      <x:c r="L6" s="17" t="inlineStr">
        <x:is>
          <x:t xml:space="preserve"/>
        </x:is>
      </x:c>
      <x:c r="M6" s="17" t="inlineStr">
        <x:is>
          <x:t xml:space="preserve"/>
        </x:is>
      </x:c>
      <x:c r="N6" s="17" t="inlineStr">
        <x:is>
          <x:t xml:space="preserve"/>
        </x:is>
      </x:c>
      <x:c r="O6" s="36">
        <x:f>IF(COUNTA(E6:N6)=0,"",IFERROR(SUMPRODUCT(E6:N6,$E$4:$N$4)/SUM($E$4:$N$4),""))</x:f>
      </x:c>
      <x:c r="P6" s="36">
        <x:f>IF(O6="","",IF(O6&gt;=4,"Publish/Test",IF(O6&gt;=3,"Revise","Reject")))</x:f>
      </x:c>
      <x:c r="Q6" s="17" t="n"/>
    </x:row>
    <x:row r="7" ht="80" customHeight="1">
      <x:c r="A7" s="16" t="inlineStr">
        <x:is>
          <x:t xml:space="preserve">V01</x:t>
        </x:is>
      </x:c>
      <x:c r="B7" s="16" t="inlineStr">
        <x:is>
          <x:t xml:space="preserve">Productivity</x:t>
        </x:is>
      </x:c>
      <x:c r="C7" s="16" t="inlineStr">
        <x:is>
          <x:t xml:space="preserve">BCC</x:t>
        </x:is>
      </x:c>
      <x:c r="D7" s="16" t="inlineStr">
        <x:is>
          <x:t xml:space="preserve">**Not** **moti**vation.
**Struc**ture.
Reduce **fric**tion.
Shrink the **start**.</x:t>
        </x:is>
      </x:c>
      <x:c r="E7" s="16" t="inlineStr">
        <x:is>
          <x:t xml:space="preserve"/>
        </x:is>
      </x:c>
      <x:c r="F7" s="16" t="inlineStr">
        <x:is>
          <x:t xml:space="preserve"/>
        </x:is>
      </x:c>
      <x:c r="G7" s="16" t="inlineStr">
        <x:is>
          <x:t xml:space="preserve"/>
        </x:is>
      </x:c>
      <x:c r="H7" s="16" t="inlineStr">
        <x:is>
          <x:t xml:space="preserve"/>
        </x:is>
      </x:c>
      <x:c r="I7" s="16" t="inlineStr">
        <x:is>
          <x:t xml:space="preserve"/>
        </x:is>
      </x:c>
      <x:c r="J7" s="16" t="inlineStr">
        <x:is>
          <x:t xml:space="preserve"/>
        </x:is>
      </x:c>
      <x:c r="K7" s="16" t="inlineStr">
        <x:is>
          <x:t xml:space="preserve"/>
        </x:is>
      </x:c>
      <x:c r="L7" s="16" t="inlineStr">
        <x:is>
          <x:t xml:space="preserve"/>
        </x:is>
      </x:c>
      <x:c r="M7" s="16" t="inlineStr">
        <x:is>
          <x:t xml:space="preserve"/>
        </x:is>
      </x:c>
      <x:c r="N7" s="16" t="inlineStr">
        <x:is>
          <x:t xml:space="preserve"/>
        </x:is>
      </x:c>
      <x:c r="O7" s="37">
        <x:f>IF(COUNTA(E7:N7)=0,"",IFERROR(SUMPRODUCT(E7:N7,$E$4:$N$4)/SUM($E$4:$N$4),""))</x:f>
      </x:c>
      <x:c r="P7" s="37">
        <x:f>IF(O7="","",IF(O7&gt;=4,"Publish/Test",IF(O7&gt;=3,"Revise","Reject")))</x:f>
      </x:c>
      <x:c r="Q7" s="16" t="n"/>
    </x:row>
    <x:row r="8" ht="80" customHeight="1">
      <x:c r="A8" s="17" t="inlineStr">
        <x:is>
          <x:t xml:space="preserve">V01</x:t>
        </x:is>
      </x:c>
      <x:c r="B8" s="17" t="inlineStr">
        <x:is>
          <x:t xml:space="preserve">Productivity</x:t>
        </x:is>
      </x:c>
      <x:c r="C8" s="17" t="inlineStr">
        <x:is>
          <x:t xml:space="preserve">BCC+</x:t>
        </x:is>
      </x:c>
      <x:c r="D8" s="17" t="inlineStr">
        <x:is>
          <x:t xml:space="preserve">**Not** **moti**vation.
**Struc**ture.
Reduce **fric**tion.
Shrink the **start**.
Talking head; avoid eyes/mouth; place upper-chest/shoulder zone; 4 beats.</x:t>
        </x:is>
      </x:c>
      <x:c r="E8" s="17" t="inlineStr">
        <x:is>
          <x:t xml:space="preserve"/>
        </x:is>
      </x:c>
      <x:c r="F8" s="17" t="inlineStr">
        <x:is>
          <x:t xml:space="preserve"/>
        </x:is>
      </x:c>
      <x:c r="G8" s="17" t="inlineStr">
        <x:is>
          <x:t xml:space="preserve"/>
        </x:is>
      </x:c>
      <x:c r="H8" s="17" t="inlineStr">
        <x:is>
          <x:t xml:space="preserve"/>
        </x:is>
      </x:c>
      <x:c r="I8" s="17" t="inlineStr">
        <x:is>
          <x:t xml:space="preserve"/>
        </x:is>
      </x:c>
      <x:c r="J8" s="17" t="inlineStr">
        <x:is>
          <x:t xml:space="preserve"/>
        </x:is>
      </x:c>
      <x:c r="K8" s="17" t="inlineStr">
        <x:is>
          <x:t xml:space="preserve"/>
        </x:is>
      </x:c>
      <x:c r="L8" s="17" t="inlineStr">
        <x:is>
          <x:t xml:space="preserve"/>
        </x:is>
      </x:c>
      <x:c r="M8" s="17" t="inlineStr">
        <x:is>
          <x:t xml:space="preserve"/>
        </x:is>
      </x:c>
      <x:c r="N8" s="17" t="inlineStr">
        <x:is>
          <x:t xml:space="preserve"/>
        </x:is>
      </x:c>
      <x:c r="O8" s="36">
        <x:f>IF(COUNTA(E8:N8)=0,"",IFERROR(SUMPRODUCT(E8:N8,$E$4:$N$4)/SUM($E$4:$N$4),""))</x:f>
      </x:c>
      <x:c r="P8" s="36">
        <x:f>IF(O8="","",IF(O8&gt;=4,"Publish/Test",IF(O8&gt;=3,"Revise","Reject")))</x:f>
      </x:c>
      <x:c r="Q8" s="17" t="n"/>
    </x:row>
    <x:row r="9" ht="80" customHeight="1">
      <x:c r="A9" s="16" t="inlineStr">
        <x:is>
          <x:t xml:space="preserve">V02</x:t>
        </x:is>
      </x:c>
      <x:c r="B9" s="16" t="inlineStr">
        <x:is>
          <x:t xml:space="preserve">Study</x:t>
        </x:is>
      </x:c>
      <x:c r="C9" s="16" t="inlineStr">
        <x:is>
          <x:t xml:space="preserve">Semantic compression</x:t>
        </x:is>
      </x:c>
      <x:c r="D9" s="16" t="inlineStr">
        <x:is>
          <x:t xml:space="preserve">Rereading feels safe.
Recall proves it.</x:t>
        </x:is>
      </x:c>
      <x:c r="E9" s="16" t="inlineStr">
        <x:is>
          <x:t xml:space="preserve"/>
        </x:is>
      </x:c>
      <x:c r="F9" s="16" t="inlineStr">
        <x:is>
          <x:t xml:space="preserve"/>
        </x:is>
      </x:c>
      <x:c r="G9" s="16" t="inlineStr">
        <x:is>
          <x:t xml:space="preserve"/>
        </x:is>
      </x:c>
      <x:c r="H9" s="16" t="inlineStr">
        <x:is>
          <x:t xml:space="preserve"/>
        </x:is>
      </x:c>
      <x:c r="I9" s="16" t="inlineStr">
        <x:is>
          <x:t xml:space="preserve"/>
        </x:is>
      </x:c>
      <x:c r="J9" s="16" t="inlineStr">
        <x:is>
          <x:t xml:space="preserve"/>
        </x:is>
      </x:c>
      <x:c r="K9" s="16" t="inlineStr">
        <x:is>
          <x:t xml:space="preserve"/>
        </x:is>
      </x:c>
      <x:c r="L9" s="16" t="inlineStr">
        <x:is>
          <x:t xml:space="preserve"/>
        </x:is>
      </x:c>
      <x:c r="M9" s="16" t="inlineStr">
        <x:is>
          <x:t xml:space="preserve"/>
        </x:is>
      </x:c>
      <x:c r="N9" s="16" t="inlineStr">
        <x:is>
          <x:t xml:space="preserve"/>
        </x:is>
      </x:c>
      <x:c r="O9" s="37">
        <x:f>IF(COUNTA(E9:N9)=0,"",IFERROR(SUMPRODUCT(E9:N9,$E$4:$N$4)/SUM($E$4:$N$4),""))</x:f>
      </x:c>
      <x:c r="P9" s="37">
        <x:f>IF(O9="","",IF(O9&gt;=4,"Publish/Test",IF(O9&gt;=3,"Revise","Reject")))</x:f>
      </x:c>
      <x:c r="Q9" s="16" t="n"/>
    </x:row>
    <x:row r="10" ht="80" customHeight="1">
      <x:c r="A10" s="17" t="inlineStr">
        <x:is>
          <x:t xml:space="preserve">V02</x:t>
        </x:is>
      </x:c>
      <x:c r="B10" s="17" t="inlineStr">
        <x:is>
          <x:t xml:space="preserve">Study</x:t>
        </x:is>
      </x:c>
      <x:c r="C10" s="17" t="inlineStr">
        <x:is>
          <x:t xml:space="preserve">BCC</x:t>
        </x:is>
      </x:c>
      <x:c r="D10" s="17" t="inlineStr">
        <x:is>
          <x:t xml:space="preserve">**Reread**ing feels safe.
**Recall** proves it.</x:t>
        </x:is>
      </x:c>
      <x:c r="E10" s="17" t="inlineStr">
        <x:is>
          <x:t xml:space="preserve"/>
        </x:is>
      </x:c>
      <x:c r="F10" s="17" t="inlineStr">
        <x:is>
          <x:t xml:space="preserve"/>
        </x:is>
      </x:c>
      <x:c r="G10" s="17" t="inlineStr">
        <x:is>
          <x:t xml:space="preserve"/>
        </x:is>
      </x:c>
      <x:c r="H10" s="17" t="inlineStr">
        <x:is>
          <x:t xml:space="preserve"/>
        </x:is>
      </x:c>
      <x:c r="I10" s="17" t="inlineStr">
        <x:is>
          <x:t xml:space="preserve"/>
        </x:is>
      </x:c>
      <x:c r="J10" s="17" t="inlineStr">
        <x:is>
          <x:t xml:space="preserve"/>
        </x:is>
      </x:c>
      <x:c r="K10" s="17" t="inlineStr">
        <x:is>
          <x:t xml:space="preserve"/>
        </x:is>
      </x:c>
      <x:c r="L10" s="17" t="inlineStr">
        <x:is>
          <x:t xml:space="preserve"/>
        </x:is>
      </x:c>
      <x:c r="M10" s="17" t="inlineStr">
        <x:is>
          <x:t xml:space="preserve"/>
        </x:is>
      </x:c>
      <x:c r="N10" s="17" t="inlineStr">
        <x:is>
          <x:t xml:space="preserve"/>
        </x:is>
      </x:c>
      <x:c r="O10" s="36">
        <x:f>IF(COUNTA(E10:N10)=0,"",IFERROR(SUMPRODUCT(E10:N10,$E$4:$N$4)/SUM($E$4:$N$4),""))</x:f>
      </x:c>
      <x:c r="P10" s="36">
        <x:f>IF(O10="","",IF(O10&gt;=4,"Publish/Test",IF(O10&gt;=3,"Revise","Reject")))</x:f>
      </x:c>
      <x:c r="Q10" s="17" t="n"/>
    </x:row>
    <x:row r="11" ht="80" customHeight="1">
      <x:c r="A11" s="16" t="inlineStr">
        <x:is>
          <x:t xml:space="preserve">V02</x:t>
        </x:is>
      </x:c>
      <x:c r="B11" s="16" t="inlineStr">
        <x:is>
          <x:t xml:space="preserve">Study</x:t>
        </x:is>
      </x:c>
      <x:c r="C11" s="16" t="inlineStr">
        <x:is>
          <x:t xml:space="preserve">BCC+</x:t>
        </x:is>
      </x:c>
      <x:c r="D11" s="16" t="inlineStr">
        <x:is>
          <x:t xml:space="preserve">**Reread**ing feels safe.
**Recall** proves it.
Desk/notes; avoid covering page if writing is visible; use 2 beats.</x:t>
        </x:is>
      </x:c>
      <x:c r="E11" s="16" t="inlineStr">
        <x:is>
          <x:t xml:space="preserve"/>
        </x:is>
      </x:c>
      <x:c r="F11" s="16" t="inlineStr">
        <x:is>
          <x:t xml:space="preserve"/>
        </x:is>
      </x:c>
      <x:c r="G11" s="16" t="inlineStr">
        <x:is>
          <x:t xml:space="preserve"/>
        </x:is>
      </x:c>
      <x:c r="H11" s="16" t="inlineStr">
        <x:is>
          <x:t xml:space="preserve"/>
        </x:is>
      </x:c>
      <x:c r="I11" s="16" t="inlineStr">
        <x:is>
          <x:t xml:space="preserve"/>
        </x:is>
      </x:c>
      <x:c r="J11" s="16" t="inlineStr">
        <x:is>
          <x:t xml:space="preserve"/>
        </x:is>
      </x:c>
      <x:c r="K11" s="16" t="inlineStr">
        <x:is>
          <x:t xml:space="preserve"/>
        </x:is>
      </x:c>
      <x:c r="L11" s="16" t="inlineStr">
        <x:is>
          <x:t xml:space="preserve"/>
        </x:is>
      </x:c>
      <x:c r="M11" s="16" t="inlineStr">
        <x:is>
          <x:t xml:space="preserve"/>
        </x:is>
      </x:c>
      <x:c r="N11" s="16" t="inlineStr">
        <x:is>
          <x:t xml:space="preserve"/>
        </x:is>
      </x:c>
      <x:c r="O11" s="37">
        <x:f>IF(COUNTA(E11:N11)=0,"",IFERROR(SUMPRODUCT(E11:N11,$E$4:$N$4)/SUM($E$4:$N$4),""))</x:f>
      </x:c>
      <x:c r="P11" s="37">
        <x:f>IF(O11="","",IF(O11&gt;=4,"Publish/Test",IF(O11&gt;=3,"Revise","Reject")))</x:f>
      </x:c>
      <x:c r="Q11" s="16" t="n"/>
    </x:row>
    <x:row r="12" ht="80" customHeight="1">
      <x:c r="A12" s="17" t="inlineStr">
        <x:is>
          <x:t xml:space="preserve">V03</x:t>
        </x:is>
      </x:c>
      <x:c r="B12" s="17" t="inlineStr">
        <x:is>
          <x:t xml:space="preserve">Fitness</x:t>
        </x:is>
      </x:c>
      <x:c r="C12" s="17" t="inlineStr">
        <x:is>
          <x:t xml:space="preserve">Semantic compression</x:t>
        </x:is>
      </x:c>
      <x:c r="D12" s="17" t="inlineStr">
        <x:is>
          <x:t xml:space="preserve">Not discipline.
Make good easy.</x:t>
        </x:is>
      </x:c>
      <x:c r="E12" s="17" t="inlineStr">
        <x:is>
          <x:t xml:space="preserve"/>
        </x:is>
      </x:c>
      <x:c r="F12" s="17" t="inlineStr">
        <x:is>
          <x:t xml:space="preserve"/>
        </x:is>
      </x:c>
      <x:c r="G12" s="17" t="inlineStr">
        <x:is>
          <x:t xml:space="preserve"/>
        </x:is>
      </x:c>
      <x:c r="H12" s="17" t="inlineStr">
        <x:is>
          <x:t xml:space="preserve"/>
        </x:is>
      </x:c>
      <x:c r="I12" s="17" t="inlineStr">
        <x:is>
          <x:t xml:space="preserve"/>
        </x:is>
      </x:c>
      <x:c r="J12" s="17" t="inlineStr">
        <x:is>
          <x:t xml:space="preserve"/>
        </x:is>
      </x:c>
      <x:c r="K12" s="17" t="inlineStr">
        <x:is>
          <x:t xml:space="preserve"/>
        </x:is>
      </x:c>
      <x:c r="L12" s="17" t="inlineStr">
        <x:is>
          <x:t xml:space="preserve"/>
        </x:is>
      </x:c>
      <x:c r="M12" s="17" t="inlineStr">
        <x:is>
          <x:t xml:space="preserve"/>
        </x:is>
      </x:c>
      <x:c r="N12" s="17" t="inlineStr">
        <x:is>
          <x:t xml:space="preserve"/>
        </x:is>
      </x:c>
      <x:c r="O12" s="36">
        <x:f>IF(COUNTA(E12:N12)=0,"",IFERROR(SUMPRODUCT(E12:N12,$E$4:$N$4)/SUM($E$4:$N$4),""))</x:f>
      </x:c>
      <x:c r="P12" s="36">
        <x:f>IF(O12="","",IF(O12&gt;=4,"Publish/Test",IF(O12&gt;=3,"Revise","Reject")))</x:f>
      </x:c>
      <x:c r="Q12" s="17" t="n"/>
    </x:row>
    <x:row r="13" ht="80" customHeight="1">
      <x:c r="A13" s="16" t="inlineStr">
        <x:is>
          <x:t xml:space="preserve">V03</x:t>
        </x:is>
      </x:c>
      <x:c r="B13" s="16" t="inlineStr">
        <x:is>
          <x:t xml:space="preserve">Fitness</x:t>
        </x:is>
      </x:c>
      <x:c r="C13" s="16" t="inlineStr">
        <x:is>
          <x:t xml:space="preserve">BCC</x:t>
        </x:is>
      </x:c>
      <x:c r="D13" s="16" t="inlineStr">
        <x:is>
          <x:t xml:space="preserve">**Not** disci**pline**.
Make good **easy**.</x:t>
        </x:is>
      </x:c>
      <x:c r="E13" s="16" t="inlineStr">
        <x:is>
          <x:t xml:space="preserve"/>
        </x:is>
      </x:c>
      <x:c r="F13" s="16" t="inlineStr">
        <x:is>
          <x:t xml:space="preserve"/>
        </x:is>
      </x:c>
      <x:c r="G13" s="16" t="inlineStr">
        <x:is>
          <x:t xml:space="preserve"/>
        </x:is>
      </x:c>
      <x:c r="H13" s="16" t="inlineStr">
        <x:is>
          <x:t xml:space="preserve"/>
        </x:is>
      </x:c>
      <x:c r="I13" s="16" t="inlineStr">
        <x:is>
          <x:t xml:space="preserve"/>
        </x:is>
      </x:c>
      <x:c r="J13" s="16" t="inlineStr">
        <x:is>
          <x:t xml:space="preserve"/>
        </x:is>
      </x:c>
      <x:c r="K13" s="16" t="inlineStr">
        <x:is>
          <x:t xml:space="preserve"/>
        </x:is>
      </x:c>
      <x:c r="L13" s="16" t="inlineStr">
        <x:is>
          <x:t xml:space="preserve"/>
        </x:is>
      </x:c>
      <x:c r="M13" s="16" t="inlineStr">
        <x:is>
          <x:t xml:space="preserve"/>
        </x:is>
      </x:c>
      <x:c r="N13" s="16" t="inlineStr">
        <x:is>
          <x:t xml:space="preserve"/>
        </x:is>
      </x:c>
      <x:c r="O13" s="37">
        <x:f>IF(COUNTA(E13:N13)=0,"",IFERROR(SUMPRODUCT(E13:N13,$E$4:$N$4)/SUM($E$4:$N$4),""))</x:f>
      </x:c>
      <x:c r="P13" s="37">
        <x:f>IF(O13="","",IF(O13&gt;=4,"Publish/Test",IF(O13&gt;=3,"Revise","Reject")))</x:f>
      </x:c>
      <x:c r="Q13" s="16" t="n"/>
    </x:row>
    <x:row r="14" ht="80" customHeight="1">
      <x:c r="A14" s="17" t="inlineStr">
        <x:is>
          <x:t xml:space="preserve">V03</x:t>
        </x:is>
      </x:c>
      <x:c r="B14" s="17" t="inlineStr">
        <x:is>
          <x:t xml:space="preserve">Fitness</x:t>
        </x:is>
      </x:c>
      <x:c r="C14" s="17" t="inlineStr">
        <x:is>
          <x:t xml:space="preserve">BCC+</x:t>
        </x:is>
      </x:c>
      <x:c r="D14" s="17" t="inlineStr">
        <x:is>
          <x:t xml:space="preserve">**Not** disci**pline**.
Make good **easy**.
Protect body/hand demo; side label if showing equipment.</x:t>
        </x:is>
      </x:c>
      <x:c r="E14" s="17" t="inlineStr">
        <x:is>
          <x:t xml:space="preserve"/>
        </x:is>
      </x:c>
      <x:c r="F14" s="17" t="inlineStr">
        <x:is>
          <x:t xml:space="preserve"/>
        </x:is>
      </x:c>
      <x:c r="G14" s="17" t="inlineStr">
        <x:is>
          <x:t xml:space="preserve"/>
        </x:is>
      </x:c>
      <x:c r="H14" s="17" t="inlineStr">
        <x:is>
          <x:t xml:space="preserve"/>
        </x:is>
      </x:c>
      <x:c r="I14" s="17" t="inlineStr">
        <x:is>
          <x:t xml:space="preserve"/>
        </x:is>
      </x:c>
      <x:c r="J14" s="17" t="inlineStr">
        <x:is>
          <x:t xml:space="preserve"/>
        </x:is>
      </x:c>
      <x:c r="K14" s="17" t="inlineStr">
        <x:is>
          <x:t xml:space="preserve"/>
        </x:is>
      </x:c>
      <x:c r="L14" s="17" t="inlineStr">
        <x:is>
          <x:t xml:space="preserve"/>
        </x:is>
      </x:c>
      <x:c r="M14" s="17" t="inlineStr">
        <x:is>
          <x:t xml:space="preserve"/>
        </x:is>
      </x:c>
      <x:c r="N14" s="17" t="inlineStr">
        <x:is>
          <x:t xml:space="preserve"/>
        </x:is>
      </x:c>
      <x:c r="O14" s="36">
        <x:f>IF(COUNTA(E14:N14)=0,"",IFERROR(SUMPRODUCT(E14:N14,$E$4:$N$4)/SUM($E$4:$N$4),""))</x:f>
      </x:c>
      <x:c r="P14" s="36">
        <x:f>IF(O14="","",IF(O14&gt;=4,"Publish/Test",IF(O14&gt;=3,"Revise","Reject")))</x:f>
      </x:c>
      <x:c r="Q14" s="17" t="n"/>
    </x:row>
    <x:row r="15" ht="80" customHeight="1">
      <x:c r="A15" s="16" t="inlineStr">
        <x:is>
          <x:t xml:space="preserve">V04</x:t>
        </x:is>
      </x:c>
      <x:c r="B15" s="16" t="inlineStr">
        <x:is>
          <x:t xml:space="preserve">Finance</x:t>
        </x:is>
      </x:c>
      <x:c r="C15" s="16" t="inlineStr">
        <x:is>
          <x:t xml:space="preserve">Semantic compression</x:t>
        </x:is>
      </x:c>
      <x:c r="D15" s="16" t="inlineStr">
        <x:is>
          <x:t xml:space="preserve">Not budgeting.
Visibility first.</x:t>
        </x:is>
      </x:c>
      <x:c r="E15" s="16" t="inlineStr">
        <x:is>
          <x:t xml:space="preserve"/>
        </x:is>
      </x:c>
      <x:c r="F15" s="16" t="inlineStr">
        <x:is>
          <x:t xml:space="preserve"/>
        </x:is>
      </x:c>
      <x:c r="G15" s="16" t="inlineStr">
        <x:is>
          <x:t xml:space="preserve"/>
        </x:is>
      </x:c>
      <x:c r="H15" s="16" t="inlineStr">
        <x:is>
          <x:t xml:space="preserve"/>
        </x:is>
      </x:c>
      <x:c r="I15" s="16" t="inlineStr">
        <x:is>
          <x:t xml:space="preserve"/>
        </x:is>
      </x:c>
      <x:c r="J15" s="16" t="inlineStr">
        <x:is>
          <x:t xml:space="preserve"/>
        </x:is>
      </x:c>
      <x:c r="K15" s="16" t="inlineStr">
        <x:is>
          <x:t xml:space="preserve"/>
        </x:is>
      </x:c>
      <x:c r="L15" s="16" t="inlineStr">
        <x:is>
          <x:t xml:space="preserve"/>
        </x:is>
      </x:c>
      <x:c r="M15" s="16" t="inlineStr">
        <x:is>
          <x:t xml:space="preserve"/>
        </x:is>
      </x:c>
      <x:c r="N15" s="16" t="inlineStr">
        <x:is>
          <x:t xml:space="preserve"/>
        </x:is>
      </x:c>
      <x:c r="O15" s="37">
        <x:f>IF(COUNTA(E15:N15)=0,"",IFERROR(SUMPRODUCT(E15:N15,$E$4:$N$4)/SUM($E$4:$N$4),""))</x:f>
      </x:c>
      <x:c r="P15" s="37">
        <x:f>IF(O15="","",IF(O15&gt;=4,"Publish/Test",IF(O15&gt;=3,"Revise","Reject")))</x:f>
      </x:c>
      <x:c r="Q15" s="16" t="n"/>
    </x:row>
    <x:row r="16" ht="80" customHeight="1">
      <x:c r="A16" s="17" t="inlineStr">
        <x:is>
          <x:t xml:space="preserve">V04</x:t>
        </x:is>
      </x:c>
      <x:c r="B16" s="17" t="inlineStr">
        <x:is>
          <x:t xml:space="preserve">Finance</x:t>
        </x:is>
      </x:c>
      <x:c r="C16" s="17" t="inlineStr">
        <x:is>
          <x:t xml:space="preserve">BCC</x:t>
        </x:is>
      </x:c>
      <x:c r="D16" s="17" t="inlineStr">
        <x:is>
          <x:t xml:space="preserve">**Not** budg**eting**.
**Visib**ility first.</x:t>
        </x:is>
      </x:c>
      <x:c r="E16" s="17" t="inlineStr">
        <x:is>
          <x:t xml:space="preserve"/>
        </x:is>
      </x:c>
      <x:c r="F16" s="17" t="inlineStr">
        <x:is>
          <x:t xml:space="preserve"/>
        </x:is>
      </x:c>
      <x:c r="G16" s="17" t="inlineStr">
        <x:is>
          <x:t xml:space="preserve"/>
        </x:is>
      </x:c>
      <x:c r="H16" s="17" t="inlineStr">
        <x:is>
          <x:t xml:space="preserve"/>
        </x:is>
      </x:c>
      <x:c r="I16" s="17" t="inlineStr">
        <x:is>
          <x:t xml:space="preserve"/>
        </x:is>
      </x:c>
      <x:c r="J16" s="17" t="inlineStr">
        <x:is>
          <x:t xml:space="preserve"/>
        </x:is>
      </x:c>
      <x:c r="K16" s="17" t="inlineStr">
        <x:is>
          <x:t xml:space="preserve"/>
        </x:is>
      </x:c>
      <x:c r="L16" s="17" t="inlineStr">
        <x:is>
          <x:t xml:space="preserve"/>
        </x:is>
      </x:c>
      <x:c r="M16" s="17" t="inlineStr">
        <x:is>
          <x:t xml:space="preserve"/>
        </x:is>
      </x:c>
      <x:c r="N16" s="17" t="inlineStr">
        <x:is>
          <x:t xml:space="preserve"/>
        </x:is>
      </x:c>
      <x:c r="O16" s="36">
        <x:f>IF(COUNTA(E16:N16)=0,"",IFERROR(SUMPRODUCT(E16:N16,$E$4:$N$4)/SUM($E$4:$N$4),""))</x:f>
      </x:c>
      <x:c r="P16" s="36">
        <x:f>IF(O16="","",IF(O16&gt;=4,"Publish/Test",IF(O16&gt;=3,"Revise","Reject")))</x:f>
      </x:c>
      <x:c r="Q16" s="17" t="n"/>
    </x:row>
    <x:row r="17" ht="80" customHeight="1">
      <x:c r="A17" s="16" t="inlineStr">
        <x:is>
          <x:t xml:space="preserve">V04</x:t>
        </x:is>
      </x:c>
      <x:c r="B17" s="16" t="inlineStr">
        <x:is>
          <x:t xml:space="preserve">Finance</x:t>
        </x:is>
      </x:c>
      <x:c r="C17" s="16" t="inlineStr">
        <x:is>
          <x:t xml:space="preserve">BCC+</x:t>
        </x:is>
      </x:c>
      <x:c r="D17" s="16" t="inlineStr">
        <x:is>
          <x:t xml:space="preserve">**Not** budg**eting**.
**Visib**ility first.
Screen/app mock; avoid covering numbers; use top-safe label.</x:t>
        </x:is>
      </x:c>
      <x:c r="E17" s="16" t="inlineStr">
        <x:is>
          <x:t xml:space="preserve"/>
        </x:is>
      </x:c>
      <x:c r="F17" s="16" t="inlineStr">
        <x:is>
          <x:t xml:space="preserve"/>
        </x:is>
      </x:c>
      <x:c r="G17" s="16" t="inlineStr">
        <x:is>
          <x:t xml:space="preserve"/>
        </x:is>
      </x:c>
      <x:c r="H17" s="16" t="inlineStr">
        <x:is>
          <x:t xml:space="preserve"/>
        </x:is>
      </x:c>
      <x:c r="I17" s="16" t="inlineStr">
        <x:is>
          <x:t xml:space="preserve"/>
        </x:is>
      </x:c>
      <x:c r="J17" s="16" t="inlineStr">
        <x:is>
          <x:t xml:space="preserve"/>
        </x:is>
      </x:c>
      <x:c r="K17" s="16" t="inlineStr">
        <x:is>
          <x:t xml:space="preserve"/>
        </x:is>
      </x:c>
      <x:c r="L17" s="16" t="inlineStr">
        <x:is>
          <x:t xml:space="preserve"/>
        </x:is>
      </x:c>
      <x:c r="M17" s="16" t="inlineStr">
        <x:is>
          <x:t xml:space="preserve"/>
        </x:is>
      </x:c>
      <x:c r="N17" s="16" t="inlineStr">
        <x:is>
          <x:t xml:space="preserve"/>
        </x:is>
      </x:c>
      <x:c r="O17" s="37">
        <x:f>IF(COUNTA(E17:N17)=0,"",IFERROR(SUMPRODUCT(E17:N17,$E$4:$N$4)/SUM($E$4:$N$4),""))</x:f>
      </x:c>
      <x:c r="P17" s="37">
        <x:f>IF(O17="","",IF(O17&gt;=4,"Publish/Test",IF(O17&gt;=3,"Revise","Reject")))</x:f>
      </x:c>
      <x:c r="Q17" s="16" t="n"/>
    </x:row>
    <x:row r="18" ht="80" customHeight="1">
      <x:c r="A18" s="17" t="inlineStr">
        <x:is>
          <x:t xml:space="preserve">V05</x:t>
        </x:is>
      </x:c>
      <x:c r="B18" s="17" t="inlineStr">
        <x:is>
          <x:t xml:space="preserve">Tutorial</x:t>
        </x:is>
      </x:c>
      <x:c r="C18" s="17" t="inlineStr">
        <x:is>
          <x:t xml:space="preserve">Semantic compression</x:t>
        </x:is>
      </x:c>
      <x:c r="D18" s="17" t="inlineStr">
        <x:is>
          <x:t xml:space="preserve">Too many steps.
Remove one.
Start obvious.</x:t>
        </x:is>
      </x:c>
      <x:c r="E18" s="17" t="inlineStr">
        <x:is>
          <x:t xml:space="preserve"/>
        </x:is>
      </x:c>
      <x:c r="F18" s="17" t="inlineStr">
        <x:is>
          <x:t xml:space="preserve"/>
        </x:is>
      </x:c>
      <x:c r="G18" s="17" t="inlineStr">
        <x:is>
          <x:t xml:space="preserve"/>
        </x:is>
      </x:c>
      <x:c r="H18" s="17" t="inlineStr">
        <x:is>
          <x:t xml:space="preserve"/>
        </x:is>
      </x:c>
      <x:c r="I18" s="17" t="inlineStr">
        <x:is>
          <x:t xml:space="preserve"/>
        </x:is>
      </x:c>
      <x:c r="J18" s="17" t="inlineStr">
        <x:is>
          <x:t xml:space="preserve"/>
        </x:is>
      </x:c>
      <x:c r="K18" s="17" t="inlineStr">
        <x:is>
          <x:t xml:space="preserve"/>
        </x:is>
      </x:c>
      <x:c r="L18" s="17" t="inlineStr">
        <x:is>
          <x:t xml:space="preserve"/>
        </x:is>
      </x:c>
      <x:c r="M18" s="17" t="inlineStr">
        <x:is>
          <x:t xml:space="preserve"/>
        </x:is>
      </x:c>
      <x:c r="N18" s="17" t="inlineStr">
        <x:is>
          <x:t xml:space="preserve"/>
        </x:is>
      </x:c>
      <x:c r="O18" s="36">
        <x:f>IF(COUNTA(E18:N18)=0,"",IFERROR(SUMPRODUCT(E18:N18,$E$4:$N$4)/SUM($E$4:$N$4),""))</x:f>
      </x:c>
      <x:c r="P18" s="36">
        <x:f>IF(O18="","",IF(O18&gt;=4,"Publish/Test",IF(O18&gt;=3,"Revise","Reject")))</x:f>
      </x:c>
      <x:c r="Q18" s="17" t="n"/>
    </x:row>
    <x:row r="19" ht="80" customHeight="1">
      <x:c r="A19" s="16" t="inlineStr">
        <x:is>
          <x:t xml:space="preserve">V05</x:t>
        </x:is>
      </x:c>
      <x:c r="B19" s="16" t="inlineStr">
        <x:is>
          <x:t xml:space="preserve">Tutorial</x:t>
        </x:is>
      </x:c>
      <x:c r="C19" s="16" t="inlineStr">
        <x:is>
          <x:t xml:space="preserve">BCC</x:t>
        </x:is>
      </x:c>
      <x:c r="D19" s="16" t="inlineStr">
        <x:is>
          <x:t xml:space="preserve">Too many **steps**.
Remove **one**.
Start **obvi**ous.</x:t>
        </x:is>
      </x:c>
      <x:c r="E19" s="16" t="inlineStr">
        <x:is>
          <x:t xml:space="preserve"/>
        </x:is>
      </x:c>
      <x:c r="F19" s="16" t="inlineStr">
        <x:is>
          <x:t xml:space="preserve"/>
        </x:is>
      </x:c>
      <x:c r="G19" s="16" t="inlineStr">
        <x:is>
          <x:t xml:space="preserve"/>
        </x:is>
      </x:c>
      <x:c r="H19" s="16" t="inlineStr">
        <x:is>
          <x:t xml:space="preserve"/>
        </x:is>
      </x:c>
      <x:c r="I19" s="16" t="inlineStr">
        <x:is>
          <x:t xml:space="preserve"/>
        </x:is>
      </x:c>
      <x:c r="J19" s="16" t="inlineStr">
        <x:is>
          <x:t xml:space="preserve"/>
        </x:is>
      </x:c>
      <x:c r="K19" s="16" t="inlineStr">
        <x:is>
          <x:t xml:space="preserve"/>
        </x:is>
      </x:c>
      <x:c r="L19" s="16" t="inlineStr">
        <x:is>
          <x:t xml:space="preserve"/>
        </x:is>
      </x:c>
      <x:c r="M19" s="16" t="inlineStr">
        <x:is>
          <x:t xml:space="preserve"/>
        </x:is>
      </x:c>
      <x:c r="N19" s="16" t="inlineStr">
        <x:is>
          <x:t xml:space="preserve"/>
        </x:is>
      </x:c>
      <x:c r="O19" s="37">
        <x:f>IF(COUNTA(E19:N19)=0,"",IFERROR(SUMPRODUCT(E19:N19,$E$4:$N$4)/SUM($E$4:$N$4),""))</x:f>
      </x:c>
      <x:c r="P19" s="37">
        <x:f>IF(O19="","",IF(O19&gt;=4,"Publish/Test",IF(O19&gt;=3,"Revise","Reject")))</x:f>
      </x:c>
      <x:c r="Q19" s="16" t="n"/>
    </x:row>
    <x:row r="20" ht="80" customHeight="1">
      <x:c r="A20" s="17" t="inlineStr">
        <x:is>
          <x:t xml:space="preserve">V05</x:t>
        </x:is>
      </x:c>
      <x:c r="B20" s="17" t="inlineStr">
        <x:is>
          <x:t xml:space="preserve">Tutorial</x:t>
        </x:is>
      </x:c>
      <x:c r="C20" s="17" t="inlineStr">
        <x:is>
          <x:t xml:space="preserve">BCC+</x:t>
        </x:is>
      </x:c>
      <x:c r="D20" s="17" t="inlineStr">
        <x:is>
          <x:t xml:space="preserve">Too many **steps**.
Remove **one**.
Start **obvi**ous.
Hands are primary; use side labels; 1–3 words during action.</x:t>
        </x:is>
      </x:c>
      <x:c r="E20" s="17" t="inlineStr">
        <x:is>
          <x:t xml:space="preserve"/>
        </x:is>
      </x:c>
      <x:c r="F20" s="17" t="inlineStr">
        <x:is>
          <x:t xml:space="preserve"/>
        </x:is>
      </x:c>
      <x:c r="G20" s="17" t="inlineStr">
        <x:is>
          <x:t xml:space="preserve"/>
        </x:is>
      </x:c>
      <x:c r="H20" s="17" t="inlineStr">
        <x:is>
          <x:t xml:space="preserve"/>
        </x:is>
      </x:c>
      <x:c r="I20" s="17" t="inlineStr">
        <x:is>
          <x:t xml:space="preserve"/>
        </x:is>
      </x:c>
      <x:c r="J20" s="17" t="inlineStr">
        <x:is>
          <x:t xml:space="preserve"/>
        </x:is>
      </x:c>
      <x:c r="K20" s="17" t="inlineStr">
        <x:is>
          <x:t xml:space="preserve"/>
        </x:is>
      </x:c>
      <x:c r="L20" s="17" t="inlineStr">
        <x:is>
          <x:t xml:space="preserve"/>
        </x:is>
      </x:c>
      <x:c r="M20" s="17" t="inlineStr">
        <x:is>
          <x:t xml:space="preserve"/>
        </x:is>
      </x:c>
      <x:c r="N20" s="17" t="inlineStr">
        <x:is>
          <x:t xml:space="preserve"/>
        </x:is>
      </x:c>
      <x:c r="O20" s="36">
        <x:f>IF(COUNTA(E20:N20)=0,"",IFERROR(SUMPRODUCT(E20:N20,$E$4:$N$4)/SUM($E$4:$N$4),""))</x:f>
      </x:c>
      <x:c r="P20" s="36">
        <x:f>IF(O20="","",IF(O20&gt;=4,"Publish/Test",IF(O20&gt;=3,"Revise","Reject")))</x:f>
      </x:c>
      <x:c r="Q20" s="17" t="n"/>
    </x:row>
    <x:row r="21" ht="80" customHeight="1">
      <x:c r="A21" s="16" t="inlineStr">
        <x:is>
          <x:t xml:space="preserve">V06</x:t>
        </x:is>
      </x:c>
      <x:c r="B21" s="16" t="inlineStr">
        <x:is>
          <x:t xml:space="preserve">Overload</x:t>
        </x:is>
      </x:c>
      <x:c r="C21" s="16" t="inlineStr">
        <x:is>
          <x:t xml:space="preserve">Semantic compression</x:t>
        </x:is>
      </x:c>
      <x:c r="D21" s="16" t="inlineStr">
        <x:is>
          <x:t xml:space="preserve">Not faster.
Fewer loops.</x:t>
        </x:is>
      </x:c>
      <x:c r="E21" s="16" t="inlineStr">
        <x:is>
          <x:t xml:space="preserve"/>
        </x:is>
      </x:c>
      <x:c r="F21" s="16" t="inlineStr">
        <x:is>
          <x:t xml:space="preserve"/>
        </x:is>
      </x:c>
      <x:c r="G21" s="16" t="inlineStr">
        <x:is>
          <x:t xml:space="preserve"/>
        </x:is>
      </x:c>
      <x:c r="H21" s="16" t="inlineStr">
        <x:is>
          <x:t xml:space="preserve"/>
        </x:is>
      </x:c>
      <x:c r="I21" s="16" t="inlineStr">
        <x:is>
          <x:t xml:space="preserve"/>
        </x:is>
      </x:c>
      <x:c r="J21" s="16" t="inlineStr">
        <x:is>
          <x:t xml:space="preserve"/>
        </x:is>
      </x:c>
      <x:c r="K21" s="16" t="inlineStr">
        <x:is>
          <x:t xml:space="preserve"/>
        </x:is>
      </x:c>
      <x:c r="L21" s="16" t="inlineStr">
        <x:is>
          <x:t xml:space="preserve"/>
        </x:is>
      </x:c>
      <x:c r="M21" s="16" t="inlineStr">
        <x:is>
          <x:t xml:space="preserve"/>
        </x:is>
      </x:c>
      <x:c r="N21" s="16" t="inlineStr">
        <x:is>
          <x:t xml:space="preserve"/>
        </x:is>
      </x:c>
      <x:c r="O21" s="37">
        <x:f>IF(COUNTA(E21:N21)=0,"",IFERROR(SUMPRODUCT(E21:N21,$E$4:$N$4)/SUM($E$4:$N$4),""))</x:f>
      </x:c>
      <x:c r="P21" s="37">
        <x:f>IF(O21="","",IF(O21&gt;=4,"Publish/Test",IF(O21&gt;=3,"Revise","Reject")))</x:f>
      </x:c>
      <x:c r="Q21" s="16" t="n"/>
    </x:row>
    <x:row r="22" ht="80" customHeight="1">
      <x:c r="A22" s="17" t="inlineStr">
        <x:is>
          <x:t xml:space="preserve">V06</x:t>
        </x:is>
      </x:c>
      <x:c r="B22" s="17" t="inlineStr">
        <x:is>
          <x:t xml:space="preserve">Overload</x:t>
        </x:is>
      </x:c>
      <x:c r="C22" s="17" t="inlineStr">
        <x:is>
          <x:t xml:space="preserve">BCC</x:t>
        </x:is>
      </x:c>
      <x:c r="D22" s="17" t="inlineStr">
        <x:is>
          <x:t xml:space="preserve">**Not** faster.
Fewer **loops**.</x:t>
        </x:is>
      </x:c>
      <x:c r="E22" s="17" t="inlineStr">
        <x:is>
          <x:t xml:space="preserve"/>
        </x:is>
      </x:c>
      <x:c r="F22" s="17" t="inlineStr">
        <x:is>
          <x:t xml:space="preserve"/>
        </x:is>
      </x:c>
      <x:c r="G22" s="17" t="inlineStr">
        <x:is>
          <x:t xml:space="preserve"/>
        </x:is>
      </x:c>
      <x:c r="H22" s="17" t="inlineStr">
        <x:is>
          <x:t xml:space="preserve"/>
        </x:is>
      </x:c>
      <x:c r="I22" s="17" t="inlineStr">
        <x:is>
          <x:t xml:space="preserve"/>
        </x:is>
      </x:c>
      <x:c r="J22" s="17" t="inlineStr">
        <x:is>
          <x:t xml:space="preserve"/>
        </x:is>
      </x:c>
      <x:c r="K22" s="17" t="inlineStr">
        <x:is>
          <x:t xml:space="preserve"/>
        </x:is>
      </x:c>
      <x:c r="L22" s="17" t="inlineStr">
        <x:is>
          <x:t xml:space="preserve"/>
        </x:is>
      </x:c>
      <x:c r="M22" s="17" t="inlineStr">
        <x:is>
          <x:t xml:space="preserve"/>
        </x:is>
      </x:c>
      <x:c r="N22" s="17" t="inlineStr">
        <x:is>
          <x:t xml:space="preserve"/>
        </x:is>
      </x:c>
      <x:c r="O22" s="36">
        <x:f>IF(COUNTA(E22:N22)=0,"",IFERROR(SUMPRODUCT(E22:N22,$E$4:$N$4)/SUM($E$4:$N$4),""))</x:f>
      </x:c>
      <x:c r="P22" s="36">
        <x:f>IF(O22="","",IF(O22&gt;=4,"Publish/Test",IF(O22&gt;=3,"Revise","Reject")))</x:f>
      </x:c>
      <x:c r="Q22" s="17" t="n"/>
    </x:row>
    <x:row r="23" ht="80" customHeight="1">
      <x:c r="A23" s="16" t="inlineStr">
        <x:is>
          <x:t xml:space="preserve">V06</x:t>
        </x:is>
      </x:c>
      <x:c r="B23" s="16" t="inlineStr">
        <x:is>
          <x:t xml:space="preserve">Overload</x:t>
        </x:is>
      </x:c>
      <x:c r="C23" s="16" t="inlineStr">
        <x:is>
          <x:t xml:space="preserve">BCC+</x:t>
        </x:is>
      </x:c>
      <x:c r="D23" s="16" t="inlineStr">
        <x:is>
          <x:t xml:space="preserve">**Not** faster.
Fewer **loops**.
Protect face; calm timing; micro-rest after first contrast.</x:t>
        </x:is>
      </x:c>
      <x:c r="E23" s="16" t="inlineStr">
        <x:is>
          <x:t xml:space="preserve"/>
        </x:is>
      </x:c>
      <x:c r="F23" s="16" t="inlineStr">
        <x:is>
          <x:t xml:space="preserve"/>
        </x:is>
      </x:c>
      <x:c r="G23" s="16" t="inlineStr">
        <x:is>
          <x:t xml:space="preserve"/>
        </x:is>
      </x:c>
      <x:c r="H23" s="16" t="inlineStr">
        <x:is>
          <x:t xml:space="preserve"/>
        </x:is>
      </x:c>
      <x:c r="I23" s="16" t="inlineStr">
        <x:is>
          <x:t xml:space="preserve"/>
        </x:is>
      </x:c>
      <x:c r="J23" s="16" t="inlineStr">
        <x:is>
          <x:t xml:space="preserve"/>
        </x:is>
      </x:c>
      <x:c r="K23" s="16" t="inlineStr">
        <x:is>
          <x:t xml:space="preserve"/>
        </x:is>
      </x:c>
      <x:c r="L23" s="16" t="inlineStr">
        <x:is>
          <x:t xml:space="preserve"/>
        </x:is>
      </x:c>
      <x:c r="M23" s="16" t="inlineStr">
        <x:is>
          <x:t xml:space="preserve"/>
        </x:is>
      </x:c>
      <x:c r="N23" s="16" t="inlineStr">
        <x:is>
          <x:t xml:space="preserve"/>
        </x:is>
      </x:c>
      <x:c r="O23" s="37">
        <x:f>IF(COUNTA(E23:N23)=0,"",IFERROR(SUMPRODUCT(E23:N23,$E$4:$N$4)/SUM($E$4:$N$4),""))</x:f>
      </x:c>
      <x:c r="P23" s="37">
        <x:f>IF(O23="","",IF(O23&gt;=4,"Publish/Test",IF(O23&gt;=3,"Revise","Reject")))</x:f>
      </x:c>
      <x:c r="Q23" s="16" t="n"/>
    </x:row>
    <x:row r="24" ht="80" customHeight="1">
      <x:c r="A24" s="17" t="inlineStr">
        <x:is>
          <x:t xml:space="preserve">V07</x:t>
        </x:is>
      </x:c>
      <x:c r="B24" s="17" t="inlineStr">
        <x:is>
          <x:t xml:space="preserve">Business</x:t>
        </x:is>
      </x:c>
      <x:c r="C24" s="17" t="inlineStr">
        <x:is>
          <x:t xml:space="preserve">Semantic compression</x:t>
        </x:is>
      </x:c>
      <x:c r="D24" s="17" t="inlineStr">
        <x:is>
          <x:t xml:space="preserve">Not features.
Clear payoff.</x:t>
        </x:is>
      </x:c>
      <x:c r="E24" s="17" t="inlineStr">
        <x:is>
          <x:t xml:space="preserve"/>
        </x:is>
      </x:c>
      <x:c r="F24" s="17" t="inlineStr">
        <x:is>
          <x:t xml:space="preserve"/>
        </x:is>
      </x:c>
      <x:c r="G24" s="17" t="inlineStr">
        <x:is>
          <x:t xml:space="preserve"/>
        </x:is>
      </x:c>
      <x:c r="H24" s="17" t="inlineStr">
        <x:is>
          <x:t xml:space="preserve"/>
        </x:is>
      </x:c>
      <x:c r="I24" s="17" t="inlineStr">
        <x:is>
          <x:t xml:space="preserve"/>
        </x:is>
      </x:c>
      <x:c r="J24" s="17" t="inlineStr">
        <x:is>
          <x:t xml:space="preserve"/>
        </x:is>
      </x:c>
      <x:c r="K24" s="17" t="inlineStr">
        <x:is>
          <x:t xml:space="preserve"/>
        </x:is>
      </x:c>
      <x:c r="L24" s="17" t="inlineStr">
        <x:is>
          <x:t xml:space="preserve"/>
        </x:is>
      </x:c>
      <x:c r="M24" s="17" t="inlineStr">
        <x:is>
          <x:t xml:space="preserve"/>
        </x:is>
      </x:c>
      <x:c r="N24" s="17" t="inlineStr">
        <x:is>
          <x:t xml:space="preserve"/>
        </x:is>
      </x:c>
      <x:c r="O24" s="36">
        <x:f>IF(COUNTA(E24:N24)=0,"",IFERROR(SUMPRODUCT(E24:N24,$E$4:$N$4)/SUM($E$4:$N$4),""))</x:f>
      </x:c>
      <x:c r="P24" s="36">
        <x:f>IF(O24="","",IF(O24&gt;=4,"Publish/Test",IF(O24&gt;=3,"Revise","Reject")))</x:f>
      </x:c>
      <x:c r="Q24" s="17" t="n"/>
    </x:row>
    <x:row r="25" ht="80" customHeight="1">
      <x:c r="A25" s="16" t="inlineStr">
        <x:is>
          <x:t xml:space="preserve">V07</x:t>
        </x:is>
      </x:c>
      <x:c r="B25" s="16" t="inlineStr">
        <x:is>
          <x:t xml:space="preserve">Business</x:t>
        </x:is>
      </x:c>
      <x:c r="C25" s="16" t="inlineStr">
        <x:is>
          <x:t xml:space="preserve">BCC</x:t>
        </x:is>
      </x:c>
      <x:c r="D25" s="16" t="inlineStr">
        <x:is>
          <x:t xml:space="preserve">**Not** **feat**ures.
Clear **pay**off.</x:t>
        </x:is>
      </x:c>
      <x:c r="E25" s="16" t="inlineStr">
        <x:is>
          <x:t xml:space="preserve"/>
        </x:is>
      </x:c>
      <x:c r="F25" s="16" t="inlineStr">
        <x:is>
          <x:t xml:space="preserve"/>
        </x:is>
      </x:c>
      <x:c r="G25" s="16" t="inlineStr">
        <x:is>
          <x:t xml:space="preserve"/>
        </x:is>
      </x:c>
      <x:c r="H25" s="16" t="inlineStr">
        <x:is>
          <x:t xml:space="preserve"/>
        </x:is>
      </x:c>
      <x:c r="I25" s="16" t="inlineStr">
        <x:is>
          <x:t xml:space="preserve"/>
        </x:is>
      </x:c>
      <x:c r="J25" s="16" t="inlineStr">
        <x:is>
          <x:t xml:space="preserve"/>
        </x:is>
      </x:c>
      <x:c r="K25" s="16" t="inlineStr">
        <x:is>
          <x:t xml:space="preserve"/>
        </x:is>
      </x:c>
      <x:c r="L25" s="16" t="inlineStr">
        <x:is>
          <x:t xml:space="preserve"/>
        </x:is>
      </x:c>
      <x:c r="M25" s="16" t="inlineStr">
        <x:is>
          <x:t xml:space="preserve"/>
        </x:is>
      </x:c>
      <x:c r="N25" s="16" t="inlineStr">
        <x:is>
          <x:t xml:space="preserve"/>
        </x:is>
      </x:c>
      <x:c r="O25" s="37">
        <x:f>IF(COUNTA(E25:N25)=0,"",IFERROR(SUMPRODUCT(E25:N25,$E$4:$N$4)/SUM($E$4:$N$4),""))</x:f>
      </x:c>
      <x:c r="P25" s="37">
        <x:f>IF(O25="","",IF(O25&gt;=4,"Publish/Test",IF(O25&gt;=3,"Revise","Reject")))</x:f>
      </x:c>
      <x:c r="Q25" s="16" t="n"/>
    </x:row>
    <x:row r="26" ht="80" customHeight="1">
      <x:c r="A26" s="17" t="inlineStr">
        <x:is>
          <x:t xml:space="preserve">V07</x:t>
        </x:is>
      </x:c>
      <x:c r="B26" s="17" t="inlineStr">
        <x:is>
          <x:t xml:space="preserve">Business</x:t>
        </x:is>
      </x:c>
      <x:c r="C26" s="17" t="inlineStr">
        <x:is>
          <x:t xml:space="preserve">BCC+</x:t>
        </x:is>
      </x:c>
      <x:c r="D26" s="17" t="inlineStr">
        <x:is>
          <x:t xml:space="preserve">**Not** **feat**ures.
Clear **pay**off.
If whiteboard present, avoid covering drawn proof; place near margin.</x:t>
        </x:is>
      </x:c>
      <x:c r="E26" s="17" t="inlineStr">
        <x:is>
          <x:t xml:space="preserve"/>
        </x:is>
      </x:c>
      <x:c r="F26" s="17" t="inlineStr">
        <x:is>
          <x:t xml:space="preserve"/>
        </x:is>
      </x:c>
      <x:c r="G26" s="17" t="inlineStr">
        <x:is>
          <x:t xml:space="preserve"/>
        </x:is>
      </x:c>
      <x:c r="H26" s="17" t="inlineStr">
        <x:is>
          <x:t xml:space="preserve"/>
        </x:is>
      </x:c>
      <x:c r="I26" s="17" t="inlineStr">
        <x:is>
          <x:t xml:space="preserve"/>
        </x:is>
      </x:c>
      <x:c r="J26" s="17" t="inlineStr">
        <x:is>
          <x:t xml:space="preserve"/>
        </x:is>
      </x:c>
      <x:c r="K26" s="17" t="inlineStr">
        <x:is>
          <x:t xml:space="preserve"/>
        </x:is>
      </x:c>
      <x:c r="L26" s="17" t="inlineStr">
        <x:is>
          <x:t xml:space="preserve"/>
        </x:is>
      </x:c>
      <x:c r="M26" s="17" t="inlineStr">
        <x:is>
          <x:t xml:space="preserve"/>
        </x:is>
      </x:c>
      <x:c r="N26" s="17" t="inlineStr">
        <x:is>
          <x:t xml:space="preserve"/>
        </x:is>
      </x:c>
      <x:c r="O26" s="36">
        <x:f>IF(COUNTA(E26:N26)=0,"",IFERROR(SUMPRODUCT(E26:N26,$E$4:$N$4)/SUM($E$4:$N$4),""))</x:f>
      </x:c>
      <x:c r="P26" s="36">
        <x:f>IF(O26="","",IF(O26&gt;=4,"Publish/Test",IF(O26&gt;=3,"Revise","Reject")))</x:f>
      </x:c>
      <x:c r="Q26" s="17" t="n"/>
    </x:row>
    <x:row r="27" ht="80" customHeight="1">
      <x:c r="A27" s="16" t="inlineStr">
        <x:is>
          <x:t xml:space="preserve">V08</x:t>
        </x:is>
      </x:c>
      <x:c r="B27" s="16" t="inlineStr">
        <x:is>
          <x:t xml:space="preserve">Coding</x:t>
        </x:is>
      </x:c>
      <x:c r="C27" s="16" t="inlineStr">
        <x:is>
          <x:t xml:space="preserve">Semantic compression</x:t>
        </x:is>
      </x:c>
      <x:c r="D27" s="16" t="inlineStr">
        <x:is>
          <x:t xml:space="preserve">Not syntax.
Assumptions.
Test the belief.</x:t>
        </x:is>
      </x:c>
      <x:c r="E27" s="16" t="inlineStr">
        <x:is>
          <x:t xml:space="preserve"/>
        </x:is>
      </x:c>
      <x:c r="F27" s="16" t="inlineStr">
        <x:is>
          <x:t xml:space="preserve"/>
        </x:is>
      </x:c>
      <x:c r="G27" s="16" t="inlineStr">
        <x:is>
          <x:t xml:space="preserve"/>
        </x:is>
      </x:c>
      <x:c r="H27" s="16" t="inlineStr">
        <x:is>
          <x:t xml:space="preserve"/>
        </x:is>
      </x:c>
      <x:c r="I27" s="16" t="inlineStr">
        <x:is>
          <x:t xml:space="preserve"/>
        </x:is>
      </x:c>
      <x:c r="J27" s="16" t="inlineStr">
        <x:is>
          <x:t xml:space="preserve"/>
        </x:is>
      </x:c>
      <x:c r="K27" s="16" t="inlineStr">
        <x:is>
          <x:t xml:space="preserve"/>
        </x:is>
      </x:c>
      <x:c r="L27" s="16" t="inlineStr">
        <x:is>
          <x:t xml:space="preserve"/>
        </x:is>
      </x:c>
      <x:c r="M27" s="16" t="inlineStr">
        <x:is>
          <x:t xml:space="preserve"/>
        </x:is>
      </x:c>
      <x:c r="N27" s="16" t="inlineStr">
        <x:is>
          <x:t xml:space="preserve"/>
        </x:is>
      </x:c>
      <x:c r="O27" s="37">
        <x:f>IF(COUNTA(E27:N27)=0,"",IFERROR(SUMPRODUCT(E27:N27,$E$4:$N$4)/SUM($E$4:$N$4),""))</x:f>
      </x:c>
      <x:c r="P27" s="37">
        <x:f>IF(O27="","",IF(O27&gt;=4,"Publish/Test",IF(O27&gt;=3,"Revise","Reject")))</x:f>
      </x:c>
      <x:c r="Q27" s="16" t="n"/>
    </x:row>
    <x:row r="28" ht="80" customHeight="1">
      <x:c r="A28" s="17" t="inlineStr">
        <x:is>
          <x:t xml:space="preserve">V08</x:t>
        </x:is>
      </x:c>
      <x:c r="B28" s="17" t="inlineStr">
        <x:is>
          <x:t xml:space="preserve">Coding</x:t>
        </x:is>
      </x:c>
      <x:c r="C28" s="17" t="inlineStr">
        <x:is>
          <x:t xml:space="preserve">BCC</x:t>
        </x:is>
      </x:c>
      <x:c r="D28" s="17" t="inlineStr">
        <x:is>
          <x:t xml:space="preserve">**Not** **syn**tax.
Assump**tions**.
Test the **belief**.</x:t>
        </x:is>
      </x:c>
      <x:c r="E28" s="17" t="inlineStr">
        <x:is>
          <x:t xml:space="preserve"/>
        </x:is>
      </x:c>
      <x:c r="F28" s="17" t="inlineStr">
        <x:is>
          <x:t xml:space="preserve"/>
        </x:is>
      </x:c>
      <x:c r="G28" s="17" t="inlineStr">
        <x:is>
          <x:t xml:space="preserve"/>
        </x:is>
      </x:c>
      <x:c r="H28" s="17" t="inlineStr">
        <x:is>
          <x:t xml:space="preserve"/>
        </x:is>
      </x:c>
      <x:c r="I28" s="17" t="inlineStr">
        <x:is>
          <x:t xml:space="preserve"/>
        </x:is>
      </x:c>
      <x:c r="J28" s="17" t="inlineStr">
        <x:is>
          <x:t xml:space="preserve"/>
        </x:is>
      </x:c>
      <x:c r="K28" s="17" t="inlineStr">
        <x:is>
          <x:t xml:space="preserve"/>
        </x:is>
      </x:c>
      <x:c r="L28" s="17" t="inlineStr">
        <x:is>
          <x:t xml:space="preserve"/>
        </x:is>
      </x:c>
      <x:c r="M28" s="17" t="inlineStr">
        <x:is>
          <x:t xml:space="preserve"/>
        </x:is>
      </x:c>
      <x:c r="N28" s="17" t="inlineStr">
        <x:is>
          <x:t xml:space="preserve"/>
        </x:is>
      </x:c>
      <x:c r="O28" s="36">
        <x:f>IF(COUNTA(E28:N28)=0,"",IFERROR(SUMPRODUCT(E28:N28,$E$4:$N$4)/SUM($E$4:$N$4),""))</x:f>
      </x:c>
      <x:c r="P28" s="36">
        <x:f>IF(O28="","",IF(O28&gt;=4,"Publish/Test",IF(O28&gt;=3,"Revise","Reject")))</x:f>
      </x:c>
      <x:c r="Q28" s="17" t="n"/>
    </x:row>
    <x:row r="29" ht="80" customHeight="1">
      <x:c r="A29" s="16" t="inlineStr">
        <x:is>
          <x:t xml:space="preserve">V08</x:t>
        </x:is>
      </x:c>
      <x:c r="B29" s="16" t="inlineStr">
        <x:is>
          <x:t xml:space="preserve">Coding</x:t>
        </x:is>
      </x:c>
      <x:c r="C29" s="16" t="inlineStr">
        <x:is>
          <x:t xml:space="preserve">BCC+</x:t>
        </x:is>
      </x:c>
      <x:c r="D29" s="16" t="inlineStr">
        <x:is>
          <x:t xml:space="preserve">**Not** **syn**tax.
Assump**tions**.
Test the **belief**.
Screen recording; avoid cursor/line being edited; right-side annotation.</x:t>
        </x:is>
      </x:c>
      <x:c r="E29" s="16" t="inlineStr">
        <x:is>
          <x:t xml:space="preserve"/>
        </x:is>
      </x:c>
      <x:c r="F29" s="16" t="inlineStr">
        <x:is>
          <x:t xml:space="preserve"/>
        </x:is>
      </x:c>
      <x:c r="G29" s="16" t="inlineStr">
        <x:is>
          <x:t xml:space="preserve"/>
        </x:is>
      </x:c>
      <x:c r="H29" s="16" t="inlineStr">
        <x:is>
          <x:t xml:space="preserve"/>
        </x:is>
      </x:c>
      <x:c r="I29" s="16" t="inlineStr">
        <x:is>
          <x:t xml:space="preserve"/>
        </x:is>
      </x:c>
      <x:c r="J29" s="16" t="inlineStr">
        <x:is>
          <x:t xml:space="preserve"/>
        </x:is>
      </x:c>
      <x:c r="K29" s="16" t="inlineStr">
        <x:is>
          <x:t xml:space="preserve"/>
        </x:is>
      </x:c>
      <x:c r="L29" s="16" t="inlineStr">
        <x:is>
          <x:t xml:space="preserve"/>
        </x:is>
      </x:c>
      <x:c r="M29" s="16" t="inlineStr">
        <x:is>
          <x:t xml:space="preserve"/>
        </x:is>
      </x:c>
      <x:c r="N29" s="16" t="inlineStr">
        <x:is>
          <x:t xml:space="preserve"/>
        </x:is>
      </x:c>
      <x:c r="O29" s="37">
        <x:f>IF(COUNTA(E29:N29)=0,"",IFERROR(SUMPRODUCT(E29:N29,$E$4:$N$4)/SUM($E$4:$N$4),""))</x:f>
      </x:c>
      <x:c r="P29" s="37">
        <x:f>IF(O29="","",IF(O29&gt;=4,"Publish/Test",IF(O29&gt;=3,"Revise","Reject")))</x:f>
      </x:c>
      <x:c r="Q29" s="16" t="n"/>
    </x:row>
    <x:row r="30" ht="80" customHeight="1">
      <x:c r="A30" s="17" t="inlineStr">
        <x:is>
          <x:t xml:space="preserve">V09</x:t>
        </x:is>
      </x:c>
      <x:c r="B30" s="17" t="inlineStr">
        <x:is>
          <x:t xml:space="preserve">Sleep habit</x:t>
        </x:is>
      </x:c>
      <x:c r="C30" s="17" t="inlineStr">
        <x:is>
          <x:t xml:space="preserve">Semantic compression</x:t>
        </x:is>
      </x:c>
      <x:c r="D30" s="17" t="inlineStr">
        <x:is>
          <x:t xml:space="preserve">Not perfect routine.
Fixed wake time.</x:t>
        </x:is>
      </x:c>
      <x:c r="E30" s="17" t="inlineStr">
        <x:is>
          <x:t xml:space="preserve"/>
        </x:is>
      </x:c>
      <x:c r="F30" s="17" t="inlineStr">
        <x:is>
          <x:t xml:space="preserve"/>
        </x:is>
      </x:c>
      <x:c r="G30" s="17" t="inlineStr">
        <x:is>
          <x:t xml:space="preserve"/>
        </x:is>
      </x:c>
      <x:c r="H30" s="17" t="inlineStr">
        <x:is>
          <x:t xml:space="preserve"/>
        </x:is>
      </x:c>
      <x:c r="I30" s="17" t="inlineStr">
        <x:is>
          <x:t xml:space="preserve"/>
        </x:is>
      </x:c>
      <x:c r="J30" s="17" t="inlineStr">
        <x:is>
          <x:t xml:space="preserve"/>
        </x:is>
      </x:c>
      <x:c r="K30" s="17" t="inlineStr">
        <x:is>
          <x:t xml:space="preserve"/>
        </x:is>
      </x:c>
      <x:c r="L30" s="17" t="inlineStr">
        <x:is>
          <x:t xml:space="preserve"/>
        </x:is>
      </x:c>
      <x:c r="M30" s="17" t="inlineStr">
        <x:is>
          <x:t xml:space="preserve"/>
        </x:is>
      </x:c>
      <x:c r="N30" s="17" t="inlineStr">
        <x:is>
          <x:t xml:space="preserve"/>
        </x:is>
      </x:c>
      <x:c r="O30" s="36">
        <x:f>IF(COUNTA(E30:N30)=0,"",IFERROR(SUMPRODUCT(E30:N30,$E$4:$N$4)/SUM($E$4:$N$4),""))</x:f>
      </x:c>
      <x:c r="P30" s="36">
        <x:f>IF(O30="","",IF(O30&gt;=4,"Publish/Test",IF(O30&gt;=3,"Revise","Reject")))</x:f>
      </x:c>
      <x:c r="Q30" s="17" t="n"/>
    </x:row>
    <x:row r="31" ht="80" customHeight="1">
      <x:c r="A31" s="16" t="inlineStr">
        <x:is>
          <x:t xml:space="preserve">V09</x:t>
        </x:is>
      </x:c>
      <x:c r="B31" s="16" t="inlineStr">
        <x:is>
          <x:t xml:space="preserve">Sleep habit</x:t>
        </x:is>
      </x:c>
      <x:c r="C31" s="16" t="inlineStr">
        <x:is>
          <x:t xml:space="preserve">BCC</x:t>
        </x:is>
      </x:c>
      <x:c r="D31" s="16" t="inlineStr">
        <x:is>
          <x:t xml:space="preserve">**Not** perfect **rou**tine.
Fixed **wake** time.</x:t>
        </x:is>
      </x:c>
      <x:c r="E31" s="16" t="inlineStr">
        <x:is>
          <x:t xml:space="preserve"/>
        </x:is>
      </x:c>
      <x:c r="F31" s="16" t="inlineStr">
        <x:is>
          <x:t xml:space="preserve"/>
        </x:is>
      </x:c>
      <x:c r="G31" s="16" t="inlineStr">
        <x:is>
          <x:t xml:space="preserve"/>
        </x:is>
      </x:c>
      <x:c r="H31" s="16" t="inlineStr">
        <x:is>
          <x:t xml:space="preserve"/>
        </x:is>
      </x:c>
      <x:c r="I31" s="16" t="inlineStr">
        <x:is>
          <x:t xml:space="preserve"/>
        </x:is>
      </x:c>
      <x:c r="J31" s="16" t="inlineStr">
        <x:is>
          <x:t xml:space="preserve"/>
        </x:is>
      </x:c>
      <x:c r="K31" s="16" t="inlineStr">
        <x:is>
          <x:t xml:space="preserve"/>
        </x:is>
      </x:c>
      <x:c r="L31" s="16" t="inlineStr">
        <x:is>
          <x:t xml:space="preserve"/>
        </x:is>
      </x:c>
      <x:c r="M31" s="16" t="inlineStr">
        <x:is>
          <x:t xml:space="preserve"/>
        </x:is>
      </x:c>
      <x:c r="N31" s="16" t="inlineStr">
        <x:is>
          <x:t xml:space="preserve"/>
        </x:is>
      </x:c>
      <x:c r="O31" s="37">
        <x:f>IF(COUNTA(E31:N31)=0,"",IFERROR(SUMPRODUCT(E31:N31,$E$4:$N$4)/SUM($E$4:$N$4),""))</x:f>
      </x:c>
      <x:c r="P31" s="37">
        <x:f>IF(O31="","",IF(O31&gt;=4,"Publish/Test",IF(O31&gt;=3,"Revise","Reject")))</x:f>
      </x:c>
      <x:c r="Q31" s="16" t="n"/>
    </x:row>
    <x:row r="32" ht="80" customHeight="1">
      <x:c r="A32" s="17" t="inlineStr">
        <x:is>
          <x:t xml:space="preserve">V09</x:t>
        </x:is>
      </x:c>
      <x:c r="B32" s="17" t="inlineStr">
        <x:is>
          <x:t xml:space="preserve">Sleep habit</x:t>
        </x:is>
      </x:c>
      <x:c r="C32" s="17" t="inlineStr">
        <x:is>
          <x:t xml:space="preserve">BCC+</x:t>
        </x:is>
      </x:c>
      <x:c r="D32" s="17" t="inlineStr">
        <x:is>
          <x:t xml:space="preserve">**Not** perfect **rou**tine.
Fixed **wake** time.
General behavior content; avoid medical promises; low-motion text.</x:t>
        </x:is>
      </x:c>
      <x:c r="E32" s="17" t="inlineStr">
        <x:is>
          <x:t xml:space="preserve"/>
        </x:is>
      </x:c>
      <x:c r="F32" s="17" t="inlineStr">
        <x:is>
          <x:t xml:space="preserve"/>
        </x:is>
      </x:c>
      <x:c r="G32" s="17" t="inlineStr">
        <x:is>
          <x:t xml:space="preserve"/>
        </x:is>
      </x:c>
      <x:c r="H32" s="17" t="inlineStr">
        <x:is>
          <x:t xml:space="preserve"/>
        </x:is>
      </x:c>
      <x:c r="I32" s="17" t="inlineStr">
        <x:is>
          <x:t xml:space="preserve"/>
        </x:is>
      </x:c>
      <x:c r="J32" s="17" t="inlineStr">
        <x:is>
          <x:t xml:space="preserve"/>
        </x:is>
      </x:c>
      <x:c r="K32" s="17" t="inlineStr">
        <x:is>
          <x:t xml:space="preserve"/>
        </x:is>
      </x:c>
      <x:c r="L32" s="17" t="inlineStr">
        <x:is>
          <x:t xml:space="preserve"/>
        </x:is>
      </x:c>
      <x:c r="M32" s="17" t="inlineStr">
        <x:is>
          <x:t xml:space="preserve"/>
        </x:is>
      </x:c>
      <x:c r="N32" s="17" t="inlineStr">
        <x:is>
          <x:t xml:space="preserve"/>
        </x:is>
      </x:c>
      <x:c r="O32" s="36">
        <x:f>IF(COUNTA(E32:N32)=0,"",IFERROR(SUMPRODUCT(E32:N32,$E$4:$N$4)/SUM($E$4:$N$4),""))</x:f>
      </x:c>
      <x:c r="P32" s="36">
        <x:f>IF(O32="","",IF(O32&gt;=4,"Publish/Test",IF(O32&gt;=3,"Revise","Reject")))</x:f>
      </x:c>
      <x:c r="Q32" s="17" t="n"/>
    </x:row>
    <x:row r="33" ht="80" customHeight="1">
      <x:c r="A33" s="16" t="inlineStr">
        <x:is>
          <x:t xml:space="preserve">V10</x:t>
        </x:is>
      </x:c>
      <x:c r="B33" s="16" t="inlineStr">
        <x:is>
          <x:t xml:space="preserve">Product demo</x:t>
        </x:is>
      </x:c>
      <x:c r="C33" s="16" t="inlineStr">
        <x:is>
          <x:t xml:space="preserve">Semantic compression</x:t>
        </x:is>
      </x:c>
      <x:c r="D33" s="16" t="inlineStr">
        <x:is>
          <x:t xml:space="preserve">Turn until click.
Then pull.</x:t>
        </x:is>
      </x:c>
      <x:c r="E33" s="16" t="inlineStr">
        <x:is>
          <x:t xml:space="preserve"/>
        </x:is>
      </x:c>
      <x:c r="F33" s="16" t="inlineStr">
        <x:is>
          <x:t xml:space="preserve"/>
        </x:is>
      </x:c>
      <x:c r="G33" s="16" t="inlineStr">
        <x:is>
          <x:t xml:space="preserve"/>
        </x:is>
      </x:c>
      <x:c r="H33" s="16" t="inlineStr">
        <x:is>
          <x:t xml:space="preserve"/>
        </x:is>
      </x:c>
      <x:c r="I33" s="16" t="inlineStr">
        <x:is>
          <x:t xml:space="preserve"/>
        </x:is>
      </x:c>
      <x:c r="J33" s="16" t="inlineStr">
        <x:is>
          <x:t xml:space="preserve"/>
        </x:is>
      </x:c>
      <x:c r="K33" s="16" t="inlineStr">
        <x:is>
          <x:t xml:space="preserve"/>
        </x:is>
      </x:c>
      <x:c r="L33" s="16" t="inlineStr">
        <x:is>
          <x:t xml:space="preserve"/>
        </x:is>
      </x:c>
      <x:c r="M33" s="16" t="inlineStr">
        <x:is>
          <x:t xml:space="preserve"/>
        </x:is>
      </x:c>
      <x:c r="N33" s="16" t="inlineStr">
        <x:is>
          <x:t xml:space="preserve"/>
        </x:is>
      </x:c>
      <x:c r="O33" s="37">
        <x:f>IF(COUNTA(E33:N33)=0,"",IFERROR(SUMPRODUCT(E33:N33,$E$4:$N$4)/SUM($E$4:$N$4),""))</x:f>
      </x:c>
      <x:c r="P33" s="37">
        <x:f>IF(O33="","",IF(O33&gt;=4,"Publish/Test",IF(O33&gt;=3,"Revise","Reject")))</x:f>
      </x:c>
      <x:c r="Q33" s="16" t="n"/>
    </x:row>
    <x:row r="34" ht="80" customHeight="1">
      <x:c r="A34" s="17" t="inlineStr">
        <x:is>
          <x:t xml:space="preserve">V10</x:t>
        </x:is>
      </x:c>
      <x:c r="B34" s="17" t="inlineStr">
        <x:is>
          <x:t xml:space="preserve">Product demo</x:t>
        </x:is>
      </x:c>
      <x:c r="C34" s="17" t="inlineStr">
        <x:is>
          <x:t xml:space="preserve">BCC</x:t>
        </x:is>
      </x:c>
      <x:c r="D34" s="17" t="inlineStr">
        <x:is>
          <x:t xml:space="preserve">**Turn** until **click**.
**Then** pull.</x:t>
        </x:is>
      </x:c>
      <x:c r="E34" s="17" t="inlineStr">
        <x:is>
          <x:t xml:space="preserve"/>
        </x:is>
      </x:c>
      <x:c r="F34" s="17" t="inlineStr">
        <x:is>
          <x:t xml:space="preserve"/>
        </x:is>
      </x:c>
      <x:c r="G34" s="17" t="inlineStr">
        <x:is>
          <x:t xml:space="preserve"/>
        </x:is>
      </x:c>
      <x:c r="H34" s="17" t="inlineStr">
        <x:is>
          <x:t xml:space="preserve"/>
        </x:is>
      </x:c>
      <x:c r="I34" s="17" t="inlineStr">
        <x:is>
          <x:t xml:space="preserve"/>
        </x:is>
      </x:c>
      <x:c r="J34" s="17" t="inlineStr">
        <x:is>
          <x:t xml:space="preserve"/>
        </x:is>
      </x:c>
      <x:c r="K34" s="17" t="inlineStr">
        <x:is>
          <x:t xml:space="preserve"/>
        </x:is>
      </x:c>
      <x:c r="L34" s="17" t="inlineStr">
        <x:is>
          <x:t xml:space="preserve"/>
        </x:is>
      </x:c>
      <x:c r="M34" s="17" t="inlineStr">
        <x:is>
          <x:t xml:space="preserve"/>
        </x:is>
      </x:c>
      <x:c r="N34" s="17" t="inlineStr">
        <x:is>
          <x:t xml:space="preserve"/>
        </x:is>
      </x:c>
      <x:c r="O34" s="36">
        <x:f>IF(COUNTA(E34:N34)=0,"",IFERROR(SUMPRODUCT(E34:N34,$E$4:$N$4)/SUM($E$4:$N$4),""))</x:f>
      </x:c>
      <x:c r="P34" s="36">
        <x:f>IF(O34="","",IF(O34&gt;=4,"Publish/Test",IF(O34&gt;=3,"Revise","Reject")))</x:f>
      </x:c>
      <x:c r="Q34" s="17" t="n"/>
    </x:row>
    <x:row r="35" ht="80" customHeight="1">
      <x:c r="A35" s="16" t="inlineStr">
        <x:is>
          <x:t xml:space="preserve">V10</x:t>
        </x:is>
      </x:c>
      <x:c r="B35" s="16" t="inlineStr">
        <x:is>
          <x:t xml:space="preserve">Product demo</x:t>
        </x:is>
      </x:c>
      <x:c r="C35" s="16" t="inlineStr">
        <x:is>
          <x:t xml:space="preserve">BCC+</x:t>
        </x:is>
      </x:c>
      <x:c r="D35" s="16" t="inlineStr">
        <x:is>
          <x:t xml:space="preserve">**Turn** until **click**.
**Then** pull.
Object/hands primary; labels only; no mouth issue if voiceover.</x:t>
        </x:is>
      </x:c>
      <x:c r="E35" s="16" t="inlineStr">
        <x:is>
          <x:t xml:space="preserve"/>
        </x:is>
      </x:c>
      <x:c r="F35" s="16" t="inlineStr">
        <x:is>
          <x:t xml:space="preserve"/>
        </x:is>
      </x:c>
      <x:c r="G35" s="16" t="inlineStr">
        <x:is>
          <x:t xml:space="preserve"/>
        </x:is>
      </x:c>
      <x:c r="H35" s="16" t="inlineStr">
        <x:is>
          <x:t xml:space="preserve"/>
        </x:is>
      </x:c>
      <x:c r="I35" s="16" t="inlineStr">
        <x:is>
          <x:t xml:space="preserve"/>
        </x:is>
      </x:c>
      <x:c r="J35" s="16" t="inlineStr">
        <x:is>
          <x:t xml:space="preserve"/>
        </x:is>
      </x:c>
      <x:c r="K35" s="16" t="inlineStr">
        <x:is>
          <x:t xml:space="preserve"/>
        </x:is>
      </x:c>
      <x:c r="L35" s="16" t="inlineStr">
        <x:is>
          <x:t xml:space="preserve"/>
        </x:is>
      </x:c>
      <x:c r="M35" s="16" t="inlineStr">
        <x:is>
          <x:t xml:space="preserve"/>
        </x:is>
      </x:c>
      <x:c r="N35" s="16" t="inlineStr">
        <x:is>
          <x:t xml:space="preserve"/>
        </x:is>
      </x:c>
      <x:c r="O35" s="37">
        <x:f>IF(COUNTA(E35:N35)=0,"",IFERROR(SUMPRODUCT(E35:N35,$E$4:$N$4)/SUM($E$4:$N$4),""))</x:f>
      </x:c>
      <x:c r="P35" s="37">
        <x:f>IF(O35="","",IF(O35&gt;=4,"Publish/Test",IF(O35&gt;=3,"Revise","Reject")))</x:f>
      </x:c>
      <x:c r="Q35" s="16" t="n"/>
    </x:row>
    <x:row r="36" ht="80" customHeight="1">
      <x:c r="A36" s="17" t="inlineStr">
        <x:is>
          <x:t xml:space="preserve">V11</x:t>
        </x:is>
      </x:c>
      <x:c r="B36" s="17" t="inlineStr">
        <x:is>
          <x:t xml:space="preserve">Creator strategy</x:t>
        </x:is>
      </x:c>
      <x:c r="C36" s="17" t="inlineStr">
        <x:is>
          <x:t xml:space="preserve">Semantic compression</x:t>
        </x:is>
      </x:c>
      <x:c r="D36" s="17" t="inlineStr">
        <x:is>
          <x:t xml:space="preserve">Not louder hook.
Faster payoff.</x:t>
        </x:is>
      </x:c>
      <x:c r="E36" s="17" t="inlineStr">
        <x:is>
          <x:t xml:space="preserve"/>
        </x:is>
      </x:c>
      <x:c r="F36" s="17" t="inlineStr">
        <x:is>
          <x:t xml:space="preserve"/>
        </x:is>
      </x:c>
      <x:c r="G36" s="17" t="inlineStr">
        <x:is>
          <x:t xml:space="preserve"/>
        </x:is>
      </x:c>
      <x:c r="H36" s="17" t="inlineStr">
        <x:is>
          <x:t xml:space="preserve"/>
        </x:is>
      </x:c>
      <x:c r="I36" s="17" t="inlineStr">
        <x:is>
          <x:t xml:space="preserve"/>
        </x:is>
      </x:c>
      <x:c r="J36" s="17" t="inlineStr">
        <x:is>
          <x:t xml:space="preserve"/>
        </x:is>
      </x:c>
      <x:c r="K36" s="17" t="inlineStr">
        <x:is>
          <x:t xml:space="preserve"/>
        </x:is>
      </x:c>
      <x:c r="L36" s="17" t="inlineStr">
        <x:is>
          <x:t xml:space="preserve"/>
        </x:is>
      </x:c>
      <x:c r="M36" s="17" t="inlineStr">
        <x:is>
          <x:t xml:space="preserve"/>
        </x:is>
      </x:c>
      <x:c r="N36" s="17" t="inlineStr">
        <x:is>
          <x:t xml:space="preserve"/>
        </x:is>
      </x:c>
      <x:c r="O36" s="36">
        <x:f>IF(COUNTA(E36:N36)=0,"",IFERROR(SUMPRODUCT(E36:N36,$E$4:$N$4)/SUM($E$4:$N$4),""))</x:f>
      </x:c>
      <x:c r="P36" s="36">
        <x:f>IF(O36="","",IF(O36&gt;=4,"Publish/Test",IF(O36&gt;=3,"Revise","Reject")))</x:f>
      </x:c>
      <x:c r="Q36" s="17" t="n"/>
    </x:row>
    <x:row r="37" ht="80" customHeight="1">
      <x:c r="A37" s="16" t="inlineStr">
        <x:is>
          <x:t xml:space="preserve">V11</x:t>
        </x:is>
      </x:c>
      <x:c r="B37" s="16" t="inlineStr">
        <x:is>
          <x:t xml:space="preserve">Creator strategy</x:t>
        </x:is>
      </x:c>
      <x:c r="C37" s="16" t="inlineStr">
        <x:is>
          <x:t xml:space="preserve">BCC</x:t>
        </x:is>
      </x:c>
      <x:c r="D37" s="16" t="inlineStr">
        <x:is>
          <x:t xml:space="preserve">**Not** louder **hook**.
Faster **pay**off.</x:t>
        </x:is>
      </x:c>
      <x:c r="E37" s="16" t="inlineStr">
        <x:is>
          <x:t xml:space="preserve"/>
        </x:is>
      </x:c>
      <x:c r="F37" s="16" t="inlineStr">
        <x:is>
          <x:t xml:space="preserve"/>
        </x:is>
      </x:c>
      <x:c r="G37" s="16" t="inlineStr">
        <x:is>
          <x:t xml:space="preserve"/>
        </x:is>
      </x:c>
      <x:c r="H37" s="16" t="inlineStr">
        <x:is>
          <x:t xml:space="preserve"/>
        </x:is>
      </x:c>
      <x:c r="I37" s="16" t="inlineStr">
        <x:is>
          <x:t xml:space="preserve"/>
        </x:is>
      </x:c>
      <x:c r="J37" s="16" t="inlineStr">
        <x:is>
          <x:t xml:space="preserve"/>
        </x:is>
      </x:c>
      <x:c r="K37" s="16" t="inlineStr">
        <x:is>
          <x:t xml:space="preserve"/>
        </x:is>
      </x:c>
      <x:c r="L37" s="16" t="inlineStr">
        <x:is>
          <x:t xml:space="preserve"/>
        </x:is>
      </x:c>
      <x:c r="M37" s="16" t="inlineStr">
        <x:is>
          <x:t xml:space="preserve"/>
        </x:is>
      </x:c>
      <x:c r="N37" s="16" t="inlineStr">
        <x:is>
          <x:t xml:space="preserve"/>
        </x:is>
      </x:c>
      <x:c r="O37" s="37">
        <x:f>IF(COUNTA(E37:N37)=0,"",IFERROR(SUMPRODUCT(E37:N37,$E$4:$N$4)/SUM($E$4:$N$4),""))</x:f>
      </x:c>
      <x:c r="P37" s="37">
        <x:f>IF(O37="","",IF(O37&gt;=4,"Publish/Test",IF(O37&gt;=3,"Revise","Reject")))</x:f>
      </x:c>
      <x:c r="Q37" s="16" t="n"/>
    </x:row>
    <x:row r="38" ht="80" customHeight="1">
      <x:c r="A38" s="17" t="inlineStr">
        <x:is>
          <x:t xml:space="preserve">V11</x:t>
        </x:is>
      </x:c>
      <x:c r="B38" s="17" t="inlineStr">
        <x:is>
          <x:t xml:space="preserve">Creator strategy</x:t>
        </x:is>
      </x:c>
      <x:c r="C38" s="17" t="inlineStr">
        <x:is>
          <x:t xml:space="preserve">BCC+</x:t>
        </x:is>
      </x:c>
      <x:c r="D38" s="17" t="inlineStr">
        <x:is>
          <x:t xml:space="preserve">**Not** louder **hook**.
Faster **pay**off.
Text itself is content; place as hook card then payoff card.</x:t>
        </x:is>
      </x:c>
      <x:c r="E38" s="17" t="inlineStr">
        <x:is>
          <x:t xml:space="preserve"/>
        </x:is>
      </x:c>
      <x:c r="F38" s="17" t="inlineStr">
        <x:is>
          <x:t xml:space="preserve"/>
        </x:is>
      </x:c>
      <x:c r="G38" s="17" t="inlineStr">
        <x:is>
          <x:t xml:space="preserve"/>
        </x:is>
      </x:c>
      <x:c r="H38" s="17" t="inlineStr">
        <x:is>
          <x:t xml:space="preserve"/>
        </x:is>
      </x:c>
      <x:c r="I38" s="17" t="inlineStr">
        <x:is>
          <x:t xml:space="preserve"/>
        </x:is>
      </x:c>
      <x:c r="J38" s="17" t="inlineStr">
        <x:is>
          <x:t xml:space="preserve"/>
        </x:is>
      </x:c>
      <x:c r="K38" s="17" t="inlineStr">
        <x:is>
          <x:t xml:space="preserve"/>
        </x:is>
      </x:c>
      <x:c r="L38" s="17" t="inlineStr">
        <x:is>
          <x:t xml:space="preserve"/>
        </x:is>
      </x:c>
      <x:c r="M38" s="17" t="inlineStr">
        <x:is>
          <x:t xml:space="preserve"/>
        </x:is>
      </x:c>
      <x:c r="N38" s="17" t="inlineStr">
        <x:is>
          <x:t xml:space="preserve"/>
        </x:is>
      </x:c>
      <x:c r="O38" s="36">
        <x:f>IF(COUNTA(E38:N38)=0,"",IFERROR(SUMPRODUCT(E38:N38,$E$4:$N$4)/SUM($E$4:$N$4),""))</x:f>
      </x:c>
      <x:c r="P38" s="36">
        <x:f>IF(O38="","",IF(O38&gt;=4,"Publish/Test",IF(O38&gt;=3,"Revise","Reject")))</x:f>
      </x:c>
      <x:c r="Q38" s="17" t="n"/>
    </x:row>
    <x:row r="39" ht="80" customHeight="1">
      <x:c r="A39" s="16" t="inlineStr">
        <x:is>
          <x:t xml:space="preserve">V12</x:t>
        </x:is>
      </x:c>
      <x:c r="B39" s="16" t="inlineStr">
        <x:is>
          <x:t xml:space="preserve">Time management</x:t>
        </x:is>
      </x:c>
      <x:c r="C39" s="16" t="inlineStr">
        <x:is>
          <x:t xml:space="preserve">Semantic compression</x:t>
        </x:is>
      </x:c>
      <x:c r="D39" s="16" t="inlineStr">
        <x:is>
          <x:t xml:space="preserve">Too many priorities.
Pick one constraint.
Sequence around it.</x:t>
        </x:is>
      </x:c>
      <x:c r="E39" s="16" t="inlineStr">
        <x:is>
          <x:t xml:space="preserve"/>
        </x:is>
      </x:c>
      <x:c r="F39" s="16" t="inlineStr">
        <x:is>
          <x:t xml:space="preserve"/>
        </x:is>
      </x:c>
      <x:c r="G39" s="16" t="inlineStr">
        <x:is>
          <x:t xml:space="preserve"/>
        </x:is>
      </x:c>
      <x:c r="H39" s="16" t="inlineStr">
        <x:is>
          <x:t xml:space="preserve"/>
        </x:is>
      </x:c>
      <x:c r="I39" s="16" t="inlineStr">
        <x:is>
          <x:t xml:space="preserve"/>
        </x:is>
      </x:c>
      <x:c r="J39" s="16" t="inlineStr">
        <x:is>
          <x:t xml:space="preserve"/>
        </x:is>
      </x:c>
      <x:c r="K39" s="16" t="inlineStr">
        <x:is>
          <x:t xml:space="preserve"/>
        </x:is>
      </x:c>
      <x:c r="L39" s="16" t="inlineStr">
        <x:is>
          <x:t xml:space="preserve"/>
        </x:is>
      </x:c>
      <x:c r="M39" s="16" t="inlineStr">
        <x:is>
          <x:t xml:space="preserve"/>
        </x:is>
      </x:c>
      <x:c r="N39" s="16" t="inlineStr">
        <x:is>
          <x:t xml:space="preserve"/>
        </x:is>
      </x:c>
      <x:c r="O39" s="37">
        <x:f>IF(COUNTA(E39:N39)=0,"",IFERROR(SUMPRODUCT(E39:N39,$E$4:$N$4)/SUM($E$4:$N$4),""))</x:f>
      </x:c>
      <x:c r="P39" s="37">
        <x:f>IF(O39="","",IF(O39&gt;=4,"Publish/Test",IF(O39&gt;=3,"Revise","Reject")))</x:f>
      </x:c>
      <x:c r="Q39" s="16" t="n"/>
    </x:row>
    <x:row r="40" ht="80" customHeight="1">
      <x:c r="A40" s="17" t="inlineStr">
        <x:is>
          <x:t xml:space="preserve">V12</x:t>
        </x:is>
      </x:c>
      <x:c r="B40" s="17" t="inlineStr">
        <x:is>
          <x:t xml:space="preserve">Time management</x:t>
        </x:is>
      </x:c>
      <x:c r="C40" s="17" t="inlineStr">
        <x:is>
          <x:t xml:space="preserve">BCC</x:t>
        </x:is>
      </x:c>
      <x:c r="D40" s="17" t="inlineStr">
        <x:is>
          <x:t xml:space="preserve">Too many **prior**ities.
Pick one **constraint**.
**Seq**uence around it.</x:t>
        </x:is>
      </x:c>
      <x:c r="E40" s="17" t="inlineStr">
        <x:is>
          <x:t xml:space="preserve"/>
        </x:is>
      </x:c>
      <x:c r="F40" s="17" t="inlineStr">
        <x:is>
          <x:t xml:space="preserve"/>
        </x:is>
      </x:c>
      <x:c r="G40" s="17" t="inlineStr">
        <x:is>
          <x:t xml:space="preserve"/>
        </x:is>
      </x:c>
      <x:c r="H40" s="17" t="inlineStr">
        <x:is>
          <x:t xml:space="preserve"/>
        </x:is>
      </x:c>
      <x:c r="I40" s="17" t="inlineStr">
        <x:is>
          <x:t xml:space="preserve"/>
        </x:is>
      </x:c>
      <x:c r="J40" s="17" t="inlineStr">
        <x:is>
          <x:t xml:space="preserve"/>
        </x:is>
      </x:c>
      <x:c r="K40" s="17" t="inlineStr">
        <x:is>
          <x:t xml:space="preserve"/>
        </x:is>
      </x:c>
      <x:c r="L40" s="17" t="inlineStr">
        <x:is>
          <x:t xml:space="preserve"/>
        </x:is>
      </x:c>
      <x:c r="M40" s="17" t="inlineStr">
        <x:is>
          <x:t xml:space="preserve"/>
        </x:is>
      </x:c>
      <x:c r="N40" s="17" t="inlineStr">
        <x:is>
          <x:t xml:space="preserve"/>
        </x:is>
      </x:c>
      <x:c r="O40" s="36">
        <x:f>IF(COUNTA(E40:N40)=0,"",IFERROR(SUMPRODUCT(E40:N40,$E$4:$N$4)/SUM($E$4:$N$4),""))</x:f>
      </x:c>
      <x:c r="P40" s="36">
        <x:f>IF(O40="","",IF(O40&gt;=4,"Publish/Test",IF(O40&gt;=3,"Revise","Reject")))</x:f>
      </x:c>
      <x:c r="Q40" s="17" t="n"/>
    </x:row>
    <x:row r="41" ht="80" customHeight="1">
      <x:c r="A41" s="16" t="inlineStr">
        <x:is>
          <x:t xml:space="preserve">V12</x:t>
        </x:is>
      </x:c>
      <x:c r="B41" s="16" t="inlineStr">
        <x:is>
          <x:t xml:space="preserve">Time management</x:t>
        </x:is>
      </x:c>
      <x:c r="C41" s="16" t="inlineStr">
        <x:is>
          <x:t xml:space="preserve">BCC+</x:t>
        </x:is>
      </x:c>
      <x:c r="D41" s="16" t="inlineStr">
        <x:is>
          <x:t xml:space="preserve">Too many **prior**ities.
Pick one **constraint**.
**Seq**uence around it.
Calendar visual; avoid covering dates; use top-left or side labels.</x:t>
        </x:is>
      </x:c>
      <x:c r="E41" s="16" t="inlineStr">
        <x:is>
          <x:t xml:space="preserve"/>
        </x:is>
      </x:c>
      <x:c r="F41" s="16" t="inlineStr">
        <x:is>
          <x:t xml:space="preserve"/>
        </x:is>
      </x:c>
      <x:c r="G41" s="16" t="inlineStr">
        <x:is>
          <x:t xml:space="preserve"/>
        </x:is>
      </x:c>
      <x:c r="H41" s="16" t="inlineStr">
        <x:is>
          <x:t xml:space="preserve"/>
        </x:is>
      </x:c>
      <x:c r="I41" s="16" t="inlineStr">
        <x:is>
          <x:t xml:space="preserve"/>
        </x:is>
      </x:c>
      <x:c r="J41" s="16" t="inlineStr">
        <x:is>
          <x:t xml:space="preserve"/>
        </x:is>
      </x:c>
      <x:c r="K41" s="16" t="inlineStr">
        <x:is>
          <x:t xml:space="preserve"/>
        </x:is>
      </x:c>
      <x:c r="L41" s="16" t="inlineStr">
        <x:is>
          <x:t xml:space="preserve"/>
        </x:is>
      </x:c>
      <x:c r="M41" s="16" t="inlineStr">
        <x:is>
          <x:t xml:space="preserve"/>
        </x:is>
      </x:c>
      <x:c r="N41" s="16" t="inlineStr">
        <x:is>
          <x:t xml:space="preserve"/>
        </x:is>
      </x:c>
      <x:c r="O41" s="37">
        <x:f>IF(COUNTA(E41:N41)=0,"",IFERROR(SUMPRODUCT(E41:N41,$E$4:$N$4)/SUM($E$4:$N$4),""))</x:f>
      </x:c>
      <x:c r="P41" s="37">
        <x:f>IF(O41="","",IF(O41&gt;=4,"Publish/Test",IF(O41&gt;=3,"Revise","Reject")))</x:f>
      </x:c>
      <x:c r="Q41" s="16" t="n"/>
    </x:row>
  </x:sheetData>
  <x:mergeCells>
    <x:mergeCell ref="A1:O1"/>
    <x:mergeCell ref="A2:O2"/>
  </x:mergeCells>
  <x:dataValidations count="10">
    <x:dataValidation type="whole" operator="between" allowBlank="1" showDropDown="0" showInputMessage="0" showErrorMessage="0" sqref="E6:E41">
      <x:formula1>1</x:formula1>
      <x:formula2>5</x:formula2>
    </x:dataValidation>
    <x:dataValidation type="whole" operator="between" allowBlank="1" showDropDown="0" showInputMessage="0" showErrorMessage="0" sqref="F6:F41">
      <x:formula1>1</x:formula1>
      <x:formula2>5</x:formula2>
    </x:dataValidation>
    <x:dataValidation type="whole" operator="between" allowBlank="1" showDropDown="0" showInputMessage="0" showErrorMessage="0" sqref="G6:G41">
      <x:formula1>1</x:formula1>
      <x:formula2>5</x:formula2>
    </x:dataValidation>
    <x:dataValidation type="whole" operator="between" allowBlank="1" showDropDown="0" showInputMessage="0" showErrorMessage="0" sqref="H6:H41">
      <x:formula1>1</x:formula1>
      <x:formula2>5</x:formula2>
    </x:dataValidation>
    <x:dataValidation type="whole" operator="between" allowBlank="1" showDropDown="0" showInputMessage="0" showErrorMessage="0" sqref="I6:I41">
      <x:formula1>1</x:formula1>
      <x:formula2>5</x:formula2>
    </x:dataValidation>
    <x:dataValidation type="whole" operator="between" allowBlank="1" showDropDown="0" showInputMessage="0" showErrorMessage="0" sqref="J6:J41">
      <x:formula1>1</x:formula1>
      <x:formula2>5</x:formula2>
    </x:dataValidation>
    <x:dataValidation type="whole" operator="between" allowBlank="1" showDropDown="0" showInputMessage="0" showErrorMessage="0" sqref="K6:K41">
      <x:formula1>1</x:formula1>
      <x:formula2>5</x:formula2>
    </x:dataValidation>
    <x:dataValidation type="whole" operator="between" allowBlank="1" showDropDown="0" showInputMessage="0" showErrorMessage="0" sqref="L6:L41">
      <x:formula1>1</x:formula1>
      <x:formula2>5</x:formula2>
    </x:dataValidation>
    <x:dataValidation type="whole" operator="between" allowBlank="1" showDropDown="0" showInputMessage="0" showErrorMessage="0" sqref="M6:M41">
      <x:formula1>1</x:formula1>
      <x:formula2>5</x:formula2>
    </x:dataValidation>
    <x:dataValidation type="whole" operator="between" allowBlank="1" showDropDown="0" showInputMessage="0" showErrorMessage="0" sqref="N6:N41">
      <x:formula1>1</x:formula1>
      <x:formula2>5</x:formula2>
    </x:dataValidation>
  </x:dataValidation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24" customWidth="1"/>
    <x:col min="2" max="2" width="64" customWidth="1"/>
    <x:col min="3" max="3" width="52" customWidth="1"/>
  </x:cols>
  <x:sheetData>
    <x:row r="1" ht="24" customHeight="1">
      <x:c r="A1" s="14" t="inlineStr">
        <x:is>
          <x:t xml:space="preserve">Automation Spec — Semantic Overlay Generator</x:t>
        </x:is>
      </x:c>
    </x:row>
    <x:row r="2" ht="32" customHeight="1">
      <x:c r="A2" s="3" t="inlineStr">
        <x:is>
          <x:t xml:space="preserve">Product requirements for converting validated BCC+ workflow into software. Build only after validation gates.</x:t>
        </x:is>
      </x:c>
    </x:row>
    <x:row r="4">
      <x:c r="A4" s="15" t="inlineStr">
        <x:is>
          <x:t xml:space="preserve">Component</x:t>
        </x:is>
      </x:c>
      <x:c r="B4" s="15" t="inlineStr">
        <x:is>
          <x:t xml:space="preserve">Requirement</x:t>
        </x:is>
      </x:c>
      <x:c r="C4" s="15" t="inlineStr">
        <x:is>
          <x:t xml:space="preserve">Design note</x:t>
        </x:is>
      </x:c>
    </x:row>
    <x:row r="5" ht="60" customHeight="1">
      <x:c r="A5" s="16" t="inlineStr">
        <x:is>
          <x:t xml:space="preserve">Input</x:t>
        </x:is>
      </x:c>
      <x:c r="B5" s="16" t="inlineStr">
        <x:is>
          <x:t xml:space="preserve">Video/audio file, transcript, optional native captions, platform target, category label.</x:t>
        </x:is>
      </x:c>
      <x:c r="C5" s="16" t="inlineStr">
        <x:is>
          <x:t xml:space="preserve">Must preserve full caption track separate from overlay.</x:t>
        </x:is>
      </x:c>
    </x:row>
    <x:row r="6" ht="60" customHeight="1">
      <x:c r="A6" s="17" t="inlineStr">
        <x:is>
          <x:t xml:space="preserve">Step 1: Transcription</x:t>
        </x:is>
      </x:c>
      <x:c r="B6" s="17" t="inlineStr">
        <x:is>
          <x:t xml:space="preserve">Generate/edit exact transcript with punctuation and speaker cues.</x:t>
        </x:is>
      </x:c>
      <x:c r="C6" s="17" t="inlineStr">
        <x:is>
          <x:t xml:space="preserve">Accessibility layer depends on this.</x:t>
        </x:is>
      </x:c>
    </x:row>
    <x:row r="7" ht="60" customHeight="1">
      <x:c r="A7" s="16" t="inlineStr">
        <x:is>
          <x:t xml:space="preserve">Step 2: Proposition extraction</x:t>
        </x:is>
      </x:c>
      <x:c r="B7" s="16" t="inlineStr">
        <x:is>
          <x:t xml:space="preserve">Detect claims, contrasts, causes, mechanisms, actions, payoff.</x:t>
        </x:is>
      </x:c>
      <x:c r="C7" s="16" t="inlineStr">
        <x:is>
          <x:t xml:space="preserve">This is the real product gap vs auto-captions.</x:t>
        </x:is>
      </x:c>
    </x:row>
    <x:row r="8" ht="60" customHeight="1">
      <x:c r="A8" s="17" t="inlineStr">
        <x:is>
          <x:t xml:space="preserve">Step 3: Semantic beat compression</x:t>
        </x:is>
      </x:c>
      <x:c r="B8" s="17" t="inlineStr">
        <x:is>
          <x:t xml:space="preserve">Rewrite speech into 2–7 word beats; tag role: hook, false belief, correction, cause, fix, payoff.</x:t>
        </x:is>
      </x:c>
      <x:c r="C8" s="17" t="inlineStr">
        <x:is>
          <x:t xml:space="preserve">Parent method: Semantic Compression Captions.</x:t>
        </x:is>
      </x:c>
    </x:row>
    <x:row r="9" ht="60" customHeight="1">
      <x:c r="A9" s="16" t="inlineStr">
        <x:is>
          <x:t xml:space="preserve">Step 4: Anchor selection</x:t>
        </x:is>
      </x:c>
      <x:c r="B9" s="16" t="inlineStr">
        <x:is>
          <x:t xml:space="preserve">Identify operator anchors and concept anchors; apply sparse styling.</x:t>
        </x:is>
      </x:c>
      <x:c r="C9" s="16" t="inlineStr">
        <x:is>
          <x:t xml:space="preserve">Never bionic-format filler; max 1–3 anchors per screen.</x:t>
        </x:is>
      </x:c>
    </x:row>
    <x:row r="10" ht="60" customHeight="1">
      <x:c r="A10" s="17" t="inlineStr">
        <x:is>
          <x:t xml:space="preserve">Step 5: Visual analysis</x:t>
        </x:is>
      </x:c>
      <x:c r="B10" s="17" t="inlineStr">
        <x:is>
          <x:t xml:space="preserve">Detect face, mouth, eyes, hands, product, screen UI, motion, clutter, platform UI risk zones.</x:t>
        </x:is>
      </x:c>
      <x:c r="C10" s="17" t="inlineStr">
        <x:is>
          <x:t xml:space="preserve">Foundation for BCC+.</x:t>
        </x:is>
      </x:c>
    </x:row>
    <x:row r="11" ht="60" customHeight="1">
      <x:c r="A11" s="16" t="inlineStr">
        <x:is>
          <x:t xml:space="preserve">Step 6: Placement engine</x:t>
        </x:is>
      </x:c>
      <x:c r="B11" s="16" t="inlineStr">
        <x:is>
          <x:t xml:space="preserve">Choose low-conflict readable zone; protect mouth/eyes/hands/product.</x:t>
        </x:is>
      </x:c>
      <x:c r="C11" s="16" t="inlineStr">
        <x:is>
          <x:t xml:space="preserve">Should be category-specific.</x:t>
        </x:is>
      </x:c>
    </x:row>
    <x:row r="12" ht="60" customHeight="1">
      <x:c r="A12" s="17" t="inlineStr">
        <x:is>
          <x:t xml:space="preserve">Step 7: Timing engine</x:t>
        </x:is>
      </x:c>
      <x:c r="B12" s="17" t="inlineStr">
        <x:is>
          <x:t xml:space="preserve">Align beats to speech, pause, cut, or semantic turn; test pre-cue vs sync.</x:t>
        </x:is>
      </x:c>
      <x:c r="C12" s="17" t="inlineStr">
        <x:is>
          <x:t xml:space="preserve">Avoid constant text.</x:t>
        </x:is>
      </x:c>
    </x:row>
    <x:row r="13" ht="60" customHeight="1">
      <x:c r="A13" s="16" t="inlineStr">
        <x:is>
          <x:t xml:space="preserve">Step 8: Quality scoring</x:t>
        </x:is>
      </x:c>
      <x:c r="B13" s="16" t="inlineStr">
        <x:is>
          <x:t xml:space="preserve">Score compression, clarity, placement, timing, muted comprehension, accessibility.</x:t>
        </x:is>
      </x:c>
      <x:c r="C13" s="16" t="inlineStr">
        <x:is>
          <x:t xml:space="preserve">Use BCC+ rubric.</x:t>
        </x:is>
      </x:c>
    </x:row>
    <x:row r="14" ht="60" customHeight="1">
      <x:c r="A14" s="17" t="inlineStr">
        <x:is>
          <x:t xml:space="preserve">Step 9: Export variants</x:t>
        </x:is>
      </x:c>
      <x:c r="B14" s="17" t="inlineStr">
        <x:is>
          <x:t xml:space="preserve">Export Full transcript, Semantic Compression, BCC, BCC+ and test variants.</x:t>
        </x:is>
      </x:c>
      <x:c r="C14" s="17" t="inlineStr">
        <x:is>
          <x:t xml:space="preserve">Needed for A/B testing.</x:t>
        </x:is>
      </x:c>
    </x:row>
    <x:row r="15" ht="60" customHeight="1">
      <x:c r="A15" s="16" t="inlineStr">
        <x:is>
          <x:t xml:space="preserve">Step 10: Feedback loop</x:t>
        </x:is>
      </x:c>
      <x:c r="B15" s="16" t="inlineStr">
        <x:is>
          <x:t xml:space="preserve">Import platform/lab data; update category rules and variant choices.</x:t>
        </x:is>
      </x:c>
      <x:c r="C15" s="16" t="inlineStr">
        <x:is>
          <x:t xml:space="preserve">Do not optimize for watch time alone.</x:t>
        </x:is>
      </x:c>
    </x:row>
  </x:sheetData>
  <x:mergeCells>
    <x:mergeCell ref="A2:H2"/>
    <x:mergeCell ref="A1:H1"/>
  </x:mergeCells>
  <x:pageMargins left="0.7" right="0.7" top="0.75" bottom="0.75" header="0.3" footer="0.3"/>
</x:worksheet>
</file>