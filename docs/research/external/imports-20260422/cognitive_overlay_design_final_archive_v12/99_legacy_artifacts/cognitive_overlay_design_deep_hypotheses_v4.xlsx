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19baaceca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7e7887084cf4c5c"/>
    <x:sheet xmlns:r="http://schemas.openxmlformats.org/officeDocument/2006/relationships" name="Hypothesis Dashboard" sheetId="2" r:id="R0effc0f2f4464189"/>
    <x:sheet xmlns:r="http://schemas.openxmlformats.org/officeDocument/2006/relationships" name="Research Frontiers" sheetId="3" r:id="R69128ac69ad14dcf"/>
    <x:sheet xmlns:r="http://schemas.openxmlformats.org/officeDocument/2006/relationships" name="Hypothesis Backlog" sheetId="4" r:id="Re2a7a5cb7a034f5a"/>
    <x:sheet xmlns:r="http://schemas.openxmlformats.org/officeDocument/2006/relationships" name="Experiment Roadmap" sheetId="5" r:id="R25eefd849bd54b58"/>
    <x:sheet xmlns:r="http://schemas.openxmlformats.org/officeDocument/2006/relationships" name="BCC+ Architecture" sheetId="6" r:id="R42ef395f49e748f9"/>
    <x:sheet xmlns:r="http://schemas.openxmlformats.org/officeDocument/2006/relationships" name="Measurement Dictionary" sheetId="7" r:id="Raedee9bd751d4b64"/>
    <x:sheet xmlns:r="http://schemas.openxmlformats.org/officeDocument/2006/relationships" name="Source Map" sheetId="8" r:id="Rd1d54cf75c574e4a"/>
    <x:sheet xmlns:r="http://schemas.openxmlformats.org/officeDocument/2006/relationships" name="Next Steps" sheetId="9" r:id="R724419d6ed0147e5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I4" authorId="0">
      <x:text>
        <x:r>
          <x:t>Evidence strength: 1 weak/speculative to 5 strong/repeated support.</x:t>
        </x:r>
      </x:text>
    </x:comment>
    <x:comment ref="J4" authorId="0">
      <x:text>
        <x:r>
          <x:t>Novelty: 1 common practice to 5 novel research/product direction.</x:t>
        </x:r>
      </x:text>
    </x:comment>
    <x:comment ref="K4" authorId="0">
      <x:text>
        <x:r>
          <x:t>Feasibility: 1 hard/expensive to 5 can test now.</x:t>
        </x:r>
      </x:text>
    </x:comment>
    <x:comment ref="L4" authorId="0">
      <x:text>
        <x:r>
          <x:t>Impact: 1 low expected value to 5 high expected value.</x:t>
        </x:r>
      </x:text>
    </x:comment>
    <x:comment ref="N4" authorId="0">
      <x:text>
        <x:r>
          <x:t>Formula: 35% evidence + 15% novelty + 20% feasibility + 30% impact.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666666"/>
    </x:font>
    <x:font>
      <x:b/>
      <x:color rgb="00FFFFFF"/>
    </x:font>
    <x:font>
      <x:b/>
      <x:color rgb="007030A0"/>
    </x:font>
    <x:font>
      <x:b/>
      <x:color rgb="00008C95"/>
    </x:font>
    <x:font>
      <x:color rgb="000000FF"/>
    </x:font>
    <x:font>
      <x:u val="single"/>
      <x:color rgb="00008000"/>
    </x:font>
    <x:font>
      <x:b/>
      <x:sz val="16"/>
      <x:color rgb="00FFFFFF"/>
      <x:name val="Aptos"/>
    </x:font>
    <x:font>
      <x:sz val="11"/>
      <x:color theme="1"/>
      <x:name val="Aptos"/>
      <x:family val="2"/>
      <x:scheme val="minor"/>
    </x:font>
    <x:font>
      <x:i/>
      <x:color rgb="00666666"/>
      <x:name val="Aptos"/>
    </x:font>
    <x:font>
      <x:b/>
      <x:color rgb="00FFFFFF"/>
      <x:name val="Aptos"/>
    </x:font>
    <x:font>
      <x:b/>
      <x:color rgb="007030A0"/>
      <x:name val="Aptos"/>
    </x:font>
    <x:font>
      <x:b/>
      <x:color rgb="00008C95"/>
      <x:name val="Aptos"/>
    </x:font>
    <x:font>
      <x:color rgb="000000FF"/>
      <x:name val="Aptos"/>
    </x:font>
    <x:font>
      <x:u val="single"/>
      <x:color rgb="000080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DEBF7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  <x:fill>
      <x:patternFill patternType="solid">
        <x:fgColor rgb="00F2F2F2"/>
      </x:patternFill>
    </x:fill>
  </x:fills>
  <x:borders count="3">
    <x:border>
      <x:left/>
      <x:right/>
      <x:top/>
      <x:bottom/>
      <x:diagonal/>
    </x:border>
    <x:border>
      <x:bottom style="medium">
        <x:color rgb="001F4E78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8" fillId="2" borderId="0" xfId="0" applyAlignment="1">
      <x:alignment horizontal="left" vertical="top"/>
    </x:xf>
    <x:xf numFmtId="0" fontId="9" fillId="0" borderId="0" xfId="0" applyAlignment="1">
      <x:alignment vertical="top"/>
    </x:xf>
    <x:xf numFmtId="0" fontId="10" fillId="0" borderId="0" xfId="0" applyAlignment="1">
      <x:alignment vertical="top" wrapText="1"/>
    </x:xf>
    <x:xf numFmtId="0" fontId="11" fillId="2" borderId="1" xfId="0" applyAlignment="1">
      <x:alignment horizontal="center" vertical="top" wrapText="1"/>
    </x:xf>
    <x:xf numFmtId="0" fontId="12" fillId="0" borderId="2" xfId="0" applyAlignment="1">
      <x:alignment vertical="top" wrapText="1"/>
    </x:xf>
    <x:xf numFmtId="0" fontId="13" fillId="0" borderId="2" xfId="0" applyAlignment="1">
      <x:alignment vertical="top" wrapText="1"/>
    </x:xf>
    <x:xf numFmtId="0" fontId="9" fillId="0" borderId="2" xfId="0" applyAlignment="1">
      <x:alignment vertical="top" wrapText="1"/>
    </x:xf>
    <x:xf numFmtId="0" fontId="9" fillId="3" borderId="2" xfId="0" applyAlignment="1">
      <x:alignment vertical="top" wrapText="1"/>
    </x:xf>
    <x:xf numFmtId="0" fontId="14" fillId="0" borderId="2" xfId="0" applyAlignment="1">
      <x:alignment vertical="top" wrapText="1"/>
    </x:xf>
    <x:xf numFmtId="0" fontId="9" fillId="4" borderId="2" xfId="0" applyAlignment="1">
      <x:alignment vertical="top" wrapText="1"/>
    </x:xf>
    <x:xf numFmtId="0" fontId="9" fillId="5" borderId="2" xfId="0" applyAlignment="1">
      <x:alignment vertical="top" wrapText="1"/>
    </x:xf>
    <x:xf numFmtId="0" fontId="9" fillId="6" borderId="2" xfId="0" applyAlignment="1">
      <x:alignment vertical="top" wrapText="1"/>
    </x:xf>
    <x:xf numFmtId="0" fontId="15" fillId="0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f166854f0422f" /><Relationship Type="http://schemas.openxmlformats.org/officeDocument/2006/relationships/theme" Target="/xl/theme/theme1.xml" Id="R81a03eff0f784c88" /><Relationship Type="http://schemas.openxmlformats.org/officeDocument/2006/relationships/sharedStrings" Target="/xl/sharedStrings.xml" Id="Rfb0fb0c432944808" /><Relationship Type="http://schemas.openxmlformats.org/officeDocument/2006/relationships/worksheet" Target="/xl/worksheets/sheet1.xml" Id="R17e7887084cf4c5c" /><Relationship Type="http://schemas.openxmlformats.org/officeDocument/2006/relationships/worksheet" Target="/xl/worksheets/sheet2.xml" Id="R0effc0f2f4464189" /><Relationship Type="http://schemas.openxmlformats.org/officeDocument/2006/relationships/worksheet" Target="/xl/worksheets/sheet3.xml" Id="R69128ac69ad14dcf" /><Relationship Type="http://schemas.openxmlformats.org/officeDocument/2006/relationships/worksheet" Target="/xl/worksheets/sheet4.xml" Id="Re2a7a5cb7a034f5a" /><Relationship Type="http://schemas.openxmlformats.org/officeDocument/2006/relationships/worksheet" Target="/xl/worksheets/sheet5.xml" Id="R25eefd849bd54b58" /><Relationship Type="http://schemas.openxmlformats.org/officeDocument/2006/relationships/worksheet" Target="/xl/worksheets/sheet6.xml" Id="R42ef395f49e748f9" /><Relationship Type="http://schemas.openxmlformats.org/officeDocument/2006/relationships/worksheet" Target="/xl/worksheets/sheet7.xml" Id="Raedee9bd751d4b64" /><Relationship Type="http://schemas.openxmlformats.org/officeDocument/2006/relationships/worksheet" Target="/xl/worksheets/sheet8.xml" Id="Rd1d54cf75c574e4a" /><Relationship Type="http://schemas.openxmlformats.org/officeDocument/2006/relationships/worksheet" Target="/xl/worksheets/sheet9.xml" Id="R724419d6ed0147e5" /><Relationship Type="http://schemas.microsoft.com/office/2017/10/relationships/person" Target="/xl/persons/person.xml" Id="Rbbcc8f7c47c84c45" /></Relationships>
</file>

<file path=xl/persons/person.xml><?xml version="1.0" encoding="utf-8"?>
<xltc:personList xmlns:xltc="http://schemas.microsoft.com/office/spreadsheetml/2018/threadedcomments">
  <xltc:person displayName="OpenAI" id="{9BB666F5-9889-0088-2722-327E770BE3DB}"/>
</xltc:personList>
</file>

<file path=xl/tables/table1.xml><?xml version="1.0" encoding="utf-8"?>
<x:table xmlns:x="http://schemas.openxmlformats.org/spreadsheetml/2006/main" id="1" name="ResearchFrontiers" displayName="ResearchFrontiers" ref="A4:E16" headerRowCount="1">
  <x:autoFilter ref="A4:E16"/>
  <x:tableColumns count="5">
    <x:tableColumn id="1" name="ID"/>
    <x:tableColumn id="2" name="Frontier"/>
    <x:tableColumn id="3" name="Core idea"/>
    <x:tableColumn id="4" name="Research basis"/>
    <x:tableColumn id="5" name="Design implication"/>
  </x:tableColumns>
  <x:tableStyleInfo name="TableStyleMedium2" showRowStripes="1"/>
</x:table>
</file>

<file path=xl/tables/table2.xml><?xml version="1.0" encoding="utf-8"?>
<x:table xmlns:x="http://schemas.openxmlformats.org/spreadsheetml/2006/main" id="2" name="HypothesisBacklog" displayName="HypothesisBacklog" ref="A4:O44" headerRowCount="1">
  <x:autoFilter ref="A4:O44"/>
  <x:tableColumns count="15">
    <x:tableColumn id="1" name="ID"/>
    <x:tableColumn id="2" name="Domain"/>
    <x:tableColumn id="3" name="Hypothesis"/>
    <x:tableColumn id="4" name="Mechanism"/>
    <x:tableColumn id="5" name="Predicted outcome"/>
    <x:tableColumn id="6" name="Test design"/>
    <x:tableColumn id="7" name="Primary metrics"/>
    <x:tableColumn id="8" name="Source IDs"/>
    <x:tableColumn id="9" name="Evidence (1-5)"/>
    <x:tableColumn id="10" name="Novelty (1-5)"/>
    <x:tableColumn id="11" name="Feasibility (1-5)"/>
    <x:tableColumn id="12" name="Impact (1-5)"/>
    <x:tableColumn id="13" name="Risk / Caveat"/>
    <x:tableColumn id="14" name="Priority Score"/>
    <x:tableColumn id="15" name="Priority Tag"/>
  </x:tableColumns>
  <x:tableStyleInfo name="TableStyleMedium2" showRowStripes="1"/>
</x:table>
</file>

<file path=xl/tables/table3.xml><?xml version="1.0" encoding="utf-8"?>
<x:table xmlns:x="http://schemas.openxmlformats.org/spreadsheetml/2006/main" id="3" name="ExperimentRoadmap" displayName="ExperimentRoadmap" ref="A4:H14" headerRowCount="1">
  <x:autoFilter ref="A4:H14"/>
  <x:tableColumns count="8">
    <x:tableColumn id="1" name="ID"/>
    <x:tableColumn id="2" name="Experiment"/>
    <x:tableColumn id="3" name="Question"/>
    <x:tableColumn id="4" name="Conditions"/>
    <x:tableColumn id="5" name="Design"/>
    <x:tableColumn id="6" name="Primary metrics"/>
    <x:tableColumn id="7" name="Hypotheses tested"/>
    <x:tableColumn id="8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BCCArchitecture" displayName="BCCArchitecture" ref="A4:E14" headerRowCount="1">
  <x:autoFilter ref="A4:E14"/>
  <x:tableColumns count="5">
    <x:tableColumn id="1" name="Stage"/>
    <x:tableColumn id="2" name="Input"/>
    <x:tableColumn id="3" name="Decision / Transformation"/>
    <x:tableColumn id="4" name="Output"/>
    <x:tableColumn id="5" name="Related hypotheses"/>
  </x:tableColumns>
  <x:tableStyleInfo name="TableStyleMedium2" showRowStripes="1"/>
</x:table>
</file>

<file path=xl/tables/table5.xml><?xml version="1.0" encoding="utf-8"?>
<x:table xmlns:x="http://schemas.openxmlformats.org/spreadsheetml/2006/main" id="5" name="MeasurementDictionary" displayName="MeasurementDictionary" ref="A4:E19" headerRowCount="1">
  <x:autoFilter ref="A4:E19"/>
  <x:tableColumns count="5">
    <x:tableColumn id="1" name="Metric"/>
    <x:tableColumn id="2" name="Definition"/>
    <x:tableColumn id="3" name="Use"/>
    <x:tableColumn id="4" name="Collection method"/>
    <x:tableColumn id="5" name="Related hypotheses"/>
  </x:tableColumns>
  <x:tableStyleInfo name="TableStyleMedium2" showRowStripes="1"/>
</x:table>
</file>

<file path=xl/tables/table6.xml><?xml version="1.0" encoding="utf-8"?>
<x:table xmlns:x="http://schemas.openxmlformats.org/spreadsheetml/2006/main" id="6" name="SourceMap" displayName="SourceMap" ref="A4:F28" headerRowCount="1">
  <x:autoFilter ref="A4:F28"/>
  <x:tableColumns count="6">
    <x:tableColumn id="1" name="Source ID"/>
    <x:tableColumn id="2" name="Field"/>
    <x:tableColumn id="3" name="Key finding"/>
    <x:tableColumn id="4" name="Design implication"/>
    <x:tableColumn id="5" name="Evidence strength"/>
    <x:tableColumn id="6" name="URL"/>
  </x:tableColumns>
  <x:tableStyleInfo name="TableStyleMedium2" showRowStripes="1"/>
</x:table>
</file>

<file path=xl/tables/table7.xml><?xml version="1.0" encoding="utf-8"?>
<x:table xmlns:x="http://schemas.openxmlformats.org/spreadsheetml/2006/main" id="7" name="NextSteps" displayName="NextSteps" ref="A4:E10" headerRowCount="1">
  <x:autoFilter ref="A4:E10"/>
  <x:tableColumns count="5">
    <x:tableColumn id="1" name="Order"/>
    <x:tableColumn id="2" name="Action"/>
    <x:tableColumn id="3" name="Output"/>
    <x:tableColumn id="4" name="Decision gate"/>
    <x:tableColumn id="5" name="Owner / 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d16c0254e9442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87e733a5d47b4fc3" /><Relationship Type="http://schemas.openxmlformats.org/officeDocument/2006/relationships/vmlDrawing" Target="/xl/drawings/vmldrawing.vml" Id="Rcdc44917ff4d4ea2" /><Relationship Type="http://schemas.openxmlformats.org/officeDocument/2006/relationships/table" Target="/xl/tables/table2.xml" Id="R7929024c014047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9d004be2ab64f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797605cb4464d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64626e23d604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919be50b60b4e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1620ba5b8d0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6" customWidth="1"/>
    <x:col min="3" max="3" width="80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</x:cols>
  <x:sheetData>
    <x:row r="1" ht="28" customHeight="1">
      <x:c r="A1" s="1" t="inlineStr">
        <x:is>
          <x:t xml:space="preserve">Cognitive Overlay Design: Deep Ideas &amp; Hypotheses v4</x:t>
        </x:is>
      </x:c>
    </x:row>
    <x:row r="2" ht="36" customHeight="1">
      <x:c r="A2" s="3" t="inlineStr">
        <x:is>
          <x:t xml:space="preserve">Research expansion for short-form video overlays, Bionic Compression Captioning, and BCC+ experimentation.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Layer</x:t>
        </x:is>
      </x:c>
      <x:c r="B4" s="4" t="inlineStr">
        <x:is>
          <x:t xml:space="preserve">Name</x:t>
        </x:is>
      </x:c>
      <x:c r="C4" s="4" t="inlineStr">
        <x:is>
          <x:t xml:space="preserve">Definition / Decision</x:t>
        </x:is>
      </x:c>
      <x:c r="D4" s="4" t="n"/>
      <x:c r="E4" s="4" t="n"/>
      <x:c r="F4" s="4" t="n"/>
      <x:c r="G4" s="4" t="n"/>
      <x:c r="H4" s="4" t="n"/>
    </x:row>
    <x:row r="5">
      <x:c r="A5" s="5" t="inlineStr">
        <x:is>
          <x:t xml:space="preserve">Field</x:t>
        </x:is>
      </x:c>
      <x:c r="B5" s="6" t="inlineStr">
        <x:is>
          <x:t xml:space="preserve">Cognitive Overlay Design</x:t>
        </x:is>
      </x:c>
      <x:c r="C5" s="7" t="inlineStr">
        <x:is>
          <x:t xml:space="preserve">Designing text, timing, motion, placement and emphasis to improve comprehension while reducing visual load.</x:t>
        </x:is>
      </x:c>
      <x:c r="D5" s="2" t="n"/>
      <x:c r="E5" s="2" t="n"/>
      <x:c r="F5" s="2" t="n"/>
      <x:c r="G5" s="2" t="n"/>
      <x:c r="H5" s="2" t="n"/>
    </x:row>
    <x:row r="6">
      <x:c r="A6" s="5" t="inlineStr">
        <x:is>
          <x:t xml:space="preserve">Short-form branch</x:t>
        </x:is>
      </x:c>
      <x:c r="B6" s="6" t="inlineStr">
        <x:is>
          <x:t xml:space="preserve">Physiological Retention Typography</x:t>
        </x:is>
      </x:c>
      <x:c r="C6" s="7" t="inlineStr">
        <x:is>
          <x:t xml:space="preserve">Overlay design grounded in vision, attention, working memory, smartphone ergonomics and scroll behavior.</x:t>
        </x:is>
      </x:c>
      <x:c r="D6" s="2" t="n"/>
      <x:c r="E6" s="2" t="n"/>
      <x:c r="F6" s="2" t="n"/>
      <x:c r="G6" s="2" t="n"/>
      <x:c r="H6" s="2" t="n"/>
    </x:row>
    <x:row r="7">
      <x:c r="A7" s="5" t="inlineStr">
        <x:is>
          <x:t xml:space="preserve">Method family</x:t>
        </x:is>
      </x:c>
      <x:c r="B7" s="6" t="inlineStr">
        <x:is>
          <x:t xml:space="preserve">Semantic Compression Captions</x:t>
        </x:is>
      </x:c>
      <x:c r="C7" s="7" t="inlineStr">
        <x:is>
          <x:t xml:space="preserve">Compress speech into semantic beats rather than transcript blocks.</x:t>
        </x:is>
      </x:c>
      <x:c r="D7" s="2" t="n"/>
      <x:c r="E7" s="2" t="n"/>
      <x:c r="F7" s="2" t="n"/>
      <x:c r="G7" s="2" t="n"/>
      <x:c r="H7" s="2" t="n"/>
    </x:row>
    <x:row r="8">
      <x:c r="A8" s="5" t="inlineStr">
        <x:is>
          <x:t xml:space="preserve">Named method</x:t>
        </x:is>
      </x:c>
      <x:c r="B8" s="6" t="inlineStr">
        <x:is>
          <x:t xml:space="preserve">Bionic Compression Captioning</x:t>
        </x:is>
      </x:c>
      <x:c r="C8" s="7" t="inlineStr">
        <x:is>
          <x:t xml:space="preserve">Semantic compression + operator anchors + bionic concept anchors + beat timing.</x:t>
        </x:is>
      </x:c>
      <x:c r="D8" s="2" t="n"/>
      <x:c r="E8" s="2" t="n"/>
      <x:c r="F8" s="2" t="n"/>
      <x:c r="G8" s="2" t="n"/>
      <x:c r="H8" s="2" t="n"/>
    </x:row>
    <x:row r="9">
      <x:c r="A9" s="5" t="inlineStr">
        <x:is>
          <x:t xml:space="preserve">Advanced protocol</x:t>
        </x:is>
      </x:c>
      <x:c r="B9" s="6" t="inlineStr">
        <x:is>
          <x:t xml:space="preserve">BCC+</x:t>
        </x:is>
      </x:c>
      <x:c r="C9" s="7" t="inlineStr">
        <x:is>
          <x:t xml:space="preserve">BCC + gaze-safe placement + visual-load adaptation + muted-first design + full captions.</x:t>
        </x:is>
      </x:c>
      <x:c r="D9" s="2" t="n"/>
      <x:c r="E9" s="2" t="n"/>
      <x:c r="F9" s="2" t="n"/>
      <x:c r="G9" s="2" t="n"/>
      <x:c r="H9" s="2" t="n"/>
    </x:row>
    <x:row r="10">
      <x:c r="A10" s="5" t="inlineStr">
        <x:is>
          <x:t xml:space="preserve">Main law</x:t>
        </x:is>
      </x:c>
      <x:c r="B10" s="6" t="inlineStr">
        <x:is>
          <x:t xml:space="preserve">Meaning per fixation</x:t>
        </x:is>
      </x:c>
      <x:c r="C10" s="7" t="inlineStr">
        <x:is>
          <x:t xml:space="preserve">Optimize for gist/action retained per fixation or per second watched, not raw reading speed.</x:t>
        </x:is>
      </x:c>
      <x:c r="D10" s="2" t="n"/>
      <x:c r="E10" s="2" t="n"/>
      <x:c r="F10" s="2" t="n"/>
      <x:c r="G10" s="2" t="n"/>
      <x:c r="H10" s="2" t="n"/>
    </x:row>
    <x:row r="11">
      <x:c r="A11" s="5" t="inlineStr">
        <x:is>
          <x:t xml:space="preserve">Key uncertainty</x:t>
        </x:is>
      </x:c>
      <x:c r="B11" s="6" t="inlineStr">
        <x:is>
          <x:t xml:space="preserve">Does BCC beat semantic compression alone?</x:t>
        </x:is>
      </x:c>
      <x:c r="C11" s="7" t="inlineStr">
        <x:is>
          <x:t xml:space="preserve">The bionic component must be isolated. It may be optional styling rather than the core mechanism.</x:t>
        </x:is>
      </x:c>
      <x:c r="D11" s="2" t="n"/>
      <x:c r="E11" s="2" t="n"/>
      <x:c r="F11" s="2" t="n"/>
      <x:c r="G11" s="2" t="n"/>
      <x:c r="H11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24" customWidth="1"/>
    <x:col min="3" max="3" width="72" customWidth="1"/>
  </x:cols>
  <x:sheetData>
    <x:row r="1" ht="28" customHeight="1">
      <x:c r="A1" s="1" t="inlineStr">
        <x:is>
          <x:t xml:space="preserve">Hypothesis Dashboard</x:t>
        </x:is>
      </x:c>
    </x:row>
    <x:row r="2" ht="36" customHeight="1">
      <x:c r="A2" s="3" t="inlineStr">
        <x:is>
          <x:t xml:space="preserve">Derived counts and priorities. Scores are calculated from evidence, novelty, feasibility and expected impact.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Metric</x:t>
        </x:is>
      </x:c>
      <x:c r="B4" s="4" t="inlineStr">
        <x:is>
          <x:t xml:space="preserve">Formula / Value</x:t>
        </x:is>
      </x:c>
      <x:c r="C4" s="4" t="inlineStr">
        <x:is>
          <x:t xml:space="preserve">Interpretation</x:t>
        </x:is>
      </x:c>
      <x:c r="D4" s="4" t="n"/>
      <x:c r="E4" s="4" t="n"/>
      <x:c r="F4" s="4" t="n"/>
      <x:c r="G4" s="4" t="n"/>
      <x:c r="H4" s="4" t="n"/>
    </x:row>
    <x:row r="5">
      <x:c r="A5" s="5" t="inlineStr">
        <x:is>
          <x:t xml:space="preserve">Total hypotheses</x:t>
        </x:is>
      </x:c>
      <x:c r="B5" s="8">
        <x:f>COUNTA('Hypothesis Backlog'!A5:A44)</x:f>
        <x:v>40</x:v>
      </x:c>
      <x:c r="C5" s="7" t="inlineStr">
        <x:is>
          <x:t xml:space="preserve">Number of testable hypotheses in the backlog.</x:t>
        </x:is>
      </x:c>
      <x:c r="D5" s="2" t="n"/>
      <x:c r="E5" s="2" t="n"/>
      <x:c r="F5" s="2" t="n"/>
      <x:c r="G5" s="2" t="n"/>
      <x:c r="H5" s="2" t="n"/>
    </x:row>
    <x:row r="6">
      <x:c r="A6" s="5" t="inlineStr">
        <x:is>
          <x:t xml:space="preserve">Average priority score</x:t>
        </x:is>
      </x:c>
      <x:c r="B6" s="8">
        <x:f>ROUND(AVERAGE('Hypothesis Backlog'!N5:N44),2)</x:f>
        <x:v>3.9</x:v>
      </x:c>
      <x:c r="C6" s="7" t="inlineStr">
        <x:is>
          <x:t xml:space="preserve">Mean weighted score across the backlog.</x:t>
        </x:is>
      </x:c>
      <x:c r="D6" s="2" t="n"/>
      <x:c r="E6" s="2" t="n"/>
      <x:c r="F6" s="2" t="n"/>
      <x:c r="G6" s="2" t="n"/>
      <x:c r="H6" s="2" t="n"/>
    </x:row>
    <x:row r="7">
      <x:c r="A7" s="5" t="inlineStr">
        <x:is>
          <x:t xml:space="preserve">Immediate priority count</x:t>
        </x:is>
      </x:c>
      <x:c r="B7" s="8">
        <x:f>COUNTIF('Hypothesis Backlog'!O5:O44,"Immediate")</x:f>
        <x:v>9</x:v>
      </x:c>
      <x:c r="C7" s="7" t="inlineStr">
        <x:is>
          <x:t xml:space="preserve">Highest-priority experiments that can be run now.</x:t>
        </x:is>
      </x:c>
      <x:c r="D7" s="2" t="n"/>
      <x:c r="E7" s="2" t="n"/>
      <x:c r="F7" s="2" t="n"/>
      <x:c r="G7" s="2" t="n"/>
      <x:c r="H7" s="2" t="n"/>
    </x:row>
    <x:row r="8">
      <x:c r="A8" s="5" t="inlineStr">
        <x:is>
          <x:t xml:space="preserve">High priority count</x:t>
        </x:is>
      </x:c>
      <x:c r="B8" s="8">
        <x:f>COUNTIF('Hypothesis Backlog'!O5:O44,"High")</x:f>
        <x:v>20</x:v>
      </x:c>
      <x:c r="C8" s="7" t="inlineStr">
        <x:is>
          <x:t xml:space="preserve">Strong next experiments.</x:t>
        </x:is>
      </x:c>
      <x:c r="D8" s="2" t="n"/>
      <x:c r="E8" s="2" t="n"/>
      <x:c r="F8" s="2" t="n"/>
      <x:c r="G8" s="2" t="n"/>
      <x:c r="H8" s="2" t="n"/>
    </x:row>
    <x:row r="9">
      <x:c r="A9" s="5" t="inlineStr">
        <x:is>
          <x:t xml:space="preserve">Medium priority count</x:t>
        </x:is>
      </x:c>
      <x:c r="B9" s="8">
        <x:f>COUNTIF('Hypothesis Backlog'!O5:O44,"Medium")</x:f>
        <x:v>11</x:v>
      </x:c>
      <x:c r="C9" s="7" t="inlineStr">
        <x:is>
          <x:t xml:space="preserve">Secondary or contingent experiments.</x:t>
        </x:is>
      </x:c>
      <x:c r="D9" s="2" t="n"/>
      <x:c r="E9" s="2" t="n"/>
      <x:c r="F9" s="2" t="n"/>
      <x:c r="G9" s="2" t="n"/>
      <x:c r="H9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4" customWidth="1"/>
    <x:col min="3" max="3" width="60" customWidth="1"/>
    <x:col min="4" max="4" width="42" customWidth="1"/>
    <x:col min="5" max="5" width="60" customWidth="1"/>
  </x:cols>
  <x:sheetData>
    <x:row r="1" ht="28" customHeight="1">
      <x:c r="A1" s="1" t="inlineStr">
        <x:is>
          <x:t xml:space="preserve">Research Frontiers</x:t>
        </x:is>
      </x:c>
    </x:row>
    <x:row r="2" ht="36" customHeight="1">
      <x:c r="A2" s="3" t="inlineStr">
        <x:is>
          <x:t xml:space="preserve">The frontier areas that expand BCC into a full Cognitive Overlay Design research program.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ID</x:t>
        </x:is>
      </x:c>
      <x:c r="B4" s="4" t="inlineStr">
        <x:is>
          <x:t xml:space="preserve">Frontier</x:t>
        </x:is>
      </x:c>
      <x:c r="C4" s="4" t="inlineStr">
        <x:is>
          <x:t xml:space="preserve">Core idea</x:t>
        </x:is>
      </x:c>
      <x:c r="D4" s="4" t="inlineStr">
        <x:is>
          <x:t xml:space="preserve">Research basis</x:t>
        </x:is>
      </x:c>
      <x:c r="E4" s="4" t="inlineStr">
        <x:is>
          <x:t xml:space="preserve">Design implication</x:t>
        </x:is>
      </x:c>
      <x:c r="F4" s="4" t="n"/>
      <x:c r="G4" s="4" t="n"/>
      <x:c r="H4" s="4" t="n"/>
    </x:row>
    <x:row r="5">
      <x:c r="A5" s="5" t="inlineStr">
        <x:is>
          <x:t xml:space="preserve">F1</x:t>
        </x:is>
      </x:c>
      <x:c r="B5" s="6" t="inlineStr">
        <x:is>
          <x:t xml:space="preserve">Meaning-first overlaying</x:t>
        </x:is>
      </x:c>
      <x:c r="C5" s="7" t="inlineStr">
        <x:is>
          <x:t xml:space="preserve">Move from word emphasis to semantic attention. Overlays should carry the idea structure, not just transcript fragments.</x:t>
        </x:is>
      </x:c>
      <x:c r="D5" s="7" t="inlineStr">
        <x:is>
          <x:t xml:space="preserve">Meaning maps and signaling research</x:t>
        </x:is>
      </x:c>
      <x:c r="E5" s="7" t="inlineStr">
        <x:is>
          <x:t xml:space="preserve">Build overlays around claim/relation/action; measure gist per fixation.</x:t>
        </x:is>
      </x:c>
      <x:c r="F5" s="2" t="n"/>
      <x:c r="G5" s="2" t="n"/>
      <x:c r="H5" s="2" t="n"/>
    </x:row>
    <x:row r="6">
      <x:c r="A6" s="5" t="inlineStr">
        <x:is>
          <x:t xml:space="preserve">F2</x:t>
        </x:is>
      </x:c>
      <x:c r="B6" s="6" t="inlineStr">
        <x:is>
          <x:t xml:space="preserve">At-a-glance phrase design</x:t>
        </x:is>
      </x:c>
      <x:c r="C6" s="7" t="inlineStr">
        <x:is>
          <x:t xml:space="preserve">Short structured phrases may be processed as visual language chunks faster than word-by-word captions.</x:t>
        </x:is>
      </x:c>
      <x:c r="D6" s="7" t="inlineStr">
        <x:is>
          <x:t xml:space="preserve">At-a-glance language comprehension</x:t>
        </x:is>
      </x:c>
      <x:c r="E6" s="7" t="inlineStr">
        <x:is>
          <x:t xml:space="preserve">Test SVO, Not-X/Y, Problem-Cause-Fix, and isolated keywords.</x:t>
        </x:is>
      </x:c>
      <x:c r="F6" s="2" t="n"/>
      <x:c r="G6" s="2" t="n"/>
      <x:c r="H6" s="2" t="n"/>
    </x:row>
    <x:row r="7">
      <x:c r="A7" s="5" t="inlineStr">
        <x:is>
          <x:t xml:space="preserve">F3</x:t>
        </x:is>
      </x:c>
      <x:c r="B7" s="6" t="inlineStr">
        <x:is>
          <x:t xml:space="preserve">Prediction-first caption timing</x:t>
        </x:is>
      </x:c>
      <x:c r="C7" s="7" t="inlineStr">
        <x:is>
          <x:t xml:space="preserve">Semantic captions shown just before speech may reduce inference load and improve comprehension.</x:t>
        </x:is>
      </x:c>
      <x:c r="D7" s="7" t="inlineStr">
        <x:is>
          <x:t xml:space="preserve">Predictive attention and phrase processing</x:t>
        </x:is>
      </x:c>
      <x:c r="E7" s="7" t="inlineStr">
        <x:is>
          <x:t xml:space="preserve">Test pre-cue vs sync-cue vs post-cue timing.</x:t>
        </x:is>
      </x:c>
      <x:c r="F7" s="2" t="n"/>
      <x:c r="G7" s="2" t="n"/>
      <x:c r="H7" s="2" t="n"/>
    </x:row>
    <x:row r="8">
      <x:c r="A8" s="5" t="inlineStr">
        <x:is>
          <x:t xml:space="preserve">F4</x:t>
        </x:is>
      </x:c>
      <x:c r="B8" s="6" t="inlineStr">
        <x:is>
          <x:t xml:space="preserve">Foveal-peripheral overlay architecture</x:t>
        </x:is>
      </x:c>
      <x:c r="C8" s="7" t="inlineStr">
        <x:is>
          <x:t xml:space="preserve">Detailed text belongs in foveal-safe zones; peripheral overlays should be icons, arrows or progress cues.</x:t>
        </x:is>
      </x:c>
      <x:c r="D8" s="7" t="inlineStr">
        <x:is>
          <x:t xml:space="preserve">Foveal/peripheral vision + crowding</x:t>
        </x:is>
      </x:c>
      <x:c r="E8" s="7" t="inlineStr">
        <x:is>
          <x:t xml:space="preserve">Separate readable text from peripheral navigational signals.</x:t>
        </x:is>
      </x:c>
      <x:c r="F8" s="2" t="n"/>
      <x:c r="G8" s="2" t="n"/>
      <x:c r="H8" s="2" t="n"/>
    </x:row>
    <x:row r="9">
      <x:c r="A9" s="5" t="inlineStr">
        <x:is>
          <x:t xml:space="preserve">F5</x:t>
        </x:is>
      </x:c>
      <x:c r="B9" s="6" t="inlineStr">
        <x:is>
          <x:t xml:space="preserve">Crowding-aware placement</x:t>
        </x:is>
      </x:c>
      <x:c r="C9" s="7" t="inlineStr">
        <x:is>
          <x:t xml:space="preserve">Clutter and UI interference may be the silent killer of caption performance.</x:t>
        </x:is>
      </x:c>
      <x:c r="D9" s="7" t="inlineStr">
        <x:is>
          <x:t xml:space="preserve">Visual crowding</x:t>
        </x:is>
      </x:c>
      <x:c r="E9" s="7" t="inlineStr">
        <x:is>
          <x:t xml:space="preserve">Score visual clutter and adapt text density/position.</x:t>
        </x:is>
      </x:c>
      <x:c r="F9" s="2" t="n"/>
      <x:c r="G9" s="2" t="n"/>
      <x:c r="H9" s="2" t="n"/>
    </x:row>
    <x:row r="10">
      <x:c r="A10" s="5" t="inlineStr">
        <x:is>
          <x:t xml:space="preserve">F6</x:t>
        </x:is>
      </x:c>
      <x:c r="B10" s="6" t="inlineStr">
        <x:is>
          <x:t xml:space="preserve">Mouth-safe / face-safe captioning</x:t>
        </x:is>
      </x:c>
      <x:c r="C10" s="7" t="inlineStr">
        <x:is>
          <x:t xml:space="preserve">Captions should not cover visual speech information or emotional facial regions.</x:t>
        </x:is>
      </x:c>
      <x:c r="D10" s="7" t="inlineStr">
        <x:is>
          <x:t xml:space="preserve">Audiovisual speech perception</x:t>
        </x:is>
      </x:c>
      <x:c r="E10" s="7" t="inlineStr">
        <x:is>
          <x:t xml:space="preserve">Protect mouth for speech, eyes for emotion, hands/object for demos.</x:t>
        </x:is>
      </x:c>
      <x:c r="F10" s="2" t="n"/>
      <x:c r="G10" s="2" t="n"/>
      <x:c r="H10" s="2" t="n"/>
    </x:row>
    <x:row r="11">
      <x:c r="A11" s="5" t="inlineStr">
        <x:is>
          <x:t xml:space="preserve">F7</x:t>
        </x:is>
      </x:c>
      <x:c r="B11" s="6" t="inlineStr">
        <x:is>
          <x:t xml:space="preserve">Visual-load adaptive density</x:t>
        </x:is>
      </x:c>
      <x:c r="C11" s="7" t="inlineStr">
        <x:is>
          <x:t xml:space="preserve">Overlay density should drop when the frame is visually complex.</x:t>
        </x:is>
      </x:c>
      <x:c r="D11" s="7" t="inlineStr">
        <x:is>
          <x:t xml:space="preserve">Redundancy + working memory + saliency</x:t>
        </x:is>
      </x:c>
      <x:c r="E11" s="7" t="inlineStr">
        <x:is>
          <x:t xml:space="preserve">Use 4–7 words for simple frames, 1–3 words for complex action.</x:t>
        </x:is>
      </x:c>
      <x:c r="F11" s="2" t="n"/>
      <x:c r="G11" s="2" t="n"/>
      <x:c r="H11" s="2" t="n"/>
    </x:row>
    <x:row r="12">
      <x:c r="A12" s="5" t="inlineStr">
        <x:is>
          <x:t xml:space="preserve">F8</x:t>
        </x:is>
      </x:c>
      <x:c r="B12" s="6" t="inlineStr">
        <x:is>
          <x:t xml:space="preserve">Micro-rest rhythm</x:t>
        </x:is>
      </x:c>
      <x:c r="C12" s="7" t="inlineStr">
        <x:is>
          <x:t xml:space="preserve">Continuous text can fatigue viewers and prevent return to the visual scene.</x:t>
        </x:is>
      </x:c>
      <x:c r="D12" s="7" t="inlineStr">
        <x:is>
          <x:t xml:space="preserve">Complexity pauses + screen fatigue</x:t>
        </x:is>
      </x:c>
      <x:c r="E12" s="7" t="inlineStr">
        <x:is>
          <x:t xml:space="preserve">Insert no-text gaps between semantic beats.</x:t>
        </x:is>
      </x:c>
      <x:c r="F12" s="2" t="n"/>
      <x:c r="G12" s="2" t="n"/>
      <x:c r="H12" s="2" t="n"/>
    </x:row>
    <x:row r="13">
      <x:c r="A13" s="5" t="inlineStr">
        <x:is>
          <x:t xml:space="preserve">F9</x:t>
        </x:is>
      </x:c>
      <x:c r="B13" s="6" t="inlineStr">
        <x:is>
          <x:t xml:space="preserve">Affective-semantic captions</x:t>
        </x:is>
      </x:c>
      <x:c r="C13" s="7" t="inlineStr">
        <x:is>
          <x:t xml:space="preserve">Tone and emotion can be encoded as a controlled second layer separate from semantic compression.</x:t>
        </x:is>
      </x:c>
      <x:c r="D13" s="7" t="inlineStr">
        <x:is>
          <x:t xml:space="preserve">Affective captions</x:t>
        </x:is>
      </x:c>
      <x:c r="E13" s="7" t="inlineStr">
        <x:is>
          <x:t xml:space="preserve">Use typography/prosody only when it communicates emotion or emphasis.</x:t>
        </x:is>
      </x:c>
      <x:c r="F13" s="2" t="n"/>
      <x:c r="G13" s="2" t="n"/>
      <x:c r="H13" s="2" t="n"/>
    </x:row>
    <x:row r="14">
      <x:c r="A14" s="5" t="inlineStr">
        <x:is>
          <x:t xml:space="preserve">F10</x:t>
        </x:is>
      </x:c>
      <x:c r="B14" s="6" t="inlineStr">
        <x:is>
          <x:t xml:space="preserve">Adaptive overlay personalization</x:t>
        </x:is>
      </x:c>
      <x:c r="C14" s="7" t="inlineStr">
        <x:is>
          <x:t xml:space="preserve">Overlay design should vary by viewer state and prior knowledge.</x:t>
        </x:is>
      </x:c>
      <x:c r="D14" s="7" t="inlineStr">
        <x:is>
          <x:t xml:space="preserve">User-adaptive visualization + perceptual span variation</x:t>
        </x:is>
      </x:c>
      <x:c r="E14" s="7" t="inlineStr">
        <x:is>
          <x:t xml:space="preserve">Test novice vs expert, L2 vs L1, muted vs audio-on variants.</x:t>
        </x:is>
      </x:c>
      <x:c r="F14" s="2" t="n"/>
      <x:c r="G14" s="2" t="n"/>
      <x:c r="H14" s="2" t="n"/>
    </x:row>
    <x:row r="15">
      <x:c r="A15" s="5" t="inlineStr">
        <x:is>
          <x:t xml:space="preserve">F11</x:t>
        </x:is>
      </x:c>
      <x:c r="B15" s="6" t="inlineStr">
        <x:is>
          <x:t xml:space="preserve">Saliency plus meaning placement</x:t>
        </x:is>
      </x:c>
      <x:c r="C15" s="7" t="inlineStr">
        <x:is>
          <x:t xml:space="preserve">Placement should integrate computer-vision saliency with semantic importance and safety zones.</x:t>
        </x:is>
      </x:c>
      <x:c r="D15" s="7" t="inlineStr">
        <x:is>
          <x:t xml:space="preserve">AViMoS/video saliency + meaning maps</x:t>
        </x:is>
      </x:c>
      <x:c r="E15" s="7" t="inlineStr">
        <x:is>
          <x:t xml:space="preserve">Prototype AI placement engine for vertical video.</x:t>
        </x:is>
      </x:c>
      <x:c r="F15" s="2" t="n"/>
      <x:c r="G15" s="2" t="n"/>
      <x:c r="H15" s="2" t="n"/>
    </x:row>
    <x:row r="16">
      <x:c r="A16" s="5" t="inlineStr">
        <x:is>
          <x:t xml:space="preserve">F12</x:t>
        </x:is>
      </x:c>
      <x:c r="B16" s="6" t="inlineStr">
        <x:is>
          <x:t xml:space="preserve">Ethical retention optimization</x:t>
        </x:is>
      </x:c>
      <x:c r="C16" s="7" t="inlineStr">
        <x:is>
          <x:t xml:space="preserve">Maximize comprehension and usefulness, not compulsive watch time.</x:t>
        </x:is>
      </x:c>
      <x:c r="D16" s="7" t="inlineStr">
        <x:is>
          <x:t xml:space="preserve">Short-form cognition/fatigue research</x:t>
        </x:is>
      </x:c>
      <x:c r="E16" s="7" t="inlineStr">
        <x:is>
          <x:t xml:space="preserve">Track saves/gist/action recall, not raw watch time only.</x:t>
        </x:is>
      </x:c>
      <x:c r="F16" s="2" t="n"/>
      <x:c r="G16" s="2" t="n"/>
      <x:c r="H16" s="2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9d16c0254e9442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58" customWidth="1"/>
    <x:col min="4" max="4" width="58" customWidth="1"/>
    <x:col min="5" max="5" width="58" customWidth="1"/>
    <x:col min="6" max="6" width="50" customWidth="1"/>
    <x:col min="7" max="7" width="36" customWidth="1"/>
    <x:col min="8" max="8" width="16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42" customWidth="1"/>
    <x:col min="14" max="14" width="14" customWidth="1"/>
    <x:col min="15" max="15" width="16" customWidth="1"/>
  </x:cols>
  <x:sheetData>
    <x:row r="1" ht="28" customHeight="1">
      <x:c r="A1" s="1" t="inlineStr">
        <x:is>
          <x:t xml:space="preserve">Hypothesis Backlog</x:t>
        </x:is>
      </x:c>
      <x:c r="I1" s="2" t="n"/>
      <x:c r="J1" s="2" t="n"/>
      <x:c r="K1" s="2" t="n"/>
      <x:c r="L1" s="2" t="n"/>
      <x:c r="M1" s="2" t="n"/>
      <x:c r="N1" s="2" t="n"/>
      <x:c r="O1" s="2" t="n"/>
    </x:row>
    <x:row r="2" ht="36" customHeight="1">
      <x:c r="A2" s="3" t="inlineStr">
        <x:is>
          <x:t xml:space="preserve">40 hypotheses generated from physiology, perception, cognitive science, captioning, accessibility and platform behavior research.</x:t>
        </x:is>
      </x:c>
      <x:c r="I2" s="2" t="n"/>
      <x:c r="J2" s="2" t="n"/>
      <x:c r="K2" s="2" t="n"/>
      <x:c r="L2" s="2" t="n"/>
      <x:c r="M2" s="2" t="n"/>
      <x:c r="N2" s="2" t="n"/>
      <x:c r="O2" s="2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</x:row>
    <x:row r="4">
      <x:c r="A4" s="4" t="inlineStr">
        <x:is>
          <x:t xml:space="preserve">ID</x:t>
        </x:is>
      </x:c>
      <x:c r="B4" s="4" t="inlineStr">
        <x:is>
          <x:t xml:space="preserve">Domain</x:t>
        </x:is>
      </x:c>
      <x:c r="C4" s="4" t="inlineStr">
        <x:is>
          <x:t xml:space="preserve">Hypothesis</x:t>
        </x:is>
      </x:c>
      <x:c r="D4" s="4" t="inlineStr">
        <x:is>
          <x:t xml:space="preserve">Mechanism</x:t>
        </x:is>
      </x:c>
      <x:c r="E4" s="4" t="inlineStr">
        <x:is>
          <x:t xml:space="preserve">Predicted outcome</x:t>
        </x:is>
      </x:c>
      <x:c r="F4" s="4" t="inlineStr">
        <x:is>
          <x:t xml:space="preserve">Test design</x:t>
        </x:is>
      </x:c>
      <x:c r="G4" s="4" t="inlineStr">
        <x:is>
          <x:t xml:space="preserve">Primary metrics</x:t>
        </x:is>
      </x:c>
      <x:c r="H4" s="4" t="inlineStr">
        <x:is>
          <x:t xml:space="preserve">Source IDs</x:t>
        </x:is>
      </x:c>
      <x:c r="I4" s="4" t="inlineStr">
        <x:is>
          <x:t xml:space="preserve">Evidence (1-5)</x:t>
        </x:is>
      </x:c>
      <x:c r="J4" s="4" t="inlineStr">
        <x:is>
          <x:t xml:space="preserve">Novelty (1-5)</x:t>
        </x:is>
      </x:c>
      <x:c r="K4" s="4" t="inlineStr">
        <x:is>
          <x:t xml:space="preserve">Feasibility (1-5)</x:t>
        </x:is>
      </x:c>
      <x:c r="L4" s="4" t="inlineStr">
        <x:is>
          <x:t xml:space="preserve">Impact (1-5)</x:t>
        </x:is>
      </x:c>
      <x:c r="M4" s="4" t="inlineStr">
        <x:is>
          <x:t xml:space="preserve">Risk / Caveat</x:t>
        </x:is>
      </x:c>
      <x:c r="N4" s="4" t="inlineStr">
        <x:is>
          <x:t xml:space="preserve">Priority Score</x:t>
        </x:is>
      </x:c>
      <x:c r="O4" s="4" t="inlineStr">
        <x:is>
          <x:t xml:space="preserve">Priority Tag</x:t>
        </x:is>
      </x:c>
    </x:row>
    <x:row r="5">
      <x:c r="A5" s="5" t="inlineStr">
        <x:is>
          <x:t xml:space="preserve">H01</x:t>
        </x:is>
      </x:c>
      <x:c r="B5" s="6" t="inlineStr">
        <x:is>
          <x:t xml:space="preserve">Core BCC</x:t>
        </x:is>
      </x:c>
      <x:c r="C5" s="7" t="inlineStr">
        <x:is>
          <x:t xml:space="preserve">Semantic compression alone will outperform full transcript overlays for gist recall in dense advice/explainer shorts.</x:t>
        </x:is>
      </x:c>
      <x:c r="D5" s="7" t="inlineStr">
        <x:is>
          <x:t xml:space="preserve">Lower word count reduces visual-channel load while preserving meaning.</x:t>
        </x:is>
      </x:c>
      <x:c r="E5" s="7" t="inlineStr">
        <x:is>
          <x:t xml:space="preserve">Higher gist recall and lower perceived effort; lower exact wording recall.</x:t>
        </x:is>
      </x:c>
      <x:c r="F5" s="7" t="inlineStr">
        <x:is>
          <x:t xml:space="preserve">Full transcript vs semantic compression across 12 clips.</x:t>
        </x:is>
      </x:c>
      <x:c r="G5" s="7" t="inlineStr">
        <x:is>
          <x:t xml:space="preserve">Gist recall, effort, completion, exact recall</x:t>
        </x:is>
      </x:c>
      <x:c r="H5" s="7" t="inlineStr">
        <x:is>
          <x:t xml:space="preserve">S1;S5;S6;S7</x:t>
        </x:is>
      </x:c>
      <x:c r="I5" s="9" t="n">
        <x:v>5</x:v>
      </x:c>
      <x:c r="J5" s="9" t="n">
        <x:v>3</x:v>
      </x:c>
      <x:c r="K5" s="9" t="n">
        <x:v>5</x:v>
      </x:c>
      <x:c r="L5" s="9" t="n">
        <x:v>5</x:v>
      </x:c>
      <x:c r="M5" s="7" t="inlineStr">
        <x:is>
          <x:t xml:space="preserve">Over-compression can remove nuance.</x:t>
        </x:is>
      </x:c>
      <x:c r="N5" s="8">
        <x:f>ROUND((I5*0.35)+(J5*0.15)+(K5*0.20)+(L5*0.30),2)</x:f>
        <x:v>4.7</x:v>
      </x:c>
      <x:c r="O5" s="10" t="inlineStr">
        <x:is>
          <x:t xml:space="preserve">Immediate</x:t>
        </x:is>
      </x:c>
    </x:row>
    <x:row r="6">
      <x:c r="A6" s="5" t="inlineStr">
        <x:is>
          <x:t xml:space="preserve">H02</x:t>
        </x:is>
      </x:c>
      <x:c r="B6" s="6" t="inlineStr">
        <x:is>
          <x:t xml:space="preserve">Core BCC</x:t>
        </x:is>
      </x:c>
      <x:c r="C6" s="7" t="inlineStr">
        <x:is>
          <x:t xml:space="preserve">BCC will outperform semantic compression alone only if partial anchors improve recall or orientation beyond clean compression.</x:t>
        </x:is>
      </x:c>
      <x:c r="D6" s="7" t="inlineStr">
        <x:is>
          <x:t xml:space="preserve">Bionic concept anchors act as sparse visual signals.</x:t>
        </x:is>
      </x:c>
      <x:c r="E6" s="7" t="inlineStr">
        <x:is>
          <x:t xml:space="preserve">Small gain in memory/subjective clarity; not necessarily speed.</x:t>
        </x:is>
      </x:c>
      <x:c r="F6" s="7" t="inlineStr">
        <x:is>
          <x:t xml:space="preserve">Semantic compression vs BCC.</x:t>
        </x:is>
      </x:c>
      <x:c r="G6" s="7" t="inlineStr">
        <x:is>
          <x:t xml:space="preserve">Gist recall, action recall, preference, eye dwell</x:t>
        </x:is>
      </x:c>
      <x:c r="H6" s="7" t="inlineStr">
        <x:is>
          <x:t xml:space="preserve">S8;S16;S17</x:t>
        </x:is>
      </x:c>
      <x:c r="I6" s="9" t="n">
        <x:v>3</x:v>
      </x:c>
      <x:c r="J6" s="9" t="n">
        <x:v>4</x:v>
      </x:c>
      <x:c r="K6" s="9" t="n">
        <x:v>5</x:v>
      </x:c>
      <x:c r="L6" s="9" t="n">
        <x:v>4</x:v>
      </x:c>
      <x:c r="M6" s="7" t="inlineStr">
        <x:is>
          <x:t xml:space="preserve">Bionic effect may be zero or negative.</x:t>
        </x:is>
      </x:c>
      <x:c r="N6" s="8">
        <x:f>ROUND((I6*0.35)+(J6*0.15)+(K6*0.20)+(L6*0.30),2)</x:f>
        <x:v>3.85</x:v>
      </x:c>
      <x:c r="O6" s="10" t="inlineStr">
        <x:is>
          <x:t xml:space="preserve">Immediate</x:t>
        </x:is>
      </x:c>
    </x:row>
    <x:row r="7">
      <x:c r="A7" s="5" t="inlineStr">
        <x:is>
          <x:t xml:space="preserve">H03</x:t>
        </x:is>
      </x:c>
      <x:c r="B7" s="6" t="inlineStr">
        <x:is>
          <x:t xml:space="preserve">Core BCC</x:t>
        </x:is>
      </x:c>
      <x:c r="C7" s="7" t="inlineStr">
        <x:is>
          <x:t xml:space="preserve">Heavy bionic formatting will underperform sparse BCC.</x:t>
        </x:is>
      </x:c>
      <x:c r="D7" s="7" t="inlineStr">
        <x:is>
          <x:t xml:space="preserve">Dense visual emphasis increases saccades and visual noise.</x:t>
        </x:is>
      </x:c>
      <x:c r="E7" s="7" t="inlineStr">
        <x:is>
          <x:t xml:space="preserve">Lower preference and higher effort for heavy bionic.</x:t>
        </x:is>
      </x:c>
      <x:c r="F7" s="7" t="inlineStr">
        <x:is>
          <x:t xml:space="preserve">BCC vs heavy bionic.</x:t>
        </x:is>
      </x:c>
      <x:c r="G7" s="7" t="inlineStr">
        <x:is>
          <x:t xml:space="preserve">Effort, fixation count, completion, preference</x:t>
        </x:is>
      </x:c>
      <x:c r="H7" s="7" t="inlineStr">
        <x:is>
          <x:t xml:space="preserve">S16;S17;S13</x:t>
        </x:is>
      </x:c>
      <x:c r="I7" s="9" t="n">
        <x:v>4</x:v>
      </x:c>
      <x:c r="J7" s="9" t="n">
        <x:v>2</x:v>
      </x:c>
      <x:c r="K7" s="9" t="n">
        <x:v>5</x:v>
      </x:c>
      <x:c r="L7" s="9" t="n">
        <x:v>4</x:v>
      </x:c>
      <x:c r="M7" s="7" t="inlineStr">
        <x:is>
          <x:t xml:space="preserve">Some users may subjectively prefer heavy styling.</x:t>
        </x:is>
      </x:c>
      <x:c r="N7" s="8">
        <x:f>ROUND((I7*0.35)+(J7*0.15)+(K7*0.20)+(L7*0.30),2)</x:f>
        <x:v>3.9</x:v>
      </x:c>
      <x:c r="O7" s="10" t="inlineStr">
        <x:is>
          <x:t xml:space="preserve">Immediate</x:t>
        </x:is>
      </x:c>
    </x:row>
    <x:row r="8">
      <x:c r="A8" s="5" t="inlineStr">
        <x:is>
          <x:t xml:space="preserve">H04</x:t>
        </x:is>
      </x:c>
      <x:c r="B8" s="6" t="inlineStr">
        <x:is>
          <x:t xml:space="preserve">Language structure</x:t>
        </x:is>
      </x:c>
      <x:c r="C8" s="7" t="inlineStr">
        <x:is>
          <x:t xml:space="preserve">Operator-first captions improve contrast recall over keyword-only captions.</x:t>
        </x:is>
      </x:c>
      <x:c r="D8" s="7" t="inlineStr">
        <x:is>
          <x:t xml:space="preserve">Logic words reveal the relationship before concept words are processed.</x:t>
        </x:is>
      </x:c>
      <x:c r="E8" s="7" t="inlineStr">
        <x:is>
          <x:t xml:space="preserve">Better recall of false belief/correction pairs.</x:t>
        </x:is>
      </x:c>
      <x:c r="F8" s="7" t="inlineStr">
        <x:is>
          <x:t xml:space="preserve">Keyword highlight vs Not-X/Y operator-first captions.</x:t>
        </x:is>
      </x:c>
      <x:c r="G8" s="7" t="inlineStr">
        <x:is>
          <x:t xml:space="preserve">Contrast recall, gist recall</x:t>
        </x:is>
      </x:c>
      <x:c r="H8" s="7" t="inlineStr">
        <x:is>
          <x:t xml:space="preserve">S4;S9</x:t>
        </x:is>
      </x:c>
      <x:c r="I8" s="9" t="n">
        <x:v>3</x:v>
      </x:c>
      <x:c r="J8" s="9" t="n">
        <x:v>4</x:v>
      </x:c>
      <x:c r="K8" s="9" t="n">
        <x:v>5</x:v>
      </x:c>
      <x:c r="L8" s="9" t="n">
        <x:v>4</x:v>
      </x:c>
      <x:c r="M8" s="7" t="inlineStr">
        <x:is>
          <x:t xml:space="preserve">May feel too punchy for nuanced content.</x:t>
        </x:is>
      </x:c>
      <x:c r="N8" s="8">
        <x:f>ROUND((I8*0.35)+(J8*0.15)+(K8*0.20)+(L8*0.30),2)</x:f>
        <x:v>3.85</x:v>
      </x:c>
      <x:c r="O8" s="11" t="inlineStr">
        <x:is>
          <x:t xml:space="preserve">High</x:t>
        </x:is>
      </x:c>
    </x:row>
    <x:row r="9">
      <x:c r="A9" s="5" t="inlineStr">
        <x:is>
          <x:t xml:space="preserve">H05</x:t>
        </x:is>
      </x:c>
      <x:c r="B9" s="6" t="inlineStr">
        <x:is>
          <x:t xml:space="preserve">Language structure</x:t>
        </x:is>
      </x:c>
      <x:c r="C9" s="7" t="inlineStr">
        <x:is>
          <x:t xml:space="preserve">SVO or relation-preserving microphrases outperform isolated keyword lists.</x:t>
        </x:is>
      </x:c>
      <x:c r="D9" s="7" t="inlineStr">
        <x:is>
          <x:t xml:space="preserve">Basic phrase structure is detected rapidly and supports meaning extraction.</x:t>
        </x:is>
      </x:c>
      <x:c r="E9" s="7" t="inlineStr">
        <x:is>
          <x:t xml:space="preserve">Better gist/action recall than keyword-only overlays.</x:t>
        </x:is>
      </x:c>
      <x:c r="F9" s="7" t="inlineStr">
        <x:is>
          <x:t xml:space="preserve">SVO phrase vs noun-list vs keyword-only.</x:t>
        </x:is>
      </x:c>
      <x:c r="G9" s="7" t="inlineStr">
        <x:is>
          <x:t xml:space="preserve">Gist recall, action recall, perceived clarity</x:t>
        </x:is>
      </x:c>
      <x:c r="H9" s="7" t="inlineStr">
        <x:is>
          <x:t xml:space="preserve">S9;S12</x:t>
        </x:is>
      </x:c>
      <x:c r="I9" s="9" t="n">
        <x:v>4</x:v>
      </x:c>
      <x:c r="J9" s="9" t="n">
        <x:v>5</x:v>
      </x:c>
      <x:c r="K9" s="9" t="n">
        <x:v>4</x:v>
      </x:c>
      <x:c r="L9" s="9" t="n">
        <x:v>4</x:v>
      </x:c>
      <x:c r="M9" s="7" t="inlineStr">
        <x:is>
          <x:t xml:space="preserve">Phrases need enough time on screen.</x:t>
        </x:is>
      </x:c>
      <x:c r="N9" s="8">
        <x:f>ROUND((I9*0.35)+(J9*0.15)+(K9*0.20)+(L9*0.30),2)</x:f>
        <x:v>4.15</x:v>
      </x:c>
      <x:c r="O9" s="11" t="inlineStr">
        <x:is>
          <x:t xml:space="preserve">High</x:t>
        </x:is>
      </x:c>
    </x:row>
    <x:row r="10">
      <x:c r="A10" s="5" t="inlineStr">
        <x:is>
          <x:t xml:space="preserve">H06</x:t>
        </x:is>
      </x:c>
      <x:c r="B10" s="6" t="inlineStr">
        <x:is>
          <x:t xml:space="preserve">Prediction timing</x:t>
        </x:is>
      </x:c>
      <x:c r="C10" s="7" t="inlineStr">
        <x:is>
          <x:t xml:space="preserve">Pre-cueing a semantic beat 200–400 ms before speech improves comprehension vs post-cueing.</x:t>
        </x:is>
      </x:c>
      <x:c r="D10" s="7" t="inlineStr">
        <x:is>
          <x:t xml:space="preserve">Predictive semantic priming reduces inference load.</x:t>
        </x:is>
      </x:c>
      <x:c r="E10" s="7" t="inlineStr">
        <x:is>
          <x:t xml:space="preserve">Higher immediate gist, lower confusion, possibly better retention.</x:t>
        </x:is>
      </x:c>
      <x:c r="F10" s="7" t="inlineStr">
        <x:is>
          <x:t xml:space="preserve">Pre-cue vs sync vs post-cue.</x:t>
        </x:is>
      </x:c>
      <x:c r="G10" s="7" t="inlineStr">
        <x:is>
          <x:t xml:space="preserve">Gist recall, effort, timing preference</x:t>
        </x:is>
      </x:c>
      <x:c r="H10" s="7" t="inlineStr">
        <x:is>
          <x:t xml:space="preserve">S23;S9;S1</x:t>
        </x:is>
      </x:c>
      <x:c r="I10" s="9" t="n">
        <x:v>3</x:v>
      </x:c>
      <x:c r="J10" s="9" t="n">
        <x:v>5</x:v>
      </x:c>
      <x:c r="K10" s="9" t="n">
        <x:v>4</x:v>
      </x:c>
      <x:c r="L10" s="9" t="n">
        <x:v>4</x:v>
      </x:c>
      <x:c r="M10" s="7" t="inlineStr">
        <x:is>
          <x:t xml:space="preserve">Early text may feel spoiler-like or mismatched.</x:t>
        </x:is>
      </x:c>
      <x:c r="N10" s="8">
        <x:f>ROUND((I10*0.35)+(J10*0.15)+(K10*0.20)+(L10*0.30),2)</x:f>
        <x:v>3.8</x:v>
      </x:c>
      <x:c r="O10" s="11" t="inlineStr">
        <x:is>
          <x:t xml:space="preserve">High</x:t>
        </x:is>
      </x:c>
    </x:row>
    <x:row r="11">
      <x:c r="A11" s="5" t="inlineStr">
        <x:is>
          <x:t xml:space="preserve">H07</x:t>
        </x:is>
      </x:c>
      <x:c r="B11" s="6" t="inlineStr">
        <x:is>
          <x:t xml:space="preserve">Prediction timing</x:t>
        </x:is>
      </x:c>
      <x:c r="C11" s="7" t="inlineStr">
        <x:is>
          <x:t xml:space="preserve">Text that lands on visual cuts improves orientation but may increase split attention if cuts are already salient.</x:t>
        </x:is>
      </x:c>
      <x:c r="D11" s="7" t="inlineStr">
        <x:is>
          <x:t xml:space="preserve">Temporal alignment with edit points creates rhythm; too much change competes for gaze.</x:t>
        </x:is>
      </x:c>
      <x:c r="E11" s="7" t="inlineStr">
        <x:is>
          <x:t xml:space="preserve">Best for simple talking-head clips, worse for complex demos.</x:t>
        </x:is>
      </x:c>
      <x:c r="F11" s="7" t="inlineStr">
        <x:is>
          <x:t xml:space="preserve">Cut-synced vs speech-synced captions by content type.</x:t>
        </x:is>
      </x:c>
      <x:c r="G11" s="7" t="inlineStr">
        <x:is>
          <x:t xml:space="preserve">Completion, effort, visual recall</x:t>
        </x:is>
      </x:c>
      <x:c r="H11" s="7" t="inlineStr">
        <x:is>
          <x:t xml:space="preserve">S18;S3</x:t>
        </x:is>
      </x:c>
      <x:c r="I11" s="9" t="n">
        <x:v>3</x:v>
      </x:c>
      <x:c r="J11" s="9" t="n">
        <x:v>4</x:v>
      </x:c>
      <x:c r="K11" s="9" t="n">
        <x:v>4</x:v>
      </x:c>
      <x:c r="L11" s="9" t="n">
        <x:v>3</x:v>
      </x:c>
      <x:c r="M11" s="7" t="inlineStr">
        <x:is>
          <x:t xml:space="preserve">Dependent on editing style.</x:t>
        </x:is>
      </x:c>
      <x:c r="N11" s="8">
        <x:f>ROUND((I11*0.35)+(J11*0.15)+(K11*0.20)+(L11*0.30),2)</x:f>
        <x:v>3.35</x:v>
      </x:c>
      <x:c r="O11" s="12" t="inlineStr">
        <x:is>
          <x:t xml:space="preserve">Medium</x:t>
        </x:is>
      </x:c>
    </x:row>
    <x:row r="12">
      <x:c r="A12" s="5" t="inlineStr">
        <x:is>
          <x:t xml:space="preserve">H08</x:t>
        </x:is>
      </x:c>
      <x:c r="B12" s="6" t="inlineStr">
        <x:is>
          <x:t xml:space="preserve">Placement</x:t>
        </x:is>
      </x:c>
      <x:c r="C12" s="7" t="inlineStr">
        <x:is>
          <x:t xml:space="preserve">Gaze-safe placement outperforms fixed bottom captions for visual recall and perceived ease in vertical video.</x:t>
        </x:is>
      </x:c>
      <x:c r="D12" s="7" t="inlineStr">
        <x:is>
          <x:t xml:space="preserve">Text closer to relevant content reduces saccades and avoids UI/crowding.</x:t>
        </x:is>
      </x:c>
      <x:c r="E12" s="7" t="inlineStr">
        <x:is>
          <x:t xml:space="preserve">Higher visual recall and lower effort without hurting gist.</x:t>
        </x:is>
      </x:c>
      <x:c r="F12" s="7" t="inlineStr">
        <x:is>
          <x:t xml:space="preserve">Bottom-fixed vs gaze-safe placement.</x:t>
        </x:is>
      </x:c>
      <x:c r="G12" s="7" t="inlineStr">
        <x:is>
          <x:t xml:space="preserve">Visual recall, saccades, effort</x:t>
        </x:is>
      </x:c>
      <x:c r="H12" s="7" t="inlineStr">
        <x:is>
          <x:t xml:space="preserve">S3;S13;S21</x:t>
        </x:is>
      </x:c>
      <x:c r="I12" s="9" t="n">
        <x:v>4</x:v>
      </x:c>
      <x:c r="J12" s="9" t="n">
        <x:v>4</x:v>
      </x:c>
      <x:c r="K12" s="9" t="n">
        <x:v>4</x:v>
      </x:c>
      <x:c r="L12" s="9" t="n">
        <x:v>5</x:v>
      </x:c>
      <x:c r="M12" s="7" t="inlineStr">
        <x:is>
          <x:t xml:space="preserve">Dynamic placement can distract if it jumps.</x:t>
        </x:is>
      </x:c>
      <x:c r="N12" s="8">
        <x:f>ROUND((I12*0.35)+(J12*0.15)+(K12*0.20)+(L12*0.30),2)</x:f>
        <x:v>4.3</x:v>
      </x:c>
      <x:c r="O12" s="10" t="inlineStr">
        <x:is>
          <x:t xml:space="preserve">Immediate</x:t>
        </x:is>
      </x:c>
    </x:row>
    <x:row r="13">
      <x:c r="A13" s="5" t="inlineStr">
        <x:is>
          <x:t xml:space="preserve">H09</x:t>
        </x:is>
      </x:c>
      <x:c r="B13" s="6" t="inlineStr">
        <x:is>
          <x:t xml:space="preserve">Placement</x:t>
        </x:is>
      </x:c>
      <x:c r="C13" s="7" t="inlineStr">
        <x:is>
          <x:t xml:space="preserve">Mouth-safe captions improve audio-on comprehension when speech is noisy or fast.</x:t>
        </x:is>
      </x:c>
      <x:c r="D13" s="7" t="inlineStr">
        <x:is>
          <x:t xml:space="preserve">Visible articulation supports speech perception.</x:t>
        </x:is>
      </x:c>
      <x:c r="E13" s="7" t="inlineStr">
        <x:is>
          <x:t xml:space="preserve">Higher comprehension and less effort in noisy/low-volume audio.</x:t>
        </x:is>
      </x:c>
      <x:c r="F13" s="7" t="inlineStr">
        <x:is>
          <x:t xml:space="preserve">Mouth-covered vs mouth-safe overlay.</x:t>
        </x:is>
      </x:c>
      <x:c r="G13" s="7" t="inlineStr">
        <x:is>
          <x:t xml:space="preserve">Speech comprehension, effort, face dwell</x:t>
        </x:is>
      </x:c>
      <x:c r="H13" s="7" t="inlineStr">
        <x:is>
          <x:t xml:space="preserve">S14;S1</x:t>
        </x:is>
      </x:c>
      <x:c r="I13" s="9" t="n">
        <x:v>5</x:v>
      </x:c>
      <x:c r="J13" s="9" t="n">
        <x:v>3</x:v>
      </x:c>
      <x:c r="K13" s="9" t="n">
        <x:v>4</x:v>
      </x:c>
      <x:c r="L13" s="9" t="n">
        <x:v>4</x:v>
      </x:c>
      <x:c r="M13" s="7" t="inlineStr">
        <x:is>
          <x:t xml:space="preserve">Face-safe zones may conflict with available clean background.</x:t>
        </x:is>
      </x:c>
      <x:c r="N13" s="8">
        <x:f>ROUND((I13*0.35)+(J13*0.15)+(K13*0.20)+(L13*0.30),2)</x:f>
        <x:v>4.2</x:v>
      </x:c>
      <x:c r="O13" s="11" t="inlineStr">
        <x:is>
          <x:t xml:space="preserve">High</x:t>
        </x:is>
      </x:c>
    </x:row>
    <x:row r="14">
      <x:c r="A14" s="5" t="inlineStr">
        <x:is>
          <x:t xml:space="preserve">H10</x:t>
        </x:is>
      </x:c>
      <x:c r="B14" s="6" t="inlineStr">
        <x:is>
          <x:t xml:space="preserve">Placement</x:t>
        </x:is>
      </x:c>
      <x:c r="C14" s="7" t="inlineStr">
        <x:is>
          <x:t xml:space="preserve">Object-near labels outperform central captions during demonstrations.</x:t>
        </x:is>
      </x:c>
      <x:c r="D14" s="7" t="inlineStr">
        <x:is>
          <x:t xml:space="preserve">Spatial contiguity reduces search cost between instruction and object/action.</x:t>
        </x:is>
      </x:c>
      <x:c r="E14" s="7" t="inlineStr">
        <x:is>
          <x:t xml:space="preserve">Better action recall and task understanding.</x:t>
        </x:is>
      </x:c>
      <x:c r="F14" s="7" t="inlineStr">
        <x:is>
          <x:t xml:space="preserve">Central BCC vs object-near labels in tutorial clips.</x:t>
        </x:is>
      </x:c>
      <x:c r="G14" s="7" t="inlineStr">
        <x:is>
          <x:t xml:space="preserve">Action recall, visual recall</x:t>
        </x:is>
      </x:c>
      <x:c r="H14" s="7" t="inlineStr">
        <x:is>
          <x:t xml:space="preserve">S5;S3;S13</x:t>
        </x:is>
      </x:c>
      <x:c r="I14" s="9" t="n">
        <x:v>4</x:v>
      </x:c>
      <x:c r="J14" s="9" t="n">
        <x:v>4</x:v>
      </x:c>
      <x:c r="K14" s="9" t="n">
        <x:v>4</x:v>
      </x:c>
      <x:c r="L14" s="9" t="n">
        <x:v>4</x:v>
      </x:c>
      <x:c r="M14" s="7" t="inlineStr">
        <x:is>
          <x:t xml:space="preserve">Object tracking must be robust.</x:t>
        </x:is>
      </x:c>
      <x:c r="N14" s="8">
        <x:f>ROUND((I14*0.35)+(J14*0.15)+(K14*0.20)+(L14*0.30),2)</x:f>
        <x:v>4</x:v>
      </x:c>
      <x:c r="O14" s="11" t="inlineStr">
        <x:is>
          <x:t xml:space="preserve">High</x:t>
        </x:is>
      </x:c>
    </x:row>
    <x:row r="15">
      <x:c r="A15" s="5" t="inlineStr">
        <x:is>
          <x:t xml:space="preserve">H11</x:t>
        </x:is>
      </x:c>
      <x:c r="B15" s="6" t="inlineStr">
        <x:is>
          <x:t xml:space="preserve">Visual load</x:t>
        </x:is>
      </x:c>
      <x:c r="C15" s="7" t="inlineStr">
        <x:is>
          <x:t xml:space="preserve">Visual-load adaptive captions outperform fixed-density captions.</x:t>
        </x:is>
      </x:c>
      <x:c r="D15" s="7" t="inlineStr">
        <x:is>
          <x:t xml:space="preserve">Text density should match frame complexity and working-memory demand.</x:t>
        </x:is>
      </x:c>
      <x:c r="E15" s="7" t="inlineStr">
        <x:is>
          <x:t xml:space="preserve">Better visual recall and lower perceived effort.</x:t>
        </x:is>
      </x:c>
      <x:c r="F15" s="7" t="inlineStr">
        <x:is>
          <x:t xml:space="preserve">Fixed 5-word caption vs adaptive 1–7 word density.</x:t>
        </x:is>
      </x:c>
      <x:c r="G15" s="7" t="inlineStr">
        <x:is>
          <x:t xml:space="preserve">Effort, visual recall, completion</x:t>
        </x:is>
      </x:c>
      <x:c r="H15" s="7" t="inlineStr">
        <x:is>
          <x:t xml:space="preserve">S5;S12;S13</x:t>
        </x:is>
      </x:c>
      <x:c r="I15" s="9" t="n">
        <x:v>5</x:v>
      </x:c>
      <x:c r="J15" s="9" t="n">
        <x:v>5</x:v>
      </x:c>
      <x:c r="K15" s="9" t="n">
        <x:v>4</x:v>
      </x:c>
      <x:c r="L15" s="9" t="n">
        <x:v>5</x:v>
      </x:c>
      <x:c r="M15" s="7" t="inlineStr">
        <x:is>
          <x:t xml:space="preserve">Manual scoring needed before automation.</x:t>
        </x:is>
      </x:c>
      <x:c r="N15" s="8">
        <x:f>ROUND((I15*0.35)+(J15*0.15)+(K15*0.20)+(L15*0.30),2)</x:f>
        <x:v>4.8</x:v>
      </x:c>
      <x:c r="O15" s="10" t="inlineStr">
        <x:is>
          <x:t xml:space="preserve">Immediate</x:t>
        </x:is>
      </x:c>
    </x:row>
    <x:row r="16">
      <x:c r="A16" s="5" t="inlineStr">
        <x:is>
          <x:t xml:space="preserve">H12</x:t>
        </x:is>
      </x:c>
      <x:c r="B16" s="6" t="inlineStr">
        <x:is>
          <x:t xml:space="preserve">Visual load</x:t>
        </x:is>
      </x:c>
      <x:c r="C16" s="7" t="inlineStr">
        <x:is>
          <x:t xml:space="preserve">Crowding-aware outlines/background boxes improve legibility in busy frames but reduce aesthetic preference if overused.</x:t>
        </x:is>
      </x:c>
      <x:c r="D16" s="7" t="inlineStr">
        <x:is>
          <x:t xml:space="preserve">Contrast and separation reduce crowding but add visual mass.</x:t>
        </x:is>
      </x:c>
      <x:c r="E16" s="7" t="inlineStr">
        <x:is>
          <x:t xml:space="preserve">Improved comprehension in busy scenes; mixed preference.</x:t>
        </x:is>
      </x:c>
      <x:c r="F16" s="7" t="inlineStr">
        <x:is>
          <x:t xml:space="preserve">Transparent text vs box/outline by background complexity.</x:t>
        </x:is>
      </x:c>
      <x:c r="G16" s="7" t="inlineStr">
        <x:is>
          <x:t xml:space="preserve">Readability, preference, effort</x:t>
        </x:is>
      </x:c>
      <x:c r="H16" s="7" t="inlineStr">
        <x:is>
          <x:t xml:space="preserve">S13;S15</x:t>
        </x:is>
      </x:c>
      <x:c r="I16" s="9" t="n">
        <x:v>4</x:v>
      </x:c>
      <x:c r="J16" s="9" t="n">
        <x:v>3</x:v>
      </x:c>
      <x:c r="K16" s="9" t="n">
        <x:v>5</x:v>
      </x:c>
      <x:c r="L16" s="9" t="n">
        <x:v>3</x:v>
      </x:c>
      <x:c r="M16" s="7" t="inlineStr">
        <x:is>
          <x:t xml:space="preserve">Boxes can cover important visuals.</x:t>
        </x:is>
      </x:c>
      <x:c r="N16" s="8">
        <x:f>ROUND((I16*0.35)+(J16*0.15)+(K16*0.20)+(L16*0.30),2)</x:f>
        <x:v>3.75</x:v>
      </x:c>
      <x:c r="O16" s="12" t="inlineStr">
        <x:is>
          <x:t xml:space="preserve">Medium</x:t>
        </x:is>
      </x:c>
    </x:row>
    <x:row r="17">
      <x:c r="A17" s="5" t="inlineStr">
        <x:is>
          <x:t xml:space="preserve">H13</x:t>
        </x:is>
      </x:c>
      <x:c r="B17" s="6" t="inlineStr">
        <x:is>
          <x:t xml:space="preserve">Foveal/peripheral</x:t>
        </x:is>
      </x:c>
      <x:c r="C17" s="7" t="inlineStr">
        <x:is>
          <x:t xml:space="preserve">Peripheral text should be replaced by icons/arrows/progress cues for better comprehension.</x:t>
        </x:is>
      </x:c>
      <x:c r="D17" s="7" t="inlineStr">
        <x:is>
          <x:t xml:space="preserve">Peripheral vision handles guidance better than fine reading.</x:t>
        </x:is>
      </x:c>
      <x:c r="E17" s="7" t="inlineStr">
        <x:is>
          <x:t xml:space="preserve">Higher visual recall and lower effort when peripheral info is symbolic.</x:t>
        </x:is>
      </x:c>
      <x:c r="F17" s="7" t="inlineStr">
        <x:is>
          <x:t xml:space="preserve">Peripheral text vs peripheral icon cue.</x:t>
        </x:is>
      </x:c>
      <x:c r="G17" s="7" t="inlineStr">
        <x:is>
          <x:t xml:space="preserve">Visual recall, cue detection, effort</x:t>
        </x:is>
      </x:c>
      <x:c r="H17" s="7" t="inlineStr">
        <x:is>
          <x:t xml:space="preserve">S10;S13</x:t>
        </x:is>
      </x:c>
      <x:c r="I17" s="9" t="n">
        <x:v>5</x:v>
      </x:c>
      <x:c r="J17" s="9" t="n">
        <x:v>5</x:v>
      </x:c>
      <x:c r="K17" s="9" t="n">
        <x:v>4</x:v>
      </x:c>
      <x:c r="L17" s="9" t="n">
        <x:v>4</x:v>
      </x:c>
      <x:c r="M17" s="7" t="inlineStr">
        <x:is>
          <x:t xml:space="preserve">Icons may be ambiguous.</x:t>
        </x:is>
      </x:c>
      <x:c r="N17" s="8">
        <x:f>ROUND((I17*0.35)+(J17*0.15)+(K17*0.20)+(L17*0.30),2)</x:f>
        <x:v>4.5</x:v>
      </x:c>
      <x:c r="O17" s="11" t="inlineStr">
        <x:is>
          <x:t xml:space="preserve">High</x:t>
        </x:is>
      </x:c>
    </x:row>
    <x:row r="18">
      <x:c r="A18" s="5" t="inlineStr">
        <x:is>
          <x:t xml:space="preserve">H14</x:t>
        </x:is>
      </x:c>
      <x:c r="B18" s="6" t="inlineStr">
        <x:is>
          <x:t xml:space="preserve">Foveal/peripheral</x:t>
        </x:is>
      </x:c>
      <x:c r="C18" s="7" t="inlineStr">
        <x:is>
          <x:t xml:space="preserve">Detailed text placed near the expected fixation path beats text placed at platform-safe but semantically unrelated locations.</x:t>
        </x:is>
      </x:c>
      <x:c r="D18" s="7" t="inlineStr">
        <x:is>
          <x:t xml:space="preserve">Foveal sampling determines readable text; meaning regions guide gaze.</x:t>
        </x:is>
      </x:c>
      <x:c r="E18" s="7" t="inlineStr">
        <x:is>
          <x:t xml:space="preserve">Higher caption completion and lower saccade cost.</x:t>
        </x:is>
      </x:c>
      <x:c r="F18" s="7" t="inlineStr">
        <x:is>
          <x:t xml:space="preserve">Near-gaze vs unrelated safe-zone captions.</x:t>
        </x:is>
      </x:c>
      <x:c r="G18" s="7" t="inlineStr">
        <x:is>
          <x:t xml:space="preserve">Eye dwell, saccades, recall</x:t>
        </x:is>
      </x:c>
      <x:c r="H18" s="7" t="inlineStr">
        <x:is>
          <x:t xml:space="preserve">S4;S10;S21</x:t>
        </x:is>
      </x:c>
      <x:c r="I18" s="9" t="n">
        <x:v>5</x:v>
      </x:c>
      <x:c r="J18" s="9" t="n">
        <x:v>4</x:v>
      </x:c>
      <x:c r="K18" s="9" t="n">
        <x:v>3</x:v>
      </x:c>
      <x:c r="L18" s="9" t="n">
        <x:v>4</x:v>
      </x:c>
      <x:c r="M18" s="7" t="inlineStr">
        <x:is>
          <x:t xml:space="preserve">Need eye tracking or proxy saliency.</x:t>
        </x:is>
      </x:c>
      <x:c r="N18" s="8">
        <x:f>ROUND((I18*0.35)+(J18*0.15)+(K18*0.20)+(L18*0.30),2)</x:f>
        <x:v>4.15</x:v>
      </x:c>
      <x:c r="O18" s="12" t="inlineStr">
        <x:is>
          <x:t xml:space="preserve">Medium</x:t>
        </x:is>
      </x:c>
    </x:row>
    <x:row r="19">
      <x:c r="A19" s="5" t="inlineStr">
        <x:is>
          <x:t xml:space="preserve">H15</x:t>
        </x:is>
      </x:c>
      <x:c r="B19" s="6" t="inlineStr">
        <x:is>
          <x:t xml:space="preserve">Memory</x:t>
        </x:is>
      </x:c>
      <x:c r="C19" s="7" t="inlineStr">
        <x:is>
          <x:t xml:space="preserve">Memory-object captions improve delayed recall over ordinary semantic captions.</x:t>
        </x:is>
      </x:c>
      <x:c r="D19" s="7" t="inlineStr">
        <x:is>
          <x:t xml:space="preserve">Rhythmic/contrastive phrasing produces compact retrieval cues.</x:t>
        </x:is>
      </x:c>
      <x:c r="E19" s="7" t="inlineStr">
        <x:is>
          <x:t xml:space="preserve">Higher 24-hour recall and share/save intent.</x:t>
        </x:is>
      </x:c>
      <x:c r="F19" s="7" t="inlineStr">
        <x:is>
          <x:t xml:space="preserve">Plain compressed caption vs memory-object version.</x:t>
        </x:is>
      </x:c>
      <x:c r="G19" s="7" t="inlineStr">
        <x:is>
          <x:t xml:space="preserve">Delayed recall, saves, shares</x:t>
        </x:is>
      </x:c>
      <x:c r="H19" s="7" t="inlineStr">
        <x:is>
          <x:t xml:space="preserve">S4;S12</x:t>
        </x:is>
      </x:c>
      <x:c r="I19" s="9" t="n">
        <x:v>3</x:v>
      </x:c>
      <x:c r="J19" s="9" t="n">
        <x:v>5</x:v>
      </x:c>
      <x:c r="K19" s="9" t="n">
        <x:v>5</x:v>
      </x:c>
      <x:c r="L19" s="9" t="n">
        <x:v>4</x:v>
      </x:c>
      <x:c r="M19" s="7" t="inlineStr">
        <x:is>
          <x:t xml:space="preserve">May sound slogan-like or reduce nuance.</x:t>
        </x:is>
      </x:c>
      <x:c r="N19" s="8">
        <x:f>ROUND((I19*0.35)+(J19*0.15)+(K19*0.20)+(L19*0.30),2)</x:f>
        <x:v>4</x:v>
      </x:c>
      <x:c r="O19" s="11" t="inlineStr">
        <x:is>
          <x:t xml:space="preserve">High</x:t>
        </x:is>
      </x:c>
    </x:row>
    <x:row r="20">
      <x:c r="A20" s="5" t="inlineStr">
        <x:is>
          <x:t xml:space="preserve">H16</x:t>
        </x:is>
      </x:c>
      <x:c r="B20" s="6" t="inlineStr">
        <x:is>
          <x:t xml:space="preserve">Memory</x:t>
        </x:is>
      </x:c>
      <x:c r="C20" s="7" t="inlineStr">
        <x:is>
          <x:t xml:space="preserve">Three-beat structures outperform unstructured captions for teaching clips under 45 seconds.</x:t>
        </x:is>
      </x:c>
      <x:c r="D20" s="7" t="inlineStr">
        <x:is>
          <x:t xml:space="preserve">Segmenting reduces working-memory load and supports schema formation.</x:t>
        </x:is>
      </x:c>
      <x:c r="E20" s="7" t="inlineStr">
        <x:is>
          <x:t xml:space="preserve">Better sequence/action recall.</x:t>
        </x:is>
      </x:c>
      <x:c r="F20" s="7" t="inlineStr">
        <x:is>
          <x:t xml:space="preserve">Unstructured captions vs Problem-Cause-Fix beat cards.</x:t>
        </x:is>
      </x:c>
      <x:c r="G20" s="7" t="inlineStr">
        <x:is>
          <x:t xml:space="preserve">Sequence recall, action recall</x:t>
        </x:is>
      </x:c>
      <x:c r="H20" s="7" t="inlineStr">
        <x:is>
          <x:t xml:space="preserve">S5;S12</x:t>
        </x:is>
      </x:c>
      <x:c r="I20" s="9" t="n">
        <x:v>4</x:v>
      </x:c>
      <x:c r="J20" s="9" t="n">
        <x:v>4</x:v>
      </x:c>
      <x:c r="K20" s="9" t="n">
        <x:v>5</x:v>
      </x:c>
      <x:c r="L20" s="9" t="n">
        <x:v>4</x:v>
      </x:c>
      <x:c r="M20" s="7" t="inlineStr">
        <x:is>
          <x:t xml:space="preserve">Too many cards can feel like a slide deck.</x:t>
        </x:is>
      </x:c>
      <x:c r="N20" s="8">
        <x:f>ROUND((I20*0.35)+(J20*0.15)+(K20*0.20)+(L20*0.30),2)</x:f>
        <x:v>4.2</x:v>
      </x:c>
      <x:c r="O20" s="11" t="inlineStr">
        <x:is>
          <x:t xml:space="preserve">High</x:t>
        </x:is>
      </x:c>
    </x:row>
    <x:row r="21">
      <x:c r="A21" s="5" t="inlineStr">
        <x:is>
          <x:t xml:space="preserve">H17</x:t>
        </x:is>
      </x:c>
      <x:c r="B21" s="6" t="inlineStr">
        <x:is>
          <x:t xml:space="preserve">Timing rhythm</x:t>
        </x:is>
      </x:c>
      <x:c r="C21" s="7" t="inlineStr">
        <x:is>
          <x:t xml:space="preserve">Micro-rests between caption beats reduce perceived effort compared with continuous caption presence.</x:t>
        </x:is>
      </x:c>
      <x:c r="D21" s="7" t="inlineStr">
        <x:is>
          <x:t xml:space="preserve">Rest gaps let gaze return to face/object and reduce constant reading pressure.</x:t>
        </x:is>
      </x:c>
      <x:c r="E21" s="7" t="inlineStr">
        <x:is>
          <x:t xml:space="preserve">Lower effort and better visual recall; neutral or better completion.</x:t>
        </x:is>
      </x:c>
      <x:c r="F21" s="7" t="inlineStr">
        <x:is>
          <x:t xml:space="preserve">Continuous text vs beat/rest/beat rhythm.</x:t>
        </x:is>
      </x:c>
      <x:c r="G21" s="7" t="inlineStr">
        <x:is>
          <x:t xml:space="preserve">Effort, visual recall, completion</x:t>
        </x:is>
      </x:c>
      <x:c r="H21" s="7" t="inlineStr">
        <x:is>
          <x:t xml:space="preserve">S24;S15;S1</x:t>
        </x:is>
      </x:c>
      <x:c r="I21" s="9" t="n">
        <x:v>3</x:v>
      </x:c>
      <x:c r="J21" s="9" t="n">
        <x:v>5</x:v>
      </x:c>
      <x:c r="K21" s="9" t="n">
        <x:v>5</x:v>
      </x:c>
      <x:c r="L21" s="9" t="n">
        <x:v>4</x:v>
      </x:c>
      <x:c r="M21" s="7" t="inlineStr">
        <x:is>
          <x:t xml:space="preserve">Rest gaps can reduce muted comprehension if too long.</x:t>
        </x:is>
      </x:c>
      <x:c r="N21" s="8">
        <x:f>ROUND((I21*0.35)+(J21*0.15)+(K21*0.20)+(L21*0.30),2)</x:f>
        <x:v>4</x:v>
      </x:c>
      <x:c r="O21" s="11" t="inlineStr">
        <x:is>
          <x:t xml:space="preserve">High</x:t>
        </x:is>
      </x:c>
    </x:row>
    <x:row r="22">
      <x:c r="A22" s="5" t="inlineStr">
        <x:is>
          <x:t xml:space="preserve">H18</x:t>
        </x:is>
      </x:c>
      <x:c r="B22" s="6" t="inlineStr">
        <x:is>
          <x:t xml:space="preserve">Timing rhythm</x:t>
        </x:is>
      </x:c>
      <x:c r="C22" s="7" t="inlineStr">
        <x:is>
          <x:t xml:space="preserve">Complex beats should be preceded by a brief visual pause rather than followed by one.</x:t>
        </x:is>
      </x:c>
      <x:c r="D22" s="7" t="inlineStr">
        <x:is>
          <x:t xml:space="preserve">Pre-complexity pause may prepare attention and reduce load.</x:t>
        </x:is>
      </x:c>
      <x:c r="E22" s="7" t="inlineStr">
        <x:is>
          <x:t xml:space="preserve">Lower effort and better action recall.</x:t>
        </x:is>
      </x:c>
      <x:c r="F22" s="7" t="inlineStr">
        <x:is>
          <x:t xml:space="preserve">Pause-before vs pause-after complex caption.</x:t>
        </x:is>
      </x:c>
      <x:c r="G22" s="7" t="inlineStr">
        <x:is>
          <x:t xml:space="preserve">Effort, recall</x:t>
        </x:is>
      </x:c>
      <x:c r="H22" s="7" t="inlineStr">
        <x:is>
          <x:t xml:space="preserve">S24;S12</x:t>
        </x:is>
      </x:c>
      <x:c r="I22" s="9" t="n">
        <x:v>3</x:v>
      </x:c>
      <x:c r="J22" s="9" t="n">
        <x:v>4</x:v>
      </x:c>
      <x:c r="K22" s="9" t="n">
        <x:v>4</x:v>
      </x:c>
      <x:c r="L22" s="9" t="n">
        <x:v>3</x:v>
      </x:c>
      <x:c r="M22" s="7" t="inlineStr">
        <x:is>
          <x:t xml:space="preserve">Can slow perceived pace.</x:t>
        </x:is>
      </x:c>
      <x:c r="N22" s="8">
        <x:f>ROUND((I22*0.35)+(J22*0.15)+(K22*0.20)+(L22*0.30),2)</x:f>
        <x:v>3.35</x:v>
      </x:c>
      <x:c r="O22" s="12" t="inlineStr">
        <x:is>
          <x:t xml:space="preserve">Medium</x:t>
        </x:is>
      </x:c>
    </x:row>
    <x:row r="23">
      <x:c r="A23" s="5" t="inlineStr">
        <x:is>
          <x:t xml:space="preserve">H19</x:t>
        </x:is>
      </x:c>
      <x:c r="B23" s="6" t="inlineStr">
        <x:is>
          <x:t xml:space="preserve">Motion</x:t>
        </x:is>
      </x:c>
      <x:c r="C23" s="7" t="inlineStr">
        <x:is>
          <x:t xml:space="preserve">Logic-motion captions beat decorative motion captions.</x:t>
        </x:is>
      </x:c>
      <x:c r="D23" s="7" t="inlineStr">
        <x:is>
          <x:t xml:space="preserve">Movement is useful when it expresses sequence or causality.</x:t>
        </x:is>
      </x:c>
      <x:c r="E23" s="7" t="inlineStr">
        <x:is>
          <x:t xml:space="preserve">Higher clarity and lower fatigue than bouncing/popping every word.</x:t>
        </x:is>
      </x:c>
      <x:c r="F23" s="7" t="inlineStr">
        <x:is>
          <x:t xml:space="preserve">Logic motion vs decorative motion vs static.</x:t>
        </x:is>
      </x:c>
      <x:c r="G23" s="7" t="inlineStr">
        <x:is>
          <x:t xml:space="preserve">Gist recall, fatigue, preference</x:t>
        </x:is>
      </x:c>
      <x:c r="H23" s="7" t="inlineStr">
        <x:is>
          <x:t xml:space="preserve">S18</x:t>
        </x:is>
      </x:c>
      <x:c r="I23" s="9" t="n">
        <x:v>4</x:v>
      </x:c>
      <x:c r="J23" s="9" t="n">
        <x:v>4</x:v>
      </x:c>
      <x:c r="K23" s="9" t="n">
        <x:v>4</x:v>
      </x:c>
      <x:c r="L23" s="9" t="n">
        <x:v>4</x:v>
      </x:c>
      <x:c r="M23" s="7" t="inlineStr">
        <x:is>
          <x:t xml:space="preserve">Motion preferences differ by genre.</x:t>
        </x:is>
      </x:c>
      <x:c r="N23" s="8">
        <x:f>ROUND((I23*0.35)+(J23*0.15)+(K23*0.20)+(L23*0.30),2)</x:f>
        <x:v>4</x:v>
      </x:c>
      <x:c r="O23" s="11" t="inlineStr">
        <x:is>
          <x:t xml:space="preserve">High</x:t>
        </x:is>
      </x:c>
    </x:row>
    <x:row r="24">
      <x:c r="A24" s="5" t="inlineStr">
        <x:is>
          <x:t xml:space="preserve">H20</x:t>
        </x:is>
      </x:c>
      <x:c r="B24" s="6" t="inlineStr">
        <x:is>
          <x:t xml:space="preserve">Motion</x:t>
        </x:is>
      </x:c>
      <x:c r="C24" s="7" t="inlineStr">
        <x:is>
          <x:t xml:space="preserve">Karaoke/word-by-word captions underperform semantic beat captions for dense educational content.</x:t>
        </x:is>
      </x:c>
      <x:c r="D24" s="7" t="inlineStr">
        <x:is>
          <x:t xml:space="preserve">Word-by-word tracking consumes attention without compressing meaning.</x:t>
        </x:is>
      </x:c>
      <x:c r="E24" s="7" t="inlineStr">
        <x:is>
          <x:t xml:space="preserve">Lower gist recall and higher effort for dense clips.</x:t>
        </x:is>
      </x:c>
      <x:c r="F24" s="7" t="inlineStr">
        <x:is>
          <x:t xml:space="preserve">Word-by-word vs semantic beat captions.</x:t>
        </x:is>
      </x:c>
      <x:c r="G24" s="7" t="inlineStr">
        <x:is>
          <x:t xml:space="preserve">Gist recall, effort, text dwell</x:t>
        </x:is>
      </x:c>
      <x:c r="H24" s="7" t="inlineStr">
        <x:is>
          <x:t xml:space="preserve">S5;S6;S18</x:t>
        </x:is>
      </x:c>
      <x:c r="I24" s="9" t="n">
        <x:v>4</x:v>
      </x:c>
      <x:c r="J24" s="9" t="n">
        <x:v>3</x:v>
      </x:c>
      <x:c r="K24" s="9" t="n">
        <x:v>5</x:v>
      </x:c>
      <x:c r="L24" s="9" t="n">
        <x:v>4</x:v>
      </x:c>
      <x:c r="M24" s="7" t="inlineStr">
        <x:is>
          <x:t xml:space="preserve">May work better for comedy/music/rhythm.</x:t>
        </x:is>
      </x:c>
      <x:c r="N24" s="8">
        <x:f>ROUND((I24*0.35)+(J24*0.15)+(K24*0.20)+(L24*0.30),2)</x:f>
        <x:v>4.05</x:v>
      </x:c>
      <x:c r="O24" s="11" t="inlineStr">
        <x:is>
          <x:t xml:space="preserve">High</x:t>
        </x:is>
      </x:c>
    </x:row>
    <x:row r="25">
      <x:c r="A25" s="5" t="inlineStr">
        <x:is>
          <x:t xml:space="preserve">H21</x:t>
        </x:is>
      </x:c>
      <x:c r="B25" s="6" t="inlineStr">
        <x:is>
          <x:t xml:space="preserve">Affective</x:t>
        </x:is>
      </x:c>
      <x:c r="C25" s="7" t="inlineStr">
        <x:is>
          <x:t xml:space="preserve">Affective-semantic captions improve tone recognition over plain BCC in emotional or persuasive clips.</x:t>
        </x:is>
      </x:c>
      <x:c r="D25" s="7" t="inlineStr">
        <x:is>
          <x:t xml:space="preserve">Typography/prosody cues encode emotion missing from text.</x:t>
        </x:is>
      </x:c>
      <x:c r="E25" s="7" t="inlineStr">
        <x:is>
          <x:t xml:space="preserve">Higher tone recognition and engagement, no loss if restrained.</x:t>
        </x:is>
      </x:c>
      <x:c r="F25" s="7" t="inlineStr">
        <x:is>
          <x:t xml:space="preserve">Plain BCC vs affective-semantic BCC.</x:t>
        </x:is>
      </x:c>
      <x:c r="G25" s="7" t="inlineStr">
        <x:is>
          <x:t xml:space="preserve">Tone recognition, preference, recall</x:t>
        </x:is>
      </x:c>
      <x:c r="H25" s="7" t="inlineStr">
        <x:is>
          <x:t xml:space="preserve">S19;S20</x:t>
        </x:is>
      </x:c>
      <x:c r="I25" s="9" t="n">
        <x:v>3</x:v>
      </x:c>
      <x:c r="J25" s="9" t="n">
        <x:v>5</x:v>
      </x:c>
      <x:c r="K25" s="9" t="n">
        <x:v>4</x:v>
      </x:c>
      <x:c r="L25" s="9" t="n">
        <x:v>3</x:v>
      </x:c>
      <x:c r="M25" s="7" t="inlineStr">
        <x:is>
          <x:t xml:space="preserve">Color/motion can harm accessibility or legibility.</x:t>
        </x:is>
      </x:c>
      <x:c r="N25" s="8">
        <x:f>ROUND((I25*0.35)+(J25*0.15)+(K25*0.20)+(L25*0.30),2)</x:f>
        <x:v>3.5</x:v>
      </x:c>
      <x:c r="O25" s="12" t="inlineStr">
        <x:is>
          <x:t xml:space="preserve">Medium</x:t>
        </x:is>
      </x:c>
    </x:row>
    <x:row r="26">
      <x:c r="A26" s="5" t="inlineStr">
        <x:is>
          <x:t xml:space="preserve">H22</x:t>
        </x:is>
      </x:c>
      <x:c r="B26" s="6" t="inlineStr">
        <x:is>
          <x:t xml:space="preserve">Affective</x:t>
        </x:is>
      </x:c>
      <x:c r="C26" s="7" t="inlineStr">
        <x:is>
          <x:t xml:space="preserve">Speech-style cues should be decoupled from semantic anchors to avoid overloading the same word.</x:t>
        </x:is>
      </x:c>
      <x:c r="D26" s="7" t="inlineStr">
        <x:is>
          <x:t xml:space="preserve">One word cannot carry concept, emotion, motion and timing without clutter.</x:t>
        </x:is>
      </x:c>
      <x:c r="E26" s="7" t="inlineStr">
        <x:is>
          <x:t xml:space="preserve">Lower effort with separated semantic and affective layers.</x:t>
        </x:is>
      </x:c>
      <x:c r="F26" s="7" t="inlineStr">
        <x:is>
          <x:t xml:space="preserve">Combined styling vs separated layers.</x:t>
        </x:is>
      </x:c>
      <x:c r="G26" s="7" t="inlineStr">
        <x:is>
          <x:t xml:space="preserve">Effort, tone recognition, gist</x:t>
        </x:is>
      </x:c>
      <x:c r="H26" s="7" t="inlineStr">
        <x:is>
          <x:t xml:space="preserve">S19;S20;S13</x:t>
        </x:is>
      </x:c>
      <x:c r="I26" s="9" t="n">
        <x:v>2</x:v>
      </x:c>
      <x:c r="J26" s="9" t="n">
        <x:v>5</x:v>
      </x:c>
      <x:c r="K26" s="9" t="n">
        <x:v>3</x:v>
      </x:c>
      <x:c r="L26" s="9" t="n">
        <x:v>3</x:v>
      </x:c>
      <x:c r="M26" s="7" t="inlineStr">
        <x:is>
          <x:t xml:space="preserve">Needs careful design prototypes.</x:t>
        </x:is>
      </x:c>
      <x:c r="N26" s="8">
        <x:f>ROUND((I26*0.35)+(J26*0.15)+(K26*0.20)+(L26*0.30),2)</x:f>
        <x:v>2.95</x:v>
      </x:c>
      <x:c r="O26" s="12" t="inlineStr">
        <x:is>
          <x:t xml:space="preserve">Medium</x:t>
        </x:is>
      </x:c>
    </x:row>
    <x:row r="27">
      <x:c r="A27" s="5" t="inlineStr">
        <x:is>
          <x:t xml:space="preserve">H23</x:t>
        </x:is>
      </x:c>
      <x:c r="B27" s="6" t="inlineStr">
        <x:is>
          <x:t xml:space="preserve">Accessibility</x:t>
        </x:is>
      </x:c>
      <x:c r="C27" s="7" t="inlineStr">
        <x:is>
          <x:t xml:space="preserve">Dual-layer captioning beats overlay-only design for accessibility and retention combined.</x:t>
        </x:is>
      </x:c>
      <x:c r="D27" s="7" t="inlineStr">
        <x:is>
          <x:t xml:space="preserve">Full captions serve access; semantic overlay serves gist.</x:t>
        </x:is>
      </x:c>
      <x:c r="E27" s="7" t="inlineStr">
        <x:is>
          <x:t xml:space="preserve">Better overall comprehension and inclusivity than either alone.</x:t>
        </x:is>
      </x:c>
      <x:c r="F27" s="7" t="inlineStr">
        <x:is>
          <x:t xml:space="preserve">Closed captions only vs BCC overlay only vs dual-layer.</x:t>
        </x:is>
      </x:c>
      <x:c r="G27" s="7" t="inlineStr">
        <x:is>
          <x:t xml:space="preserve">Gist, exact recall, DHH/L2 preference</x:t>
        </x:is>
      </x:c>
      <x:c r="H27" s="7" t="inlineStr">
        <x:is>
          <x:t xml:space="preserve">S1;S5;S8</x:t>
        </x:is>
      </x:c>
      <x:c r="I27" s="9" t="n">
        <x:v>5</x:v>
      </x:c>
      <x:c r="J27" s="9" t="n">
        <x:v>4</x:v>
      </x:c>
      <x:c r="K27" s="9" t="n">
        <x:v>3</x:v>
      </x:c>
      <x:c r="L27" s="9" t="n">
        <x:v>5</x:v>
      </x:c>
      <x:c r="M27" s="7" t="inlineStr">
        <x:is>
          <x:t xml:space="preserve">Visual stacking can crowd; layers need positioning.</x:t>
        </x:is>
      </x:c>
      <x:c r="N27" s="8">
        <x:f>ROUND((I27*0.35)+(J27*0.15)+(K27*0.20)+(L27*0.30),2)</x:f>
        <x:v>4.45</x:v>
      </x:c>
      <x:c r="O27" s="10" t="inlineStr">
        <x:is>
          <x:t xml:space="preserve">Immediate</x:t>
        </x:is>
      </x:c>
    </x:row>
    <x:row r="28">
      <x:c r="A28" s="5" t="inlineStr">
        <x:is>
          <x:t xml:space="preserve">H24</x:t>
        </x:is>
      </x:c>
      <x:c r="B28" s="6" t="inlineStr">
        <x:is>
          <x:t xml:space="preserve">Viewer adaptation</x:t>
        </x:is>
      </x:c>
      <x:c r="C28" s="7" t="inlineStr">
        <x:is>
          <x:t xml:space="preserve">Muted viewers need more self-contained overlays than audio-on viewers.</x:t>
        </x:is>
      </x:c>
      <x:c r="D28" s="7" t="inlineStr">
        <x:is>
          <x:t xml:space="preserve">Without audio, the visual channel becomes primary verbal channel.</x:t>
        </x:is>
      </x:c>
      <x:c r="E28" s="7" t="inlineStr">
        <x:is>
          <x:t xml:space="preserve">Muted-first overlays improve gist under sound-off conditions.</x:t>
        </x:is>
      </x:c>
      <x:c r="F28" s="7" t="inlineStr">
        <x:is>
          <x:t xml:space="preserve">Audio-on cue overlay vs muted-first overlay under muted viewing.</x:t>
        </x:is>
      </x:c>
      <x:c r="G28" s="7" t="inlineStr">
        <x:is>
          <x:t xml:space="preserve">Muted comprehension, effort</x:t>
        </x:is>
      </x:c>
      <x:c r="H28" s="7" t="inlineStr">
        <x:is>
          <x:t xml:space="preserve">S1</x:t>
        </x:is>
      </x:c>
      <x:c r="I28" s="9" t="n">
        <x:v>5</x:v>
      </x:c>
      <x:c r="J28" s="9" t="n">
        <x:v>4</x:v>
      </x:c>
      <x:c r="K28" s="9" t="n">
        <x:v>5</x:v>
      </x:c>
      <x:c r="L28" s="9" t="n">
        <x:v>5</x:v>
      </x:c>
      <x:c r="M28" s="7" t="inlineStr">
        <x:is>
          <x:t xml:space="preserve">May be redundant for audio-on viewers.</x:t>
        </x:is>
      </x:c>
      <x:c r="N28" s="8">
        <x:f>ROUND((I28*0.35)+(J28*0.15)+(K28*0.20)+(L28*0.30),2)</x:f>
        <x:v>4.85</x:v>
      </x:c>
      <x:c r="O28" s="10" t="inlineStr">
        <x:is>
          <x:t xml:space="preserve">Immediate</x:t>
        </x:is>
      </x:c>
    </x:row>
    <x:row r="29">
      <x:c r="A29" s="5" t="inlineStr">
        <x:is>
          <x:t xml:space="preserve">H25</x:t>
        </x:is>
      </x:c>
      <x:c r="B29" s="6" t="inlineStr">
        <x:is>
          <x:t xml:space="preserve">Viewer adaptation</x:t>
        </x:is>
      </x:c>
      <x:c r="C29" s="7" t="inlineStr">
        <x:is>
          <x:t xml:space="preserve">Beginners benefit from more explicit labels; experts benefit from compressed shorthand.</x:t>
        </x:is>
      </x:c>
      <x:c r="D29" s="7" t="inlineStr">
        <x:is>
          <x:t xml:space="preserve">Prior knowledge moderates redundancy and processing load.</x:t>
        </x:is>
      </x:c>
      <x:c r="E29" s="7" t="inlineStr">
        <x:is>
          <x:t xml:space="preserve">Interaction effect by expertise.</x:t>
        </x:is>
      </x:c>
      <x:c r="F29" s="7" t="inlineStr">
        <x:is>
          <x:t xml:space="preserve">Beginner vs expert overlay variants.</x:t>
        </x:is>
      </x:c>
      <x:c r="G29" s="7" t="inlineStr">
        <x:is>
          <x:t xml:space="preserve">Gist/action recall, effort</x:t>
        </x:is>
      </x:c>
      <x:c r="H29" s="7" t="inlineStr">
        <x:is>
          <x:t xml:space="preserve">S5;S22</x:t>
        </x:is>
      </x:c>
      <x:c r="I29" s="9" t="n">
        <x:v>4</x:v>
      </x:c>
      <x:c r="J29" s="9" t="n">
        <x:v>5</x:v>
      </x:c>
      <x:c r="K29" s="9" t="n">
        <x:v>3</x:v>
      </x:c>
      <x:c r="L29" s="9" t="n">
        <x:v>4</x:v>
      </x:c>
      <x:c r="M29" s="7" t="inlineStr">
        <x:is>
          <x:t xml:space="preserve">Requires audience segmentation.</x:t>
        </x:is>
      </x:c>
      <x:c r="N29" s="8">
        <x:f>ROUND((I29*0.35)+(J29*0.15)+(K29*0.20)+(L29*0.30),2)</x:f>
        <x:v>3.95</x:v>
      </x:c>
      <x:c r="O29" s="11" t="inlineStr">
        <x:is>
          <x:t xml:space="preserve">High</x:t>
        </x:is>
      </x:c>
    </x:row>
    <x:row r="30">
      <x:c r="A30" s="5" t="inlineStr">
        <x:is>
          <x:t xml:space="preserve">H26</x:t>
        </x:is>
      </x:c>
      <x:c r="B30" s="6" t="inlineStr">
        <x:is>
          <x:t xml:space="preserve">Viewer adaptation</x:t>
        </x:is>
      </x:c>
      <x:c r="C30" s="7" t="inlineStr">
        <x:is>
          <x:t xml:space="preserve">L2 viewers may prefer lower lexical density but more complete syntax than native viewers.</x:t>
        </x:is>
      </x:c>
      <x:c r="D30" s="7" t="inlineStr">
        <x:is>
          <x:t xml:space="preserve">Compression reduces load; but too much compression removes grammatical support.</x:t>
        </x:is>
      </x:c>
      <x:c r="E30" s="7" t="inlineStr">
        <x:is>
          <x:t xml:space="preserve">Best L2 performance at medium compression, not keyword-only.</x:t>
        </x:is>
      </x:c>
      <x:c r="F30" s="7" t="inlineStr">
        <x:is>
          <x:t xml:space="preserve">Compression levels by L1/L2 group.</x:t>
        </x:is>
      </x:c>
      <x:c r="G30" s="7" t="inlineStr">
        <x:is>
          <x:t xml:space="preserve">Comprehension, effort</x:t>
        </x:is>
      </x:c>
      <x:c r="H30" s="7" t="inlineStr">
        <x:is>
          <x:t xml:space="preserve">S7;S11;S5</x:t>
        </x:is>
      </x:c>
      <x:c r="I30" s="9" t="n">
        <x:v>4</x:v>
      </x:c>
      <x:c r="J30" s="9" t="n">
        <x:v>5</x:v>
      </x:c>
      <x:c r="K30" s="9" t="n">
        <x:v>3</x:v>
      </x:c>
      <x:c r="L30" s="9" t="n">
        <x:v>4</x:v>
      </x:c>
      <x:c r="M30" s="7" t="inlineStr">
        <x:is>
          <x:t xml:space="preserve">Language proficiency variability.</x:t>
        </x:is>
      </x:c>
      <x:c r="N30" s="8">
        <x:f>ROUND((I30*0.35)+(J30*0.15)+(K30*0.20)+(L30*0.30),2)</x:f>
        <x:v>3.95</x:v>
      </x:c>
      <x:c r="O30" s="11" t="inlineStr">
        <x:is>
          <x:t xml:space="preserve">High</x:t>
        </x:is>
      </x:c>
    </x:row>
    <x:row r="31">
      <x:c r="A31" s="5" t="inlineStr">
        <x:is>
          <x:t xml:space="preserve">H27</x:t>
        </x:is>
      </x:c>
      <x:c r="B31" s="6" t="inlineStr">
        <x:is>
          <x:t xml:space="preserve">Short-form behavior</x:t>
        </x:is>
      </x:c>
      <x:c r="C31" s="7" t="inlineStr">
        <x:is>
          <x:t xml:space="preserve">Hook overlays that resolve within 2–3 seconds outperform open-loop hooks that delay payoff.</x:t>
        </x:is>
      </x:c>
      <x:c r="D31" s="7" t="inlineStr">
        <x:is>
          <x:t xml:space="preserve">Short-form viewers need rapid reward prediction.</x:t>
        </x:is>
      </x:c>
      <x:c r="E31" s="7" t="inlineStr">
        <x:is>
          <x:t xml:space="preserve">Higher 3-second hold and lower confusion.</x:t>
        </x:is>
      </x:c>
      <x:c r="F31" s="7" t="inlineStr">
        <x:is>
          <x:t xml:space="preserve">Fast-resolution hook vs delayed payoff hook.</x:t>
        </x:is>
      </x:c>
      <x:c r="G31" s="7" t="inlineStr">
        <x:is>
          <x:t xml:space="preserve">1s/3s hold, comments confusion</x:t>
        </x:is>
      </x:c>
      <x:c r="H31" s="7" t="inlineStr">
        <x:is>
          <x:t xml:space="preserve">S2;S23</x:t>
        </x:is>
      </x:c>
      <x:c r="I31" s="9" t="n">
        <x:v>3</x:v>
      </x:c>
      <x:c r="J31" s="9" t="n">
        <x:v>5</x:v>
      </x:c>
      <x:c r="K31" s="9" t="n">
        <x:v>5</x:v>
      </x:c>
      <x:c r="L31" s="9" t="n">
        <x:v>4</x:v>
      </x:c>
      <x:c r="M31" s="7" t="inlineStr">
        <x:is>
          <x:t xml:space="preserve">Platform algorithms may reward open loops differently.</x:t>
        </x:is>
      </x:c>
      <x:c r="N31" s="8">
        <x:f>ROUND((I31*0.35)+(J31*0.15)+(K31*0.20)+(L31*0.30),2)</x:f>
        <x:v>4</x:v>
      </x:c>
      <x:c r="O31" s="11" t="inlineStr">
        <x:is>
          <x:t xml:space="preserve">High</x:t>
        </x:is>
      </x:c>
    </x:row>
    <x:row r="32">
      <x:c r="A32" s="5" t="inlineStr">
        <x:is>
          <x:t xml:space="preserve">H28</x:t>
        </x:is>
      </x:c>
      <x:c r="B32" s="6" t="inlineStr">
        <x:is>
          <x:t xml:space="preserve">Short-form behavior</x:t>
        </x:is>
      </x:c>
      <x:c r="C32" s="7" t="inlineStr">
        <x:is>
          <x:t xml:space="preserve">Gist-per-second predicts saves better than watch time alone for educational shorts.</x:t>
        </x:is>
      </x:c>
      <x:c r="D32" s="7" t="inlineStr">
        <x:is>
          <x:t xml:space="preserve">Useful comprehension drives saves; raw retention may reflect confusion.</x:t>
        </x:is>
      </x:c>
      <x:c r="E32" s="7" t="inlineStr">
        <x:is>
          <x:t xml:space="preserve">Higher correlation between gist/action score and saves.</x:t>
        </x:is>
      </x:c>
      <x:c r="F32" s="7" t="inlineStr">
        <x:is>
          <x:t xml:space="preserve">Platform A/B plus recall survey.</x:t>
        </x:is>
      </x:c>
      <x:c r="G32" s="7" t="inlineStr">
        <x:is>
          <x:t xml:space="preserve">Saves, gist recall, watch time</x:t>
        </x:is>
      </x:c>
      <x:c r="H32" s="7" t="inlineStr">
        <x:is>
          <x:t xml:space="preserve">S2;S4</x:t>
        </x:is>
      </x:c>
      <x:c r="I32" s="9" t="n">
        <x:v>2</x:v>
      </x:c>
      <x:c r="J32" s="9" t="n">
        <x:v>5</x:v>
      </x:c>
      <x:c r="K32" s="9" t="n">
        <x:v>3</x:v>
      </x:c>
      <x:c r="L32" s="9" t="n">
        <x:v>4</x:v>
      </x:c>
      <x:c r="M32" s="7" t="inlineStr">
        <x:is>
          <x:t xml:space="preserve">Requires matching platform data to recall data.</x:t>
        </x:is>
      </x:c>
      <x:c r="N32" s="8">
        <x:f>ROUND((I32*0.35)+(J32*0.15)+(K32*0.20)+(L32*0.30),2)</x:f>
        <x:v>3.25</x:v>
      </x:c>
      <x:c r="O32" s="12" t="inlineStr">
        <x:is>
          <x:t xml:space="preserve">Medium</x:t>
        </x:is>
      </x:c>
    </x:row>
    <x:row r="33">
      <x:c r="A33" s="5" t="inlineStr">
        <x:is>
          <x:t xml:space="preserve">H29</x:t>
        </x:is>
      </x:c>
      <x:c r="B33" s="6" t="inlineStr">
        <x:is>
          <x:t xml:space="preserve">Ethics</x:t>
        </x:is>
      </x:c>
      <x:c r="C33" s="7" t="inlineStr">
        <x:is>
          <x:t xml:space="preserve">Optimizing for meaning retained per second reduces compulsive design compared with optimizing for watch time alone.</x:t>
        </x:is>
      </x:c>
      <x:c r="D33" s="7" t="inlineStr">
        <x:is>
          <x:t xml:space="preserve">Objective function shifts from capture to comprehension.</x:t>
        </x:is>
      </x:c>
      <x:c r="E33" s="7" t="inlineStr">
        <x:is>
          <x:t xml:space="preserve">Different design choices: fewer fake loops, more payoff.</x:t>
        </x:is>
      </x:c>
      <x:c r="F33" s="7" t="inlineStr">
        <x:is>
          <x:t xml:space="preserve">Compare optimization variants.</x:t>
        </x:is>
      </x:c>
      <x:c r="G33" s="7" t="inlineStr">
        <x:is>
          <x:t xml:space="preserve">Comprehension, trust, retention</x:t>
        </x:is>
      </x:c>
      <x:c r="H33" s="7" t="inlineStr">
        <x:is>
          <x:t xml:space="preserve">S2</x:t>
        </x:is>
      </x:c>
      <x:c r="I33" s="9" t="n">
        <x:v>2</x:v>
      </x:c>
      <x:c r="J33" s="9" t="n">
        <x:v>5</x:v>
      </x:c>
      <x:c r="K33" s="9" t="n">
        <x:v>2</x:v>
      </x:c>
      <x:c r="L33" s="9" t="n">
        <x:v>3</x:v>
      </x:c>
      <x:c r="M33" s="7" t="inlineStr">
        <x:is>
          <x:t xml:space="preserve">Ethical outcomes hard to measure.</x:t>
        </x:is>
      </x:c>
      <x:c r="N33" s="8">
        <x:f>ROUND((I33*0.35)+(J33*0.15)+(K33*0.20)+(L33*0.30),2)</x:f>
        <x:v>2.75</x:v>
      </x:c>
      <x:c r="O33" s="12" t="inlineStr">
        <x:is>
          <x:t xml:space="preserve">Medium</x:t>
        </x:is>
      </x:c>
    </x:row>
    <x:row r="34">
      <x:c r="A34" s="5" t="inlineStr">
        <x:is>
          <x:t xml:space="preserve">H30</x:t>
        </x:is>
      </x:c>
      <x:c r="B34" s="6" t="inlineStr">
        <x:is>
          <x:t xml:space="preserve">AI placement</x:t>
        </x:is>
      </x:c>
      <x:c r="C34" s="7" t="inlineStr">
        <x:is>
          <x:t xml:space="preserve">Saliency-plus-meaning placement beats saliency-only placement.</x:t>
        </x:is>
      </x:c>
      <x:c r="D34" s="7" t="inlineStr">
        <x:is>
          <x:t xml:space="preserve">Meaning regions matter beyond low-level salience.</x:t>
        </x:is>
      </x:c>
      <x:c r="E34" s="7" t="inlineStr">
        <x:is>
          <x:t xml:space="preserve">Better comprehension without losing visual recall.</x:t>
        </x:is>
      </x:c>
      <x:c r="F34" s="7" t="inlineStr">
        <x:is>
          <x:t xml:space="preserve">Saliency-only vs saliency+semantic placement.</x:t>
        </x:is>
      </x:c>
      <x:c r="G34" s="7" t="inlineStr">
        <x:is>
          <x:t xml:space="preserve">Gist, visual recall, saccade cost</x:t>
        </x:is>
      </x:c>
      <x:c r="H34" s="7" t="inlineStr">
        <x:is>
          <x:t xml:space="preserve">S3;S4</x:t>
        </x:is>
      </x:c>
      <x:c r="I34" s="9" t="n">
        <x:v>4</x:v>
      </x:c>
      <x:c r="J34" s="9" t="n">
        <x:v>5</x:v>
      </x:c>
      <x:c r="K34" s="9" t="n">
        <x:v>2</x:v>
      </x:c>
      <x:c r="L34" s="9" t="n">
        <x:v>4</x:v>
      </x:c>
      <x:c r="M34" s="7" t="inlineStr">
        <x:is>
          <x:t xml:space="preserve">Requires model pipeline.</x:t>
        </x:is>
      </x:c>
      <x:c r="N34" s="8">
        <x:f>ROUND((I34*0.35)+(J34*0.15)+(K34*0.20)+(L34*0.30),2)</x:f>
        <x:v>3.75</x:v>
      </x:c>
      <x:c r="O34" s="11" t="inlineStr">
        <x:is>
          <x:t xml:space="preserve">High</x:t>
        </x:is>
      </x:c>
    </x:row>
    <x:row r="35">
      <x:c r="A35" s="5" t="inlineStr">
        <x:is>
          <x:t xml:space="preserve">H31</x:t>
        </x:is>
      </x:c>
      <x:c r="B35" s="6" t="inlineStr">
        <x:is>
          <x:t xml:space="preserve">AI placement</x:t>
        </x:is>
      </x:c>
      <x:c r="C35" s="7" t="inlineStr">
        <x:is>
          <x:t xml:space="preserve">Platform UI-safe zones should be treated as hard constraints, not soft preferences.</x:t>
        </x:is>
      </x:c>
      <x:c r="D35" s="7" t="inlineStr">
        <x:is>
          <x:t xml:space="preserve">Crowding with UI reduces recognizability and creates accidental occlusion.</x:t>
        </x:is>
      </x:c>
      <x:c r="E35" s="7" t="inlineStr">
        <x:is>
          <x:t xml:space="preserve">Higher readability and preference.</x:t>
        </x:is>
      </x:c>
      <x:c r="F35" s="7" t="inlineStr">
        <x:is>
          <x:t xml:space="preserve">UI-safe vs UI-overlap placement.</x:t>
        </x:is>
      </x:c>
      <x:c r="G35" s="7" t="inlineStr">
        <x:is>
          <x:t xml:space="preserve">Readability, completion, complaints</x:t>
        </x:is>
      </x:c>
      <x:c r="H35" s="7" t="inlineStr">
        <x:is>
          <x:t xml:space="preserve">S13;S15</x:t>
        </x:is>
      </x:c>
      <x:c r="I35" s="9" t="n">
        <x:v>4</x:v>
      </x:c>
      <x:c r="J35" s="9" t="n">
        <x:v>3</x:v>
      </x:c>
      <x:c r="K35" s="9" t="n">
        <x:v>5</x:v>
      </x:c>
      <x:c r="L35" s="9" t="n">
        <x:v>4</x:v>
      </x:c>
      <x:c r="M35" s="7" t="inlineStr">
        <x:is>
          <x:t xml:space="preserve">Varies by platform/device.</x:t>
        </x:is>
      </x:c>
      <x:c r="N35" s="8">
        <x:f>ROUND((I35*0.35)+(J35*0.15)+(K35*0.20)+(L35*0.30),2)</x:f>
        <x:v>4.05</x:v>
      </x:c>
      <x:c r="O35" s="10" t="inlineStr">
        <x:is>
          <x:t xml:space="preserve">Immediate</x:t>
        </x:is>
      </x:c>
    </x:row>
    <x:row r="36">
      <x:c r="A36" s="5" t="inlineStr">
        <x:is>
          <x:t xml:space="preserve">H32</x:t>
        </x:is>
      </x:c>
      <x:c r="B36" s="6" t="inlineStr">
        <x:is>
          <x:t xml:space="preserve">AI generation</x:t>
        </x:is>
      </x:c>
      <x:c r="C36" s="7" t="inlineStr">
        <x:is>
          <x:t xml:space="preserve">LLM-generated semantic beats need human review for nuance and factual preservation.</x:t>
        </x:is>
      </x:c>
      <x:c r="D36" s="7" t="inlineStr">
        <x:is>
          <x:t xml:space="preserve">Compression can distort meaning, especially with causality or health claims.</x:t>
        </x:is>
      </x:c>
      <x:c r="E36" s="7" t="inlineStr">
        <x:is>
          <x:t xml:space="preserve">Human-reviewed variants outperform raw LLM variants.</x:t>
        </x:is>
      </x:c>
      <x:c r="F36" s="7" t="inlineStr">
        <x:is>
          <x:t xml:space="preserve">Raw LLM BCC vs edited BCC.</x:t>
        </x:is>
      </x:c>
      <x:c r="G36" s="7" t="inlineStr">
        <x:is>
          <x:t xml:space="preserve">Accuracy, trust, comprehension</x:t>
        </x:is>
      </x:c>
      <x:c r="H36" s="7" t="inlineStr">
        <x:is>
          <x:t xml:space="preserve">S5</x:t>
        </x:is>
      </x:c>
      <x:c r="I36" s="9" t="n">
        <x:v>3</x:v>
      </x:c>
      <x:c r="J36" s="9" t="n">
        <x:v>3</x:v>
      </x:c>
      <x:c r="K36" s="9" t="n">
        <x:v>5</x:v>
      </x:c>
      <x:c r="L36" s="9" t="n">
        <x:v>4</x:v>
      </x:c>
      <x:c r="M36" s="7" t="inlineStr">
        <x:is>
          <x:t xml:space="preserve">Subjective review can be inconsistent.</x:t>
        </x:is>
      </x:c>
      <x:c r="N36" s="8">
        <x:f>ROUND((I36*0.35)+(J36*0.15)+(K36*0.20)+(L36*0.30),2)</x:f>
        <x:v>3.7</x:v>
      </x:c>
      <x:c r="O36" s="10" t="inlineStr">
        <x:is>
          <x:t xml:space="preserve">Immediate</x:t>
        </x:is>
      </x:c>
    </x:row>
    <x:row r="37">
      <x:c r="A37" s="5" t="inlineStr">
        <x:is>
          <x:t xml:space="preserve">H33</x:t>
        </x:is>
      </x:c>
      <x:c r="B37" s="6" t="inlineStr">
        <x:is>
          <x:t xml:space="preserve">Measurement</x:t>
        </x:is>
      </x:c>
      <x:c r="C37" s="7" t="inlineStr">
        <x:is>
          <x:t xml:space="preserve">Meaning per fixation is a better lab metric than reading speed.</x:t>
        </x:is>
      </x:c>
      <x:c r="D37" s="7" t="inlineStr">
        <x:is>
          <x:t xml:space="preserve">The objective is efficient comprehension, not word throughput.</x:t>
        </x:is>
      </x:c>
      <x:c r="E37" s="7" t="inlineStr">
        <x:is>
          <x:t xml:space="preserve">Better explains recall and preference across variants.</x:t>
        </x:is>
      </x:c>
      <x:c r="F37" s="7" t="inlineStr">
        <x:is>
          <x:t xml:space="preserve">Eye-tracking experiment.</x:t>
        </x:is>
      </x:c>
      <x:c r="G37" s="7" t="inlineStr">
        <x:is>
          <x:t xml:space="preserve">Gist/fixation, action/fixation</x:t>
        </x:is>
      </x:c>
      <x:c r="H37" s="7" t="inlineStr">
        <x:is>
          <x:t xml:space="preserve">S1;S4;S10</x:t>
        </x:is>
      </x:c>
      <x:c r="I37" s="9" t="n">
        <x:v>4</x:v>
      </x:c>
      <x:c r="J37" s="9" t="n">
        <x:v>5</x:v>
      </x:c>
      <x:c r="K37" s="9" t="n">
        <x:v>2</x:v>
      </x:c>
      <x:c r="L37" s="9" t="n">
        <x:v>5</x:v>
      </x:c>
      <x:c r="M37" s="7" t="inlineStr">
        <x:is>
          <x:t xml:space="preserve">Requires eye-tracking.</x:t>
        </x:is>
      </x:c>
      <x:c r="N37" s="8">
        <x:f>ROUND((I37*0.35)+(J37*0.15)+(K37*0.20)+(L37*0.30),2)</x:f>
        <x:v>4.05</x:v>
      </x:c>
      <x:c r="O37" s="11" t="inlineStr">
        <x:is>
          <x:t xml:space="preserve">High</x:t>
        </x:is>
      </x:c>
    </x:row>
    <x:row r="38">
      <x:c r="A38" s="5" t="inlineStr">
        <x:is>
          <x:t xml:space="preserve">H34</x:t>
        </x:is>
      </x:c>
      <x:c r="B38" s="6" t="inlineStr">
        <x:is>
          <x:t xml:space="preserve">Measurement</x:t>
        </x:is>
      </x:c>
      <x:c r="C38" s="7" t="inlineStr">
        <x:is>
          <x:t xml:space="preserve">Text dwell time should have an inverted-U relationship with comprehension.</x:t>
        </x:is>
      </x:c>
      <x:c r="D38" s="7" t="inlineStr">
        <x:is>
          <x:t xml:space="preserve">Too little text dwell means missed; too much means overload or visual theft.</x:t>
        </x:is>
      </x:c>
      <x:c r="E38" s="7" t="inlineStr">
        <x:is>
          <x:t xml:space="preserve">Moderate dwell predicts best gist/action recall.</x:t>
        </x:is>
      </x:c>
      <x:c r="F38" s="7" t="inlineStr">
        <x:is>
          <x:t xml:space="preserve">Analyze dwell vs recall across variants.</x:t>
        </x:is>
      </x:c>
      <x:c r="G38" s="7" t="inlineStr">
        <x:is>
          <x:t xml:space="preserve">Text dwell, recall, visual recall</x:t>
        </x:is>
      </x:c>
      <x:c r="H38" s="7" t="inlineStr">
        <x:is>
          <x:t xml:space="preserve">S1;S6;S21</x:t>
        </x:is>
      </x:c>
      <x:c r="I38" s="9" t="n">
        <x:v>4</x:v>
      </x:c>
      <x:c r="J38" s="9" t="n">
        <x:v>5</x:v>
      </x:c>
      <x:c r="K38" s="9" t="n">
        <x:v>2</x:v>
      </x:c>
      <x:c r="L38" s="9" t="n">
        <x:v>4</x:v>
      </x:c>
      <x:c r="M38" s="7" t="inlineStr">
        <x:is>
          <x:t xml:space="preserve">Needs eye-tracking or proxy.</x:t>
        </x:is>
      </x:c>
      <x:c r="N38" s="8">
        <x:f>ROUND((I38*0.35)+(J38*0.15)+(K38*0.20)+(L38*0.30),2)</x:f>
        <x:v>3.75</x:v>
      </x:c>
      <x:c r="O38" s="11" t="inlineStr">
        <x:is>
          <x:t xml:space="preserve">High</x:t>
        </x:is>
      </x:c>
    </x:row>
    <x:row r="39">
      <x:c r="A39" s="5" t="inlineStr">
        <x:is>
          <x:t xml:space="preserve">H35</x:t>
        </x:is>
      </x:c>
      <x:c r="B39" s="6" t="inlineStr">
        <x:is>
          <x:t xml:space="preserve">Measurement</x:t>
        </x:is>
      </x:c>
      <x:c r="C39" s="7" t="inlineStr">
        <x:is>
          <x:t xml:space="preserve">Comments asking for clarification are a useful platform proxy for comprehension failure.</x:t>
        </x:is>
      </x:c>
      <x:c r="D39" s="7" t="inlineStr">
        <x:is>
          <x:t xml:space="preserve">Confusion appears behaviorally when semantic compression is too aggressive.</x:t>
        </x:is>
      </x:c>
      <x:c r="E39" s="7" t="inlineStr">
        <x:is>
          <x:t xml:space="preserve">Higher confusion comments for over-compressed or heavy-motion variants.</x:t>
        </x:is>
      </x:c>
      <x:c r="F39" s="7" t="inlineStr">
        <x:is>
          <x:t xml:space="preserve">Platform A/B comment coding.</x:t>
        </x:is>
      </x:c>
      <x:c r="G39" s="7" t="inlineStr">
        <x:is>
          <x:t xml:space="preserve">Clarification comments, completion</x:t>
        </x:is>
      </x:c>
      <x:c r="H39" s="7" t="inlineStr">
        <x:is>
          <x:t xml:space="preserve">S2</x:t>
        </x:is>
      </x:c>
      <x:c r="I39" s="9" t="n">
        <x:v>2</x:v>
      </x:c>
      <x:c r="J39" s="9" t="n">
        <x:v>4</x:v>
      </x:c>
      <x:c r="K39" s="9" t="n">
        <x:v>5</x:v>
      </x:c>
      <x:c r="L39" s="9" t="n">
        <x:v>3</x:v>
      </x:c>
      <x:c r="M39" s="7" t="inlineStr">
        <x:is>
          <x:t xml:space="preserve">Comments are noisy and biased.</x:t>
        </x:is>
      </x:c>
      <x:c r="N39" s="8">
        <x:f>ROUND((I39*0.35)+(J39*0.15)+(K39*0.20)+(L39*0.30),2)</x:f>
        <x:v>3.2</x:v>
      </x:c>
      <x:c r="O39" s="12" t="inlineStr">
        <x:is>
          <x:t xml:space="preserve">Medium</x:t>
        </x:is>
      </x:c>
    </x:row>
    <x:row r="40">
      <x:c r="A40" s="5" t="inlineStr">
        <x:is>
          <x:t xml:space="preserve">H36</x:t>
        </x:is>
      </x:c>
      <x:c r="B40" s="6" t="inlineStr">
        <x:is>
          <x:t xml:space="preserve">Typography</x:t>
        </x:is>
      </x:c>
      <x:c r="C40" s="7" t="inlineStr">
        <x:is>
          <x:t xml:space="preserve">Contrast and whitespace will outperform complex font treatments for mobile legibility.</x:t>
        </x:is>
      </x:c>
      <x:c r="D40" s="7" t="inlineStr">
        <x:is>
          <x:t xml:space="preserve">Crowding and viewing-distance constraints dominate subtle typography effects.</x:t>
        </x:is>
      </x:c>
      <x:c r="E40" s="7" t="inlineStr">
        <x:is>
          <x:t xml:space="preserve">Higher readability and preference for clean high-contrast layouts.</x:t>
        </x:is>
      </x:c>
      <x:c r="F40" s="7" t="inlineStr">
        <x:is>
          <x:t xml:space="preserve">Clean vs complex text styling.</x:t>
        </x:is>
      </x:c>
      <x:c r="G40" s="7" t="inlineStr">
        <x:is>
          <x:t xml:space="preserve">Readability, effort</x:t>
        </x:is>
      </x:c>
      <x:c r="H40" s="7" t="inlineStr">
        <x:is>
          <x:t xml:space="preserve">S13;S15;S16</x:t>
        </x:is>
      </x:c>
      <x:c r="I40" s="9" t="n">
        <x:v>4</x:v>
      </x:c>
      <x:c r="J40" s="9" t="n">
        <x:v>3</x:v>
      </x:c>
      <x:c r="K40" s="9" t="n">
        <x:v>5</x:v>
      </x:c>
      <x:c r="L40" s="9" t="n">
        <x:v>4</x:v>
      </x:c>
      <x:c r="M40" s="7" t="inlineStr">
        <x:is>
          <x:t xml:space="preserve">Aesthetic brand styles may conflict.</x:t>
        </x:is>
      </x:c>
      <x:c r="N40" s="8">
        <x:f>ROUND((I40*0.35)+(J40*0.15)+(K40*0.20)+(L40*0.30),2)</x:f>
        <x:v>4.05</x:v>
      </x:c>
      <x:c r="O40" s="11" t="inlineStr">
        <x:is>
          <x:t xml:space="preserve">High</x:t>
        </x:is>
      </x:c>
    </x:row>
    <x:row r="41">
      <x:c r="A41" s="5" t="inlineStr">
        <x:is>
          <x:t xml:space="preserve">H37</x:t>
        </x:is>
      </x:c>
      <x:c r="B41" s="6" t="inlineStr">
        <x:is>
          <x:t xml:space="preserve">Typography</x:t>
        </x:is>
      </x:c>
      <x:c r="C41" s="7" t="inlineStr">
        <x:is>
          <x:t xml:space="preserve">Bionic anchors are most likely useful on long concept words, not short function words.</x:t>
        </x:is>
      </x:c>
      <x:c r="D41" s="7" t="inlineStr">
        <x:is>
          <x:t xml:space="preserve">Partial emphasis only has a possible cueing role when word recognition could benefit from a stem cue.</x:t>
        </x:is>
      </x:c>
      <x:c r="E41" s="7" t="inlineStr">
        <x:is>
          <x:t xml:space="preserve">No benefit or harm on short function words; small benefit on long key terms.</x:t>
        </x:is>
      </x:c>
      <x:c r="F41" s="7" t="inlineStr">
        <x:is>
          <x:t xml:space="preserve">Long vs short word anchoring.</x:t>
        </x:is>
      </x:c>
      <x:c r="G41" s="7" t="inlineStr">
        <x:is>
          <x:t xml:space="preserve">Recall, effort, preference</x:t>
        </x:is>
      </x:c>
      <x:c r="H41" s="7" t="inlineStr">
        <x:is>
          <x:t xml:space="preserve">S16;S17;S8</x:t>
        </x:is>
      </x:c>
      <x:c r="I41" s="9" t="n">
        <x:v>3</x:v>
      </x:c>
      <x:c r="J41" s="9" t="n">
        <x:v>4</x:v>
      </x:c>
      <x:c r="K41" s="9" t="n">
        <x:v>4</x:v>
      </x:c>
      <x:c r="L41" s="9" t="n">
        <x:v>3</x:v>
      </x:c>
      <x:c r="M41" s="7" t="inlineStr">
        <x:is>
          <x:t xml:space="preserve">Mechanism uncertain.</x:t>
        </x:is>
      </x:c>
      <x:c r="N41" s="8">
        <x:f>ROUND((I41*0.35)+(J41*0.15)+(K41*0.20)+(L41*0.30),2)</x:f>
        <x:v>3.35</x:v>
      </x:c>
      <x:c r="O41" s="12" t="inlineStr">
        <x:is>
          <x:t xml:space="preserve">Medium</x:t>
        </x:is>
      </x:c>
    </x:row>
    <x:row r="42">
      <x:c r="A42" s="5" t="inlineStr">
        <x:is>
          <x:t xml:space="preserve">H38</x:t>
        </x:is>
      </x:c>
      <x:c r="B42" s="6" t="inlineStr">
        <x:is>
          <x:t xml:space="preserve">Narrative content</x:t>
        </x:is>
      </x:c>
      <x:c r="C42" s="7" t="inlineStr">
        <x:is>
          <x:t xml:space="preserve">BCC is weaker for emotional storytelling than for conceptual advice unless paired with affective captions.</x:t>
        </x:is>
      </x:c>
      <x:c r="D42" s="7" t="inlineStr">
        <x:is>
          <x:t xml:space="preserve">Stories rely on nuance, timing and emotion rather than compressed propositional content.</x:t>
        </x:is>
      </x:c>
      <x:c r="E42" s="7" t="inlineStr">
        <x:is>
          <x:t xml:space="preserve">Plain BCC underperforms; affective-semantic may recover engagement.</x:t>
        </x:is>
      </x:c>
      <x:c r="F42" s="7" t="inlineStr">
        <x:is>
          <x:t xml:space="preserve">Advice vs story clips by overlay type.</x:t>
        </x:is>
      </x:c>
      <x:c r="G42" s="7" t="inlineStr">
        <x:is>
          <x:t xml:space="preserve">Emotion recall, completion, preference</x:t>
        </x:is>
      </x:c>
      <x:c r="H42" s="7" t="inlineStr">
        <x:is>
          <x:t xml:space="preserve">S19;S20;S5</x:t>
        </x:is>
      </x:c>
      <x:c r="I42" s="9" t="n">
        <x:v>3</x:v>
      </x:c>
      <x:c r="J42" s="9" t="n">
        <x:v>4</x:v>
      </x:c>
      <x:c r="K42" s="9" t="n">
        <x:v>3</x:v>
      </x:c>
      <x:c r="L42" s="9" t="n">
        <x:v>3</x:v>
      </x:c>
      <x:c r="M42" s="7" t="inlineStr">
        <x:is>
          <x:t xml:space="preserve">Genre boundaries fuzzy.</x:t>
        </x:is>
      </x:c>
      <x:c r="N42" s="8">
        <x:f>ROUND((I42*0.35)+(J42*0.15)+(K42*0.20)+(L42*0.30),2)</x:f>
        <x:v>3.15</x:v>
      </x:c>
      <x:c r="O42" s="12" t="inlineStr">
        <x:is>
          <x:t xml:space="preserve">Medium</x:t>
        </x:is>
      </x:c>
    </x:row>
    <x:row r="43">
      <x:c r="A43" s="5" t="inlineStr">
        <x:is>
          <x:t xml:space="preserve">H39</x:t>
        </x:is>
      </x:c>
      <x:c r="B43" s="6" t="inlineStr">
        <x:is>
          <x:t xml:space="preserve">Tutorial content</x:t>
        </x:is>
      </x:c>
      <x:c r="C43" s="7" t="inlineStr">
        <x:is>
          <x:t xml:space="preserve">Action labels beat sentence captions during hands-on demonstrations.</x:t>
        </x:is>
      </x:c>
      <x:c r="D43" s="7" t="inlineStr">
        <x:is>
          <x:t xml:space="preserve">Visual action must remain primary; text should annotate the step.</x:t>
        </x:is>
      </x:c>
      <x:c r="E43" s="7" t="inlineStr">
        <x:is>
          <x:t xml:space="preserve">Better action recall and visual recall.</x:t>
        </x:is>
      </x:c>
      <x:c r="F43" s="7" t="inlineStr">
        <x:is>
          <x:t xml:space="preserve">Sentence BCC vs action labels.</x:t>
        </x:is>
      </x:c>
      <x:c r="G43" s="7" t="inlineStr">
        <x:is>
          <x:t xml:space="preserve">Action recall, visual recall</x:t>
        </x:is>
      </x:c>
      <x:c r="H43" s="7" t="inlineStr">
        <x:is>
          <x:t xml:space="preserve">S10;S13;S21</x:t>
        </x:is>
      </x:c>
      <x:c r="I43" s="9" t="n">
        <x:v>4</x:v>
      </x:c>
      <x:c r="J43" s="9" t="n">
        <x:v>4</x:v>
      </x:c>
      <x:c r="K43" s="9" t="n">
        <x:v>4</x:v>
      </x:c>
      <x:c r="L43" s="9" t="n">
        <x:v>4</x:v>
      </x:c>
      <x:c r="M43" s="7" t="inlineStr">
        <x:is>
          <x:t xml:space="preserve">Requires object/hand-aware placement.</x:t>
        </x:is>
      </x:c>
      <x:c r="N43" s="8">
        <x:f>ROUND((I43*0.35)+(J43*0.15)+(K43*0.20)+(L43*0.30),2)</x:f>
        <x:v>4</x:v>
      </x:c>
      <x:c r="O43" s="11" t="inlineStr">
        <x:is>
          <x:t xml:space="preserve">High</x:t>
        </x:is>
      </x:c>
    </x:row>
    <x:row r="44">
      <x:c r="A44" s="5" t="inlineStr">
        <x:is>
          <x:t xml:space="preserve">H40</x:t>
        </x:is>
      </x:c>
      <x:c r="B44" s="6" t="inlineStr">
        <x:is>
          <x:t xml:space="preserve">System design</x:t>
        </x:is>
      </x:c>
      <x:c r="C44" s="7" t="inlineStr">
        <x:is>
          <x:t xml:space="preserve">The best product architecture is not a caption generator but a semantic-overlay decision engine.</x:t>
        </x:is>
      </x:c>
      <x:c r="D44" s="7" t="inlineStr">
        <x:is>
          <x:t xml:space="preserve">Captions are one layer; placement, timing, density and semantics drive performance.</x:t>
        </x:is>
      </x:c>
      <x:c r="E44" s="7" t="inlineStr">
        <x:is>
          <x:t xml:space="preserve">Tool users produce better overlays when guided by scoring rules.</x:t>
        </x:is>
      </x:c>
      <x:c r="F44" s="7" t="inlineStr">
        <x:is>
          <x:t xml:space="preserve">Manual workflow vs automated transcript-to-caption tool.</x:t>
        </x:is>
      </x:c>
      <x:c r="G44" s="7" t="inlineStr">
        <x:is>
          <x:t xml:space="preserve">Rubric score, performance metrics</x:t>
        </x:is>
      </x:c>
      <x:c r="H44" s="7" t="inlineStr">
        <x:is>
          <x:t xml:space="preserve">S3;S4;S5</x:t>
        </x:is>
      </x:c>
      <x:c r="I44" s="9" t="n">
        <x:v>4</x:v>
      </x:c>
      <x:c r="J44" s="9" t="n">
        <x:v>5</x:v>
      </x:c>
      <x:c r="K44" s="9" t="n">
        <x:v>3</x:v>
      </x:c>
      <x:c r="L44" s="9" t="n">
        <x:v>5</x:v>
      </x:c>
      <x:c r="M44" s="7" t="inlineStr">
        <x:is>
          <x:t xml:space="preserve">More complex UX.</x:t>
        </x:is>
      </x:c>
      <x:c r="N44" s="8">
        <x:f>ROUND((I44*0.35)+(J44*0.15)+(K44*0.20)+(L44*0.30),2)</x:f>
        <x:v>4.25</x:v>
      </x:c>
      <x:c r="O44" s="11" t="inlineStr">
        <x:is>
          <x:t xml:space="preserve">High</x:t>
        </x:is>
      </x:c>
    </x:row>
  </x:sheetData>
  <x:mergeCells>
    <x:mergeCell ref="A2:H2"/>
    <x:mergeCell ref="A1:H1"/>
  </x:mergeCells>
  <x:conditionalFormatting sqref="N5:N44">
    <x:cfRule type="colorScale" priority="1">
      <x:colorScale>
        <x:cfvo type="min"/>
        <x:cfvo type="percentile" val="50"/>
        <x:cfvo type="max"/>
        <x:color rgb="00F4CCCC"/>
        <x:color rgb="00FFF2CC"/>
        <x:color rgb="00D9EAD3"/>
      </x:colorScale>
    </x:cfRule>
  </x:conditionalFormatting>
  <x:pageMargins left="0.7" right="0.7" top="0.75" bottom="0.75" header="0.3" footer="0.3"/>
  <x:legacyDrawing xmlns:r="http://schemas.openxmlformats.org/officeDocument/2006/relationships" r:id="Rcdc44917ff4d4ea2"/>
  <x:tableParts count="1">
    <x:tablePart xmlns:r="http://schemas.openxmlformats.org/officeDocument/2006/relationships" r:id="R7929024c014047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8" customWidth="1"/>
    <x:col min="3" max="3" width="44" customWidth="1"/>
    <x:col min="4" max="4" width="46" customWidth="1"/>
    <x:col min="5" max="5" width="46" customWidth="1"/>
    <x:col min="6" max="6" width="38" customWidth="1"/>
    <x:col min="7" max="7" width="26" customWidth="1"/>
    <x:col min="8" max="8" width="16" customWidth="1"/>
  </x:cols>
  <x:sheetData>
    <x:row r="1" ht="28" customHeight="1">
      <x:c r="A1" s="1" t="inlineStr">
        <x:is>
          <x:t xml:space="preserve">Experiment Roadmap</x:t>
        </x:is>
      </x:c>
    </x:row>
    <x:row r="2" ht="36" customHeight="1">
      <x:c r="A2" s="3" t="inlineStr">
        <x:is>
          <x:t xml:space="preserve">Recommended experiments that convert the hypotheses into validation work.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ID</x:t>
        </x:is>
      </x:c>
      <x:c r="B4" s="4" t="inlineStr">
        <x:is>
          <x:t xml:space="preserve">Experiment</x:t>
        </x:is>
      </x:c>
      <x:c r="C4" s="4" t="inlineStr">
        <x:is>
          <x:t xml:space="preserve">Question</x:t>
        </x:is>
      </x:c>
      <x:c r="D4" s="4" t="inlineStr">
        <x:is>
          <x:t xml:space="preserve">Conditions</x:t>
        </x:is>
      </x:c>
      <x:c r="E4" s="4" t="inlineStr">
        <x:is>
          <x:t xml:space="preserve">Design</x:t>
        </x:is>
      </x:c>
      <x:c r="F4" s="4" t="inlineStr">
        <x:is>
          <x:t xml:space="preserve">Primary metrics</x:t>
        </x:is>
      </x:c>
      <x:c r="G4" s="4" t="inlineStr">
        <x:is>
          <x:t xml:space="preserve">Hypotheses tested</x:t>
        </x:is>
      </x:c>
      <x:c r="H4" s="4" t="inlineStr">
        <x:is>
          <x:t xml:space="preserve">Priority</x:t>
        </x:is>
      </x:c>
    </x:row>
    <x:row r="5">
      <x:c r="A5" s="5" t="inlineStr">
        <x:is>
          <x:t xml:space="preserve">E01</x:t>
        </x:is>
      </x:c>
      <x:c r="B5" s="6" t="inlineStr">
        <x:is>
          <x:t xml:space="preserve">Core isolation</x:t>
        </x:is>
      </x:c>
      <x:c r="C5" s="7" t="inlineStr">
        <x:is>
          <x:t xml:space="preserve">Does BCC add value beyond semantic compression?</x:t>
        </x:is>
      </x:c>
      <x:c r="D5" s="7" t="inlineStr">
        <x:is>
          <x:t xml:space="preserve">Semantic Compression vs BCC vs Heavy Bionic</x:t>
        </x:is>
      </x:c>
      <x:c r="E5" s="7" t="inlineStr">
        <x:is>
          <x:t xml:space="preserve">12 clips, within-subject, audio-on and muted</x:t>
        </x:is>
      </x:c>
      <x:c r="F5" s="7" t="inlineStr">
        <x:is>
          <x:t xml:space="preserve">Gist recall, action recall, effort, preference</x:t>
        </x:is>
      </x:c>
      <x:c r="G5" s="7" t="inlineStr">
        <x:is>
          <x:t xml:space="preserve">H01,H02,H03</x:t>
        </x:is>
      </x:c>
      <x:c r="H5" s="10" t="inlineStr">
        <x:is>
          <x:t xml:space="preserve">Run first</x:t>
        </x:is>
      </x:c>
    </x:row>
    <x:row r="6">
      <x:c r="A6" s="5" t="inlineStr">
        <x:is>
          <x:t xml:space="preserve">E02</x:t>
        </x:is>
      </x:c>
      <x:c r="B6" s="6" t="inlineStr">
        <x:is>
          <x:t xml:space="preserve">Phrase structure</x:t>
        </x:is>
      </x:c>
      <x:c r="C6" s="7" t="inlineStr">
        <x:is>
          <x:t xml:space="preserve">Do structured phrases beat isolated keywords?</x:t>
        </x:is>
      </x:c>
      <x:c r="D6" s="7" t="inlineStr">
        <x:is>
          <x:t xml:space="preserve">SVO / Not-X-Y / Problem-Cause-Fix vs keyword-only</x:t>
        </x:is>
      </x:c>
      <x:c r="E6" s="7" t="inlineStr">
        <x:is>
          <x:t xml:space="preserve">Microclips with same semantic content</x:t>
        </x:is>
      </x:c>
      <x:c r="F6" s="7" t="inlineStr">
        <x:is>
          <x:t xml:space="preserve">Gist recall, structure recall, response time</x:t>
        </x:is>
      </x:c>
      <x:c r="G6" s="7" t="inlineStr">
        <x:is>
          <x:t xml:space="preserve">H04,H05,H16</x:t>
        </x:is>
      </x:c>
      <x:c r="H6" s="10" t="inlineStr">
        <x:is>
          <x:t xml:space="preserve">High</x:t>
        </x:is>
      </x:c>
    </x:row>
    <x:row r="7">
      <x:c r="A7" s="5" t="inlineStr">
        <x:is>
          <x:t xml:space="preserve">E03</x:t>
        </x:is>
      </x:c>
      <x:c r="B7" s="6" t="inlineStr">
        <x:is>
          <x:t xml:space="preserve">Timing offset</x:t>
        </x:is>
      </x:c>
      <x:c r="C7" s="7" t="inlineStr">
        <x:is>
          <x:t xml:space="preserve">When should semantic text appear?</x:t>
        </x:is>
      </x:c>
      <x:c r="D7" s="7" t="inlineStr">
        <x:is>
          <x:t xml:space="preserve">Pre-cue 400ms, pre-cue 200ms, sync, post 200ms, post 400ms</x:t>
        </x:is>
      </x:c>
      <x:c r="E7" s="7" t="inlineStr">
        <x:is>
          <x:t xml:space="preserve">Same clips, varied overlay timing</x:t>
        </x:is>
      </x:c>
      <x:c r="F7" s="7" t="inlineStr">
        <x:is>
          <x:t xml:space="preserve">Gist recall, effort, perceived smoothness</x:t>
        </x:is>
      </x:c>
      <x:c r="G7" s="7" t="inlineStr">
        <x:is>
          <x:t xml:space="preserve">H06,H07</x:t>
        </x:is>
      </x:c>
      <x:c r="H7" s="10" t="inlineStr">
        <x:is>
          <x:t xml:space="preserve">High</x:t>
        </x:is>
      </x:c>
    </x:row>
    <x:row r="8">
      <x:c r="A8" s="5" t="inlineStr">
        <x:is>
          <x:t xml:space="preserve">E04</x:t>
        </x:is>
      </x:c>
      <x:c r="B8" s="6" t="inlineStr">
        <x:is>
          <x:t xml:space="preserve">Placement</x:t>
        </x:is>
      </x:c>
      <x:c r="C8" s="7" t="inlineStr">
        <x:is>
          <x:t xml:space="preserve">Where should text live in vertical video?</x:t>
        </x:is>
      </x:c>
      <x:c r="D8" s="7" t="inlineStr">
        <x:is>
          <x:t xml:space="preserve">Bottom-fixed, mouth-safe, object-near, saliency-safe</x:t>
        </x:is>
      </x:c>
      <x:c r="E8" s="7" t="inlineStr">
        <x:is>
          <x:t xml:space="preserve">Talking head, tutorial, product demo clips</x:t>
        </x:is>
      </x:c>
      <x:c r="F8" s="7" t="inlineStr">
        <x:is>
          <x:t xml:space="preserve">Visual recall, text dwell, face/object dwell</x:t>
        </x:is>
      </x:c>
      <x:c r="G8" s="7" t="inlineStr">
        <x:is>
          <x:t xml:space="preserve">H08,H09,H10,H14</x:t>
        </x:is>
      </x:c>
      <x:c r="H8" s="10" t="inlineStr">
        <x:is>
          <x:t xml:space="preserve">High</x:t>
        </x:is>
      </x:c>
    </x:row>
    <x:row r="9">
      <x:c r="A9" s="5" t="inlineStr">
        <x:is>
          <x:t xml:space="preserve">E05</x:t>
        </x:is>
      </x:c>
      <x:c r="B9" s="6" t="inlineStr">
        <x:is>
          <x:t xml:space="preserve">Visual load adaptation</x:t>
        </x:is>
      </x:c>
      <x:c r="C9" s="7" t="inlineStr">
        <x:is>
          <x:t xml:space="preserve">Does adaptive density beat fixed density?</x:t>
        </x:is>
      </x:c>
      <x:c r="D9" s="7" t="inlineStr">
        <x:is>
          <x:t xml:space="preserve">Fixed 5-word captions vs visual-load-adaptive 1–7 word captions</x:t>
        </x:is>
      </x:c>
      <x:c r="E9" s="7" t="inlineStr">
        <x:is>
          <x:t xml:space="preserve">Simple vs complex frames</x:t>
        </x:is>
      </x:c>
      <x:c r="F9" s="7" t="inlineStr">
        <x:is>
          <x:t xml:space="preserve">Effort, visual recall, completion</x:t>
        </x:is>
      </x:c>
      <x:c r="G9" s="7" t="inlineStr">
        <x:is>
          <x:t xml:space="preserve">H11,H12,H13</x:t>
        </x:is>
      </x:c>
      <x:c r="H9" s="10" t="inlineStr">
        <x:is>
          <x:t xml:space="preserve">High</x:t>
        </x:is>
      </x:c>
    </x:row>
    <x:row r="10">
      <x:c r="A10" s="5" t="inlineStr">
        <x:is>
          <x:t xml:space="preserve">E06</x:t>
        </x:is>
      </x:c>
      <x:c r="B10" s="6" t="inlineStr">
        <x:is>
          <x:t xml:space="preserve">Motion dose</x:t>
        </x:is>
      </x:c>
      <x:c r="C10" s="7" t="inlineStr">
        <x:is>
          <x:t xml:space="preserve">How much motion helps?</x:t>
        </x:is>
      </x:c>
      <x:c r="D10" s="7" t="inlineStr">
        <x:is>
          <x:t xml:space="preserve">Static, soft scale/fade, logic motion, word-pop, karaoke, decorative bounce</x:t>
        </x:is>
      </x:c>
      <x:c r="E10" s="7" t="inlineStr">
        <x:is>
          <x:t xml:space="preserve">Educational vs comedy clips</x:t>
        </x:is>
      </x:c>
      <x:c r="F10" s="7" t="inlineStr">
        <x:is>
          <x:t xml:space="preserve">Recall, effort, fatigue, preference</x:t>
        </x:is>
      </x:c>
      <x:c r="G10" s="7" t="inlineStr">
        <x:is>
          <x:t xml:space="preserve">H19,H20</x:t>
        </x:is>
      </x:c>
      <x:c r="H10" s="12" t="inlineStr">
        <x:is>
          <x:t xml:space="preserve">Medium</x:t>
        </x:is>
      </x:c>
    </x:row>
    <x:row r="11">
      <x:c r="A11" s="5" t="inlineStr">
        <x:is>
          <x:t xml:space="preserve">E07</x:t>
        </x:is>
      </x:c>
      <x:c r="B11" s="6" t="inlineStr">
        <x:is>
          <x:t xml:space="preserve">Micro-rest rhythm</x:t>
        </x:is>
      </x:c>
      <x:c r="C11" s="7" t="inlineStr">
        <x:is>
          <x:t xml:space="preserve">Do no-text gaps reduce effort?</x:t>
        </x:is>
      </x:c>
      <x:c r="D11" s="7" t="inlineStr">
        <x:is>
          <x:t xml:space="preserve">Continuous overlay vs beat-rest rhythm vs complexity-paused rhythm</x:t>
        </x:is>
      </x:c>
      <x:c r="E11" s="7" t="inlineStr">
        <x:is>
          <x:t xml:space="preserve">Dense educational clips</x:t>
        </x:is>
      </x:c>
      <x:c r="F11" s="7" t="inlineStr">
        <x:is>
          <x:t xml:space="preserve">Effort, completion, visual recall</x:t>
        </x:is>
      </x:c>
      <x:c r="G11" s="7" t="inlineStr">
        <x:is>
          <x:t xml:space="preserve">H17,H18</x:t>
        </x:is>
      </x:c>
      <x:c r="H11" s="12" t="inlineStr">
        <x:is>
          <x:t xml:space="preserve">Medium</x:t>
        </x:is>
      </x:c>
    </x:row>
    <x:row r="12">
      <x:c r="A12" s="5" t="inlineStr">
        <x:is>
          <x:t xml:space="preserve">E08</x:t>
        </x:is>
      </x:c>
      <x:c r="B12" s="6" t="inlineStr">
        <x:is>
          <x:t xml:space="preserve">Accessibility layering</x:t>
        </x:is>
      </x:c>
      <x:c r="C12" s="7" t="inlineStr">
        <x:is>
          <x:t xml:space="preserve">Does dual-layer outperform overlay-only?</x:t>
        </x:is>
      </x:c>
      <x:c r="D12" s="7" t="inlineStr">
        <x:is>
          <x:t xml:space="preserve">Closed captions only, BCC only, closed captions + BCC</x:t>
        </x:is>
      </x:c>
      <x:c r="E12" s="7" t="inlineStr">
        <x:is>
          <x:t xml:space="preserve">DHH/L2/general sample</x:t>
        </x:is>
      </x:c>
      <x:c r="F12" s="7" t="inlineStr">
        <x:is>
          <x:t xml:space="preserve">Exact recall, gist recall, preference</x:t>
        </x:is>
      </x:c>
      <x:c r="G12" s="7" t="inlineStr">
        <x:is>
          <x:t xml:space="preserve">H23,H24,H26</x:t>
        </x:is>
      </x:c>
      <x:c r="H12" s="10" t="inlineStr">
        <x:is>
          <x:t xml:space="preserve">High</x:t>
        </x:is>
      </x:c>
    </x:row>
    <x:row r="13">
      <x:c r="A13" s="5" t="inlineStr">
        <x:is>
          <x:t xml:space="preserve">E09</x:t>
        </x:is>
      </x:c>
      <x:c r="B13" s="6" t="inlineStr">
        <x:is>
          <x:t xml:space="preserve">Affective semantics</x:t>
        </x:is>
      </x:c>
      <x:c r="C13" s="7" t="inlineStr">
        <x:is>
          <x:t xml:space="preserve">When do emotional overlays help?</x:t>
        </x:is>
      </x:c>
      <x:c r="D13" s="7" t="inlineStr">
        <x:is>
          <x:t xml:space="preserve">Plain BCC vs affective-semantic BCC</x:t>
        </x:is>
      </x:c>
      <x:c r="E13" s="7" t="inlineStr">
        <x:is>
          <x:t xml:space="preserve">Story/emotional persuasion clips</x:t>
        </x:is>
      </x:c>
      <x:c r="F13" s="7" t="inlineStr">
        <x:is>
          <x:t xml:space="preserve">Tone recognition, engagement, recall</x:t>
        </x:is>
      </x:c>
      <x:c r="G13" s="7" t="inlineStr">
        <x:is>
          <x:t xml:space="preserve">H21,H22,H38</x:t>
        </x:is>
      </x:c>
      <x:c r="H13" s="12" t="inlineStr">
        <x:is>
          <x:t xml:space="preserve">Medium</x:t>
        </x:is>
      </x:c>
    </x:row>
    <x:row r="14">
      <x:c r="A14" s="5" t="inlineStr">
        <x:is>
          <x:t xml:space="preserve">E10</x:t>
        </x:is>
      </x:c>
      <x:c r="B14" s="6" t="inlineStr">
        <x:is>
          <x:t xml:space="preserve">AI placement prototype</x:t>
        </x:is>
      </x:c>
      <x:c r="C14" s="7" t="inlineStr">
        <x:is>
          <x:t xml:space="preserve">Can saliency+meaning placement improve outcomes?</x:t>
        </x:is>
      </x:c>
      <x:c r="D14" s="7" t="inlineStr">
        <x:is>
          <x:t xml:space="preserve">Manual placement, saliency-only, saliency+meaning model</x:t>
        </x:is>
      </x:c>
      <x:c r="E14" s="7" t="inlineStr">
        <x:is>
          <x:t xml:space="preserve">Vertical video corpus</x:t>
        </x:is>
      </x:c>
      <x:c r="F14" s="7" t="inlineStr">
        <x:is>
          <x:t xml:space="preserve">Rubric score, recall, visual recall</x:t>
        </x:is>
      </x:c>
      <x:c r="G14" s="7" t="inlineStr">
        <x:is>
          <x:t xml:space="preserve">H30,H31,H40</x:t>
        </x:is>
      </x:c>
      <x:c r="H14" s="12" t="inlineStr">
        <x:is>
          <x:t xml:space="preserve">Later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69d004be2ab64f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0" customWidth="1"/>
    <x:col min="3" max="3" width="64" customWidth="1"/>
    <x:col min="4" max="4" width="36" customWidth="1"/>
    <x:col min="5" max="5" width="28" customWidth="1"/>
  </x:cols>
  <x:sheetData>
    <x:row r="1" ht="28" customHeight="1">
      <x:c r="A1" s="1" t="inlineStr">
        <x:is>
          <x:t xml:space="preserve">BCC+ Architecture</x:t>
        </x:is>
      </x:c>
    </x:row>
    <x:row r="2" ht="36" customHeight="1">
      <x:c r="A2" s="3" t="inlineStr">
        <x:is>
          <x:t xml:space="preserve">A research-derived product architecture for adaptive semantic overlays.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Stage</x:t>
        </x:is>
      </x:c>
      <x:c r="B4" s="4" t="inlineStr">
        <x:is>
          <x:t xml:space="preserve">Input</x:t>
        </x:is>
      </x:c>
      <x:c r="C4" s="4" t="inlineStr">
        <x:is>
          <x:t xml:space="preserve">Decision / Transformation</x:t>
        </x:is>
      </x:c>
      <x:c r="D4" s="4" t="inlineStr">
        <x:is>
          <x:t xml:space="preserve">Output</x:t>
        </x:is>
      </x:c>
      <x:c r="E4" s="4" t="inlineStr">
        <x:is>
          <x:t xml:space="preserve">Related hypotheses</x:t>
        </x:is>
      </x:c>
      <x:c r="F4" s="4" t="n"/>
      <x:c r="G4" s="4" t="n"/>
      <x:c r="H4" s="4" t="n"/>
    </x:row>
    <x:row r="5">
      <x:c r="A5" s="5" t="inlineStr">
        <x:is>
          <x:t xml:space="preserve">1. Transcription</x:t>
        </x:is>
      </x:c>
      <x:c r="B5" s="7" t="inlineStr">
        <x:is>
          <x:t xml:space="preserve">Speech audio</x:t>
        </x:is>
      </x:c>
      <x:c r="C5" s="7" t="inlineStr">
        <x:is>
          <x:t xml:space="preserve">Generate full transcript and closed-caption layer.</x:t>
        </x:is>
      </x:c>
      <x:c r="D5" s="7" t="inlineStr">
        <x:is>
          <x:t xml:space="preserve">Accessible caption track</x:t>
        </x:is>
      </x:c>
      <x:c r="E5" s="7" t="inlineStr">
        <x:is>
          <x:t xml:space="preserve">H23,H24</x:t>
        </x:is>
      </x:c>
      <x:c r="F5" s="2" t="n"/>
      <x:c r="G5" s="2" t="n"/>
      <x:c r="H5" s="2" t="n"/>
    </x:row>
    <x:row r="6">
      <x:c r="A6" s="5" t="inlineStr">
        <x:is>
          <x:t xml:space="preserve">2. Proposition extraction</x:t>
        </x:is>
      </x:c>
      <x:c r="B6" s="7" t="inlineStr">
        <x:is>
          <x:t xml:space="preserve">Transcript</x:t>
        </x:is>
      </x:c>
      <x:c r="C6" s="7" t="inlineStr">
        <x:is>
          <x:t xml:space="preserve">Identify claims, contrasts, causes, actions and payoff.</x:t>
        </x:is>
      </x:c>
      <x:c r="D6" s="7" t="inlineStr">
        <x:is>
          <x:t xml:space="preserve">Semantic proposition list</x:t>
        </x:is>
      </x:c>
      <x:c r="E6" s="7" t="inlineStr">
        <x:is>
          <x:t xml:space="preserve">H01,H32,H40</x:t>
        </x:is>
      </x:c>
      <x:c r="F6" s="2" t="n"/>
      <x:c r="G6" s="2" t="n"/>
      <x:c r="H6" s="2" t="n"/>
    </x:row>
    <x:row r="7">
      <x:c r="A7" s="5" t="inlineStr">
        <x:is>
          <x:t xml:space="preserve">3. Semantic beat compression</x:t>
        </x:is>
      </x:c>
      <x:c r="B7" s="7" t="inlineStr">
        <x:is>
          <x:t xml:space="preserve">Propositions</x:t>
        </x:is>
      </x:c>
      <x:c r="C7" s="7" t="inlineStr">
        <x:is>
          <x:t xml:space="preserve">Reduce each proposition into a short semantic beat.</x:t>
        </x:is>
      </x:c>
      <x:c r="D7" s="7" t="inlineStr">
        <x:is>
          <x:t xml:space="preserve">Semantic Compression captions</x:t>
        </x:is>
      </x:c>
      <x:c r="E7" s="7" t="inlineStr">
        <x:is>
          <x:t xml:space="preserve">H01,H15,H16</x:t>
        </x:is>
      </x:c>
      <x:c r="F7" s="2" t="n"/>
      <x:c r="G7" s="2" t="n"/>
      <x:c r="H7" s="2" t="n"/>
    </x:row>
    <x:row r="8">
      <x:c r="A8" s="5" t="inlineStr">
        <x:is>
          <x:t xml:space="preserve">4. Anchor selection</x:t>
        </x:is>
      </x:c>
      <x:c r="B8" s="7" t="inlineStr">
        <x:is>
          <x:t xml:space="preserve">Semantic beats</x:t>
        </x:is>
      </x:c>
      <x:c r="C8" s="7" t="inlineStr">
        <x:is>
          <x:t xml:space="preserve">Apply full-bold operator anchors and optional partial concept anchors.</x:t>
        </x:is>
      </x:c>
      <x:c r="D8" s="7" t="inlineStr">
        <x:is>
          <x:t xml:space="preserve">BCC variants</x:t>
        </x:is>
      </x:c>
      <x:c r="E8" s="7" t="inlineStr">
        <x:is>
          <x:t xml:space="preserve">H02,H03,H37</x:t>
        </x:is>
      </x:c>
      <x:c r="F8" s="2" t="n"/>
      <x:c r="G8" s="2" t="n"/>
      <x:c r="H8" s="2" t="n"/>
    </x:row>
    <x:row r="9">
      <x:c r="A9" s="5" t="inlineStr">
        <x:is>
          <x:t xml:space="preserve">5. Visual analysis</x:t>
        </x:is>
      </x:c>
      <x:c r="B9" s="7" t="inlineStr">
        <x:is>
          <x:t xml:space="preserve">Video frames</x:t>
        </x:is>
      </x:c>
      <x:c r="C9" s="7" t="inlineStr">
        <x:is>
          <x:t xml:space="preserve">Detect face, mouth, hands, product, UI, motion and background clutter.</x:t>
        </x:is>
      </x:c>
      <x:c r="D9" s="7" t="inlineStr">
        <x:is>
          <x:t xml:space="preserve">Safety map</x:t>
        </x:is>
      </x:c>
      <x:c r="E9" s="7" t="inlineStr">
        <x:is>
          <x:t xml:space="preserve">H08,H09,H10,H31</x:t>
        </x:is>
      </x:c>
      <x:c r="F9" s="2" t="n"/>
      <x:c r="G9" s="2" t="n"/>
      <x:c r="H9" s="2" t="n"/>
    </x:row>
    <x:row r="10">
      <x:c r="A10" s="5" t="inlineStr">
        <x:is>
          <x:t xml:space="preserve">6. Saliency + meaning fusion</x:t>
        </x:is>
      </x:c>
      <x:c r="B10" s="7" t="inlineStr">
        <x:is>
          <x:t xml:space="preserve">Safety map + semantic roles</x:t>
        </x:is>
      </x:c>
      <x:c r="C10" s="7" t="inlineStr">
        <x:is>
          <x:t xml:space="preserve">Predict low-conflict placement zones using saliency and semantic importance.</x:t>
        </x:is>
      </x:c>
      <x:c r="D10" s="7" t="inlineStr">
        <x:is>
          <x:t xml:space="preserve">Placement plan</x:t>
        </x:is>
      </x:c>
      <x:c r="E10" s="7" t="inlineStr">
        <x:is>
          <x:t xml:space="preserve">H30,H33,H34</x:t>
        </x:is>
      </x:c>
      <x:c r="F10" s="2" t="n"/>
      <x:c r="G10" s="2" t="n"/>
      <x:c r="H10" s="2" t="n"/>
    </x:row>
    <x:row r="11">
      <x:c r="A11" s="5" t="inlineStr">
        <x:is>
          <x:t xml:space="preserve">7. Timing alignment</x:t>
        </x:is>
      </x:c>
      <x:c r="B11" s="7" t="inlineStr">
        <x:is>
          <x:t xml:space="preserve">Audio + edit timeline</x:t>
        </x:is>
      </x:c>
      <x:c r="C11" s="7" t="inlineStr">
        <x:is>
          <x:t xml:space="preserve">Choose pre-cue/sync/post cue and micro-rest rhythm.</x:t>
        </x:is>
      </x:c>
      <x:c r="D11" s="7" t="inlineStr">
        <x:is>
          <x:t xml:space="preserve">Timed overlay plan</x:t>
        </x:is>
      </x:c>
      <x:c r="E11" s="7" t="inlineStr">
        <x:is>
          <x:t xml:space="preserve">H06,H17,H18</x:t>
        </x:is>
      </x:c>
      <x:c r="F11" s="2" t="n"/>
      <x:c r="G11" s="2" t="n"/>
      <x:c r="H11" s="2" t="n"/>
    </x:row>
    <x:row r="12">
      <x:c r="A12" s="5" t="inlineStr">
        <x:is>
          <x:t xml:space="preserve">8. Motion/affect layer</x:t>
        </x:is>
      </x:c>
      <x:c r="B12" s="7" t="inlineStr">
        <x:is>
          <x:t xml:space="preserve">Semantic roles + tone</x:t>
        </x:is>
      </x:c>
      <x:c r="C12" s="7" t="inlineStr">
        <x:is>
          <x:t xml:space="preserve">Add only logic motion or affective cues where useful.</x:t>
        </x:is>
      </x:c>
      <x:c r="D12" s="7" t="inlineStr">
        <x:is>
          <x:t xml:space="preserve">Final styled overlay</x:t>
        </x:is>
      </x:c>
      <x:c r="E12" s="7" t="inlineStr">
        <x:is>
          <x:t xml:space="preserve">H19,H21,H22</x:t>
        </x:is>
      </x:c>
      <x:c r="F12" s="2" t="n"/>
      <x:c r="G12" s="2" t="n"/>
      <x:c r="H12" s="2" t="n"/>
    </x:row>
    <x:row r="13">
      <x:c r="A13" s="5" t="inlineStr">
        <x:is>
          <x:t xml:space="preserve">9. Scoring + export</x:t>
        </x:is>
      </x:c>
      <x:c r="B13" s="7" t="inlineStr">
        <x:is>
          <x:t xml:space="preserve">Overlay plan</x:t>
        </x:is>
      </x:c>
      <x:c r="C13" s="7" t="inlineStr">
        <x:is>
          <x:t xml:space="preserve">Score compression, clarity, placement, muted comprehension and accessibility.</x:t>
        </x:is>
      </x:c>
      <x:c r="D13" s="7" t="inlineStr">
        <x:is>
          <x:t xml:space="preserve">ASS/SRT/VTT/editor JSON</x:t>
        </x:is>
      </x:c>
      <x:c r="E13" s="7" t="inlineStr">
        <x:is>
          <x:t xml:space="preserve">H40</x:t>
        </x:is>
      </x:c>
      <x:c r="F13" s="2" t="n"/>
      <x:c r="G13" s="2" t="n"/>
      <x:c r="H13" s="2" t="n"/>
    </x:row>
    <x:row r="14">
      <x:c r="A14" s="5" t="inlineStr">
        <x:is>
          <x:t xml:space="preserve">10. Measurement loop</x:t>
        </x:is>
      </x:c>
      <x:c r="B14" s="7" t="inlineStr">
        <x:is>
          <x:t xml:space="preserve">Platform/lab data</x:t>
        </x:is>
      </x:c>
      <x:c r="C14" s="7" t="inlineStr">
        <x:is>
          <x:t xml:space="preserve">Optimize for meaning per fixation/second, not raw watch time.</x:t>
        </x:is>
      </x:c>
      <x:c r="D14" s="7" t="inlineStr">
        <x:is>
          <x:t xml:space="preserve">Evidence-backed design rules</x:t>
        </x:is>
      </x:c>
      <x:c r="E14" s="7" t="inlineStr">
        <x:is>
          <x:t xml:space="preserve">H28,H29,H33</x:t>
        </x:is>
      </x:c>
      <x:c r="F14" s="2" t="n"/>
      <x:c r="G14" s="2" t="n"/>
      <x:c r="H14" s="2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c797605cb4464d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52" customWidth="1"/>
    <x:col min="3" max="3" width="42" customWidth="1"/>
    <x:col min="4" max="4" width="38" customWidth="1"/>
    <x:col min="5" max="5" width="24" customWidth="1"/>
  </x:cols>
  <x:sheetData>
    <x:row r="1" ht="28" customHeight="1">
      <x:c r="A1" s="1" t="inlineStr">
        <x:is>
          <x:t xml:space="preserve">Measurement Dictionary</x:t>
        </x:is>
      </x:c>
    </x:row>
    <x:row r="2" ht="36" customHeight="1">
      <x:c r="A2" s="3" t="inlineStr">
        <x:is>
          <x:t xml:space="preserve">Measures that align with the goal: more meaning per fixation, not faster reading.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Metric</x:t>
        </x:is>
      </x:c>
      <x:c r="B4" s="4" t="inlineStr">
        <x:is>
          <x:t xml:space="preserve">Definition</x:t>
        </x:is>
      </x:c>
      <x:c r="C4" s="4" t="inlineStr">
        <x:is>
          <x:t xml:space="preserve">Use</x:t>
        </x:is>
      </x:c>
      <x:c r="D4" s="4" t="inlineStr">
        <x:is>
          <x:t xml:space="preserve">Collection method</x:t>
        </x:is>
      </x:c>
      <x:c r="E4" s="4" t="inlineStr">
        <x:is>
          <x:t xml:space="preserve">Related hypotheses</x:t>
        </x:is>
      </x:c>
      <x:c r="F4" s="4" t="n"/>
      <x:c r="G4" s="4" t="n"/>
      <x:c r="H4" s="4" t="n"/>
    </x:row>
    <x:row r="5">
      <x:c r="A5" s="6" t="inlineStr">
        <x:is>
          <x:t xml:space="preserve">Gist recall</x:t>
        </x:is>
      </x:c>
      <x:c r="B5" s="7" t="inlineStr">
        <x:is>
          <x:t xml:space="preserve">Can the viewer state the main point?</x:t>
        </x:is>
      </x:c>
      <x:c r="C5" s="7" t="inlineStr">
        <x:is>
          <x:t xml:space="preserve">Primary comprehension outcome</x:t>
        </x:is>
      </x:c>
      <x:c r="D5" s="7" t="inlineStr">
        <x:is>
          <x:t xml:space="preserve">Survey immediately after clip</x:t>
        </x:is>
      </x:c>
      <x:c r="E5" s="7" t="inlineStr">
        <x:is>
          <x:t xml:space="preserve">H01,H02,H05</x:t>
        </x:is>
      </x:c>
      <x:c r="F5" s="2" t="n"/>
      <x:c r="G5" s="2" t="n"/>
      <x:c r="H5" s="2" t="n"/>
    </x:row>
    <x:row r="6">
      <x:c r="A6" s="6" t="inlineStr">
        <x:is>
          <x:t xml:space="preserve">Action recall</x:t>
        </x:is>
      </x:c>
      <x:c r="B6" s="7" t="inlineStr">
        <x:is>
          <x:t xml:space="preserve">Can the viewer state what to do next?</x:t>
        </x:is>
      </x:c>
      <x:c r="C6" s="7" t="inlineStr">
        <x:is>
          <x:t xml:space="preserve">Useful for advice/tutorial content</x:t>
        </x:is>
      </x:c>
      <x:c r="D6" s="7" t="inlineStr">
        <x:is>
          <x:t xml:space="preserve">Survey / multiple choice</x:t>
        </x:is>
      </x:c>
      <x:c r="E6" s="7" t="inlineStr">
        <x:is>
          <x:t xml:space="preserve">H10,H15,H16</x:t>
        </x:is>
      </x:c>
      <x:c r="F6" s="2" t="n"/>
      <x:c r="G6" s="2" t="n"/>
      <x:c r="H6" s="2" t="n"/>
    </x:row>
    <x:row r="7">
      <x:c r="A7" s="6" t="inlineStr">
        <x:is>
          <x:t xml:space="preserve">Contrast recall</x:t>
        </x:is>
      </x:c>
      <x:c r="B7" s="7" t="inlineStr">
        <x:is>
          <x:t xml:space="preserve">Can the viewer remember the false belief and correction?</x:t>
        </x:is>
      </x:c>
      <x:c r="C7" s="7" t="inlineStr">
        <x:is>
          <x:t xml:space="preserve">Tests operator-first captions</x:t>
        </x:is>
      </x:c>
      <x:c r="D7" s="7" t="inlineStr">
        <x:is>
          <x:t xml:space="preserve">Survey</x:t>
        </x:is>
      </x:c>
      <x:c r="E7" s="7" t="inlineStr">
        <x:is>
          <x:t xml:space="preserve">H04,H05</x:t>
        </x:is>
      </x:c>
      <x:c r="F7" s="2" t="n"/>
      <x:c r="G7" s="2" t="n"/>
      <x:c r="H7" s="2" t="n"/>
    </x:row>
    <x:row r="8">
      <x:c r="A8" s="6" t="inlineStr">
        <x:is>
          <x:t xml:space="preserve">Exact recall</x:t>
        </x:is>
      </x:c>
      <x:c r="B8" s="7" t="inlineStr">
        <x:is>
          <x:t xml:space="preserve">Can the viewer recall wording?</x:t>
        </x:is>
      </x:c>
      <x:c r="C8" s="7" t="inlineStr">
        <x:is>
          <x:t xml:space="preserve">Detects cost of compression</x:t>
        </x:is>
      </x:c>
      <x:c r="D8" s="7" t="inlineStr">
        <x:is>
          <x:t xml:space="preserve">Survey</x:t>
        </x:is>
      </x:c>
      <x:c r="E8" s="7" t="inlineStr">
        <x:is>
          <x:t xml:space="preserve">H01,H23</x:t>
        </x:is>
      </x:c>
      <x:c r="F8" s="2" t="n"/>
      <x:c r="G8" s="2" t="n"/>
      <x:c r="H8" s="2" t="n"/>
    </x:row>
    <x:row r="9">
      <x:c r="A9" s="6" t="inlineStr">
        <x:is>
          <x:t xml:space="preserve">Visual recall</x:t>
        </x:is>
      </x:c>
      <x:c r="B9" s="7" t="inlineStr">
        <x:is>
          <x:t xml:space="preserve">Can the viewer remember what happened visually?</x:t>
        </x:is>
      </x:c>
      <x:c r="C9" s="7" t="inlineStr">
        <x:is>
          <x:t xml:space="preserve">Detects whether captions stole gaze</x:t>
        </x:is>
      </x:c>
      <x:c r="D9" s="7" t="inlineStr">
        <x:is>
          <x:t xml:space="preserve">Survey / recognition task</x:t>
        </x:is>
      </x:c>
      <x:c r="E9" s="7" t="inlineStr">
        <x:is>
          <x:t xml:space="preserve">H08,H11,H14</x:t>
        </x:is>
      </x:c>
      <x:c r="F9" s="2" t="n"/>
      <x:c r="G9" s="2" t="n"/>
      <x:c r="H9" s="2" t="n"/>
    </x:row>
    <x:row r="10">
      <x:c r="A10" s="6" t="inlineStr">
        <x:is>
          <x:t xml:space="preserve">Perceived effort</x:t>
        </x:is>
      </x:c>
      <x:c r="B10" s="7" t="inlineStr">
        <x:is>
          <x:t xml:space="preserve">How mentally/visually effortful did the clip feel?</x:t>
        </x:is>
      </x:c>
      <x:c r="C10" s="7" t="inlineStr">
        <x:is>
          <x:t xml:space="preserve">Cognitive load proxy</x:t>
        </x:is>
      </x:c>
      <x:c r="D10" s="7" t="inlineStr">
        <x:is>
          <x:t xml:space="preserve">Likert scale</x:t>
        </x:is>
      </x:c>
      <x:c r="E10" s="7" t="inlineStr">
        <x:is>
          <x:t xml:space="preserve">H11,H17,H20</x:t>
        </x:is>
      </x:c>
      <x:c r="F10" s="2" t="n"/>
      <x:c r="G10" s="2" t="n"/>
      <x:c r="H10" s="2" t="n"/>
    </x:row>
    <x:row r="11">
      <x:c r="A11" s="6" t="inlineStr">
        <x:is>
          <x:t xml:space="preserve">Text dwell time</x:t>
        </x:is>
      </x:c>
      <x:c r="B11" s="7" t="inlineStr">
        <x:is>
          <x:t xml:space="preserve">How long gaze stays on text.</x:t>
        </x:is>
      </x:c>
      <x:c r="C11" s="7" t="inlineStr">
        <x:is>
          <x:t xml:space="preserve">Measures text cost</x:t>
        </x:is>
      </x:c>
      <x:c r="D11" s="7" t="inlineStr">
        <x:is>
          <x:t xml:space="preserve">Eye-tracking / webcam gaze</x:t>
        </x:is>
      </x:c>
      <x:c r="E11" s="7" t="inlineStr">
        <x:is>
          <x:t xml:space="preserve">H33,H34</x:t>
        </x:is>
      </x:c>
      <x:c r="F11" s="2" t="n"/>
      <x:c r="G11" s="2" t="n"/>
      <x:c r="H11" s="2" t="n"/>
    </x:row>
    <x:row r="12">
      <x:c r="A12" s="6" t="inlineStr">
        <x:is>
          <x:t xml:space="preserve">Face/object dwell time</x:t>
        </x:is>
      </x:c>
      <x:c r="B12" s="7" t="inlineStr">
        <x:is>
          <x:t xml:space="preserve">How much gaze remains on the core visual target.</x:t>
        </x:is>
      </x:c>
      <x:c r="C12" s="7" t="inlineStr">
        <x:is>
          <x:t xml:space="preserve">Measures visual preservation</x:t>
        </x:is>
      </x:c>
      <x:c r="D12" s="7" t="inlineStr">
        <x:is>
          <x:t xml:space="preserve">Eye-tracking / saliency proxy</x:t>
        </x:is>
      </x:c>
      <x:c r="E12" s="7" t="inlineStr">
        <x:is>
          <x:t xml:space="preserve">H08,H09,H10</x:t>
        </x:is>
      </x:c>
      <x:c r="F12" s="2" t="n"/>
      <x:c r="G12" s="2" t="n"/>
      <x:c r="H12" s="2" t="n"/>
    </x:row>
    <x:row r="13">
      <x:c r="A13" s="6" t="inlineStr">
        <x:is>
          <x:t xml:space="preserve">Saccade length / switching</x:t>
        </x:is>
      </x:c>
      <x:c r="B13" s="7" t="inlineStr">
        <x:is>
          <x:t xml:space="preserve">How far/often gaze jumps between text and visuals.</x:t>
        </x:is>
      </x:c>
      <x:c r="C13" s="7" t="inlineStr">
        <x:is>
          <x:t xml:space="preserve">Eyestrain/split-attention proxy</x:t>
        </x:is>
      </x:c>
      <x:c r="D13" s="7" t="inlineStr">
        <x:is>
          <x:t xml:space="preserve">Eye-tracking</x:t>
        </x:is>
      </x:c>
      <x:c r="E13" s="7" t="inlineStr">
        <x:is>
          <x:t xml:space="preserve">H08,H21</x:t>
        </x:is>
      </x:c>
      <x:c r="F13" s="2" t="n"/>
      <x:c r="G13" s="2" t="n"/>
      <x:c r="H13" s="2" t="n"/>
    </x:row>
    <x:row r="14">
      <x:c r="A14" s="6" t="inlineStr">
        <x:is>
          <x:t xml:space="preserve">Meaning per fixation</x:t>
        </x:is>
      </x:c>
      <x:c r="B14" s="7" t="inlineStr">
        <x:is>
          <x:t xml:space="preserve">Gist/action score divided by relevant fixation count.</x:t>
        </x:is>
      </x:c>
      <x:c r="C14" s="7" t="inlineStr">
        <x:is>
          <x:t xml:space="preserve">Master lab metric</x:t>
        </x:is>
      </x:c>
      <x:c r="D14" s="7" t="inlineStr">
        <x:is>
          <x:t xml:space="preserve">Derived formula</x:t>
        </x:is>
      </x:c>
      <x:c r="E14" s="7" t="inlineStr">
        <x:is>
          <x:t xml:space="preserve">H33</x:t>
        </x:is>
      </x:c>
      <x:c r="F14" s="2" t="n"/>
      <x:c r="G14" s="2" t="n"/>
      <x:c r="H14" s="2" t="n"/>
    </x:row>
    <x:row r="15">
      <x:c r="A15" s="6" t="inlineStr">
        <x:is>
          <x:t xml:space="preserve">Gist per second watched</x:t>
        </x:is>
      </x:c>
      <x:c r="B15" s="7" t="inlineStr">
        <x:is>
          <x:t xml:space="preserve">Gist/action score divided by watch time.</x:t>
        </x:is>
      </x:c>
      <x:c r="C15" s="7" t="inlineStr">
        <x:is>
          <x:t xml:space="preserve">Master platform-lab bridge</x:t>
        </x:is>
      </x:c>
      <x:c r="D15" s="7" t="inlineStr">
        <x:is>
          <x:t xml:space="preserve">Derived formula</x:t>
        </x:is>
      </x:c>
      <x:c r="E15" s="7" t="inlineStr">
        <x:is>
          <x:t xml:space="preserve">H28</x:t>
        </x:is>
      </x:c>
      <x:c r="F15" s="2" t="n"/>
      <x:c r="G15" s="2" t="n"/>
      <x:c r="H15" s="2" t="n"/>
    </x:row>
    <x:row r="16">
      <x:c r="A16" s="6" t="inlineStr">
        <x:is>
          <x:t xml:space="preserve">3-second hold</x:t>
        </x:is>
      </x:c>
      <x:c r="B16" s="7" t="inlineStr">
        <x:is>
          <x:t xml:space="preserve">Viewer retention after initial orientation window.</x:t>
        </x:is>
      </x:c>
      <x:c r="C16" s="7" t="inlineStr">
        <x:is>
          <x:t xml:space="preserve">Platform hook metric</x:t>
        </x:is>
      </x:c>
      <x:c r="D16" s="7" t="inlineStr">
        <x:is>
          <x:t xml:space="preserve">Platform analytics</x:t>
        </x:is>
      </x:c>
      <x:c r="E16" s="7" t="inlineStr">
        <x:is>
          <x:t xml:space="preserve">H27</x:t>
        </x:is>
      </x:c>
      <x:c r="F16" s="2" t="n"/>
      <x:c r="G16" s="2" t="n"/>
      <x:c r="H16" s="2" t="n"/>
    </x:row>
    <x:row r="17">
      <x:c r="A17" s="6" t="inlineStr">
        <x:is>
          <x:t xml:space="preserve">Completion rate</x:t>
        </x:is>
      </x:c>
      <x:c r="B17" s="7" t="inlineStr">
        <x:is>
          <x:t xml:space="preserve">Percent completing the clip.</x:t>
        </x:is>
      </x:c>
      <x:c r="C17" s="7" t="inlineStr">
        <x:is>
          <x:t xml:space="preserve">Retention/pacing metric</x:t>
        </x:is>
      </x:c>
      <x:c r="D17" s="7" t="inlineStr">
        <x:is>
          <x:t xml:space="preserve">Platform analytics</x:t>
        </x:is>
      </x:c>
      <x:c r="E17" s="7" t="inlineStr">
        <x:is>
          <x:t xml:space="preserve">H17,H19</x:t>
        </x:is>
      </x:c>
      <x:c r="F17" s="2" t="n"/>
      <x:c r="G17" s="2" t="n"/>
      <x:c r="H17" s="2" t="n"/>
    </x:row>
    <x:row r="18">
      <x:c r="A18" s="6" t="inlineStr">
        <x:is>
          <x:t xml:space="preserve">Saves / shares</x:t>
        </x:is>
      </x:c>
      <x:c r="B18" s="7" t="inlineStr">
        <x:is>
          <x:t xml:space="preserve">User thinks it is useful or memorable.</x:t>
        </x:is>
      </x:c>
      <x:c r="C18" s="7" t="inlineStr">
        <x:is>
          <x:t xml:space="preserve">Value metric</x:t>
        </x:is>
      </x:c>
      <x:c r="D18" s="7" t="inlineStr">
        <x:is>
          <x:t xml:space="preserve">Platform analytics</x:t>
        </x:is>
      </x:c>
      <x:c r="E18" s="7" t="inlineStr">
        <x:is>
          <x:t xml:space="preserve">H15,H28</x:t>
        </x:is>
      </x:c>
      <x:c r="F18" s="2" t="n"/>
      <x:c r="G18" s="2" t="n"/>
      <x:c r="H18" s="2" t="n"/>
    </x:row>
    <x:row r="19">
      <x:c r="A19" s="6" t="inlineStr">
        <x:is>
          <x:t xml:space="preserve">Clarification comments</x:t>
        </x:is>
      </x:c>
      <x:c r="B19" s="7" t="inlineStr">
        <x:is>
          <x:t xml:space="preserve">Comments indicating confusion.</x:t>
        </x:is>
      </x:c>
      <x:c r="C19" s="7" t="inlineStr">
        <x:is>
          <x:t xml:space="preserve">Compression failure proxy</x:t>
        </x:is>
      </x:c>
      <x:c r="D19" s="7" t="inlineStr">
        <x:is>
          <x:t xml:space="preserve">Manual/LLM coding</x:t>
        </x:is>
      </x:c>
      <x:c r="E19" s="7" t="inlineStr">
        <x:is>
          <x:t xml:space="preserve">H35</x:t>
        </x:is>
      </x:c>
      <x:c r="F19" s="2" t="n"/>
      <x:c r="G19" s="2" t="n"/>
      <x:c r="H19" s="2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864626e23d604d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70" customWidth="1"/>
    <x:col min="4" max="4" width="70" customWidth="1"/>
    <x:col min="5" max="5" width="16" customWidth="1"/>
    <x:col min="6" max="6" width="90" customWidth="1"/>
  </x:cols>
  <x:sheetData>
    <x:row r="1" ht="28" customHeight="1">
      <x:c r="A1" s="1" t="inlineStr">
        <x:is>
          <x:t xml:space="preserve">Source Map</x:t>
        </x:is>
      </x:c>
    </x:row>
    <x:row r="2" ht="36" customHeight="1">
      <x:c r="A2" s="3" t="inlineStr">
        <x:is>
          <x:t xml:space="preserve">Plain-text source URLs for the research basis. Source IDs are referenced in the hypothesis backlog.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Source ID</x:t>
        </x:is>
      </x:c>
      <x:c r="B4" s="4" t="inlineStr">
        <x:is>
          <x:t xml:space="preserve">Field</x:t>
        </x:is>
      </x:c>
      <x:c r="C4" s="4" t="inlineStr">
        <x:is>
          <x:t xml:space="preserve">Key finding</x:t>
        </x:is>
      </x:c>
      <x:c r="D4" s="4" t="inlineStr">
        <x:is>
          <x:t xml:space="preserve">Design implication</x:t>
        </x:is>
      </x:c>
      <x:c r="E4" s="4" t="inlineStr">
        <x:is>
          <x:t xml:space="preserve">Evidence strength</x:t>
        </x:is>
      </x:c>
      <x:c r="F4" s="4" t="inlineStr">
        <x:is>
          <x:t xml:space="preserve">URL</x:t>
        </x:is>
      </x:c>
      <x:c r="G4" s="4" t="n"/>
      <x:c r="H4" s="4" t="n"/>
    </x:row>
    <x:row r="5">
      <x:c r="A5" s="5" t="inlineStr">
        <x:is>
          <x:t xml:space="preserve">S1</x:t>
        </x:is>
      </x:c>
      <x:c r="B5" s="7" t="inlineStr">
        <x:is>
          <x:t xml:space="preserve">Sound-off subtitle processing</x:t>
        </x:is>
      </x:c>
      <x:c r="C5" s="7" t="inlineStr">
        <x:is>
          <x:t xml:space="preserve">Watching subtitled video without sound increased cognitive load and reduced comprehension, immersion and enjoyment; viewers processed subtitles more thoroughly when sound was absent.</x:t>
        </x:is>
      </x:c>
      <x:c r="D5" s="7" t="inlineStr">
        <x:is>
          <x:t xml:space="preserve">Use muted-first overlays; reduce visual language burden when audio is absent.</x:t>
        </x:is>
      </x:c>
      <x:c r="E5" s="7" t="n">
        <x:v>5</x:v>
      </x:c>
      <x:c r="F5" s="13" t="inlineStr">
        <x:is>
          <x:t xml:space="preserve">https://journals.plos.org/plosone/article?id=10.1371%2Fjournal.pone.0306251</x:t>
        </x:is>
      </x:c>
      <x:c r="G5" s="2" t="n"/>
      <x:c r="H5" s="2" t="n"/>
    </x:row>
    <x:row r="6">
      <x:c r="A6" s="5" t="inlineStr">
        <x:is>
          <x:t xml:space="preserve">S2</x:t>
        </x:is>
      </x:c>
      <x:c r="B6" s="7" t="inlineStr">
        <x:is>
          <x:t xml:space="preserve">Short-form video cognition</x:t>
        </x:is>
      </x:c>
      <x:c r="C6" s="7" t="inlineStr">
        <x:is>
          <x:t xml:space="preserve">Scroll immersion and short-form video use predicted attention difficulty, working-memory disruption and cognitive fatigue in a 2025 survey study.</x:t>
        </x:is>
      </x:c>
      <x:c r="D6" s="7" t="inlineStr">
        <x:is>
          <x:t xml:space="preserve">Optimize for fast orientation and low effort; avoid attention extraction without meaning payoff.</x:t>
        </x:is>
      </x:c>
      <x:c r="E6" s="7" t="n">
        <x:v>4</x:v>
      </x:c>
      <x:c r="F6" s="13" t="inlineStr">
        <x:is>
          <x:t xml:space="preserve">https://www.sciencedirect.com/science/article/pii/S0001691825009874</x:t>
        </x:is>
      </x:c>
      <x:c r="G6" s="2" t="n"/>
      <x:c r="H6" s="2" t="n"/>
    </x:row>
    <x:row r="7">
      <x:c r="A7" s="5" t="inlineStr">
        <x:is>
          <x:t xml:space="preserve">S3</x:t>
        </x:is>
      </x:c>
      <x:c r="B7" s="7" t="inlineStr">
        <x:is>
          <x:t xml:space="preserve">Video saliency prediction</x:t>
        </x:is>
      </x:c>
      <x:c r="C7" s="7" t="inlineStr">
        <x:is>
          <x:t xml:space="preserve">AIM 2024 introduced AViMoS: 1,500 videos, diverse content including vertical videos, audio tracks, and mouse fixation data from &gt;5,000 observers.</x:t>
        </x:is>
      </x:c>
      <x:c r="D7" s="7" t="inlineStr">
        <x:is>
          <x:t xml:space="preserve">Use saliency prediction to avoid gaze conflict and to place overlays in low-cost zones.</x:t>
        </x:is>
      </x:c>
      <x:c r="E7" s="7" t="n">
        <x:v>4</x:v>
      </x:c>
      <x:c r="F7" s="13" t="inlineStr">
        <x:is>
          <x:t xml:space="preserve">https://arxiv.org/abs/2409.14827</x:t>
        </x:is>
      </x:c>
      <x:c r="G7" s="2" t="n"/>
      <x:c r="H7" s="2" t="n"/>
    </x:row>
    <x:row r="8">
      <x:c r="A8" s="5" t="inlineStr">
        <x:is>
          <x:t xml:space="preserve">S4</x:t>
        </x:is>
      </x:c>
      <x:c r="B8" s="7" t="inlineStr">
        <x:is>
          <x:t xml:space="preserve">Meaning maps / semantic attention</x:t>
        </x:is>
      </x:c>
      <x:c r="C8" s="7" t="inlineStr">
        <x:is>
          <x:t xml:space="preserve">Meaning maps accounted for unique variance in attention in real-world scenes beyond low-level salience.</x:t>
        </x:is>
      </x:c>
      <x:c r="D8" s="7" t="inlineStr">
        <x:is>
          <x:t xml:space="preserve">Overlay meaning, not just visually salient effects; semantic usefulness beats decoration.</x:t>
        </x:is>
      </x:c>
      <x:c r="E8" s="7" t="n">
        <x:v>5</x:v>
      </x:c>
      <x:c r="F8" s="13" t="inlineStr">
        <x:is>
          <x:t xml:space="preserve">https://pmc.ncbi.nlm.nih.gov/articles/PMC6012218/</x:t>
        </x:is>
      </x:c>
      <x:c r="G8" s="2" t="n"/>
      <x:c r="H8" s="2" t="n"/>
    </x:row>
    <x:row r="9">
      <x:c r="A9" s="5" t="inlineStr">
        <x:is>
          <x:t xml:space="preserve">S5</x:t>
        </x:is>
      </x:c>
      <x:c r="B9" s="7" t="inlineStr">
        <x:is>
          <x:t xml:space="preserve">Multimedia redundancy</x:t>
        </x:is>
      </x:c>
      <x:c r="C9" s="7" t="inlineStr">
        <x:is>
          <x:t xml:space="preserve">A 2023 review of 63 studies distinguishes content redundancy and working-memory channel redundancy; short written text can help but redundant written/narrated visual streams can overload.</x:t>
        </x:is>
      </x:c>
      <x:c r="D9" s="7" t="inlineStr">
        <x:is>
          <x:t xml:space="preserve">Use full captions for access; use short semantic overlays for retention; avoid transcript duplication as the main overlay.</x:t>
        </x:is>
      </x:c>
      <x:c r="E9" s="7" t="n">
        <x:v>5</x:v>
      </x:c>
      <x:c r="F9" s="13" t="inlineStr">
        <x:is>
          <x:t xml:space="preserve">https://www.frontiersin.org/journals/psychology/articles/10.3389/fpsyg.2023.1148035/full</x:t>
        </x:is>
      </x:c>
      <x:c r="G9" s="2" t="n"/>
      <x:c r="H9" s="2" t="n"/>
    </x:row>
    <x:row r="10">
      <x:c r="A10" s="5" t="inlineStr">
        <x:is>
          <x:t xml:space="preserve">S6</x:t>
        </x:is>
      </x:c>
      <x:c r="B10" s="7" t="inlineStr">
        <x:is>
          <x:t xml:space="preserve">Subtitle speed</x:t>
        </x:is>
      </x:c>
      <x:c r="C10" s="7" t="inlineStr">
        <x:is>
          <x:t xml:space="preserve">Subtitle-speed research shows faster subtitles can reduce comprehension and produce more incomplete reading and fewer rereads.</x:t>
        </x:is>
      </x:c>
      <x:c r="D10" s="7" t="inlineStr">
        <x:is>
          <x:t xml:space="preserve">Compress text instead of increasing reading speed.</x:t>
        </x:is>
      </x:c>
      <x:c r="E10" s="7" t="n">
        <x:v>5</x:v>
      </x:c>
      <x:c r="F10" s="13" t="inlineStr">
        <x:is>
          <x:t xml:space="preserve">https://www.cambridge.org/core/journals/applied-psycholinguistics/article/why-subtitle-speed-matters-evidence-from-word-skipping-and-rereading/A7DB0CBF5910353143738CF9C1721317</x:t>
        </x:is>
      </x:c>
      <x:c r="G10" s="2" t="n"/>
      <x:c r="H10" s="2" t="n"/>
    </x:row>
    <x:row r="11">
      <x:c r="A11" s="5" t="inlineStr">
        <x:is>
          <x:t xml:space="preserve">S7</x:t>
        </x:is>
      </x:c>
      <x:c r="B11" s="7" t="inlineStr">
        <x:is>
          <x:t xml:space="preserve">Partial captions</x:t>
        </x:is>
      </x:c>
      <x:c r="C11" s="7" t="inlineStr">
        <x:is>
          <x:t xml:space="preserve">Partial and synchronized captioning achieved full-caption-level comprehension while showing less than 30% of the transcript in an L2 video context.</x:t>
        </x:is>
      </x:c>
      <x:c r="D11" s="7" t="inlineStr">
        <x:is>
          <x:t xml:space="preserve">Test low-text semantic overlays; full transcript may not be necessary for gist.</x:t>
        </x:is>
      </x:c>
      <x:c r="E11" s="7" t="n">
        <x:v>4</x:v>
      </x:c>
      <x:c r="F11" s="13" t="inlineStr">
        <x:is>
          <x:t xml:space="preserve">https://www.cambridge.org/core/journals/recall/article/partial-and-synchronized-captioning-a-new-tool-to-assist-learners-in-developing-second-language-listening-skill/9394E3F0AD25FD5F32895F965F7ECCAD</x:t>
        </x:is>
      </x:c>
      <x:c r="G11" s="2" t="n"/>
      <x:c r="H11" s="2" t="n"/>
    </x:row>
    <x:row r="12">
      <x:c r="A12" s="5" t="inlineStr">
        <x:is>
          <x:t xml:space="preserve">S8</x:t>
        </x:is>
      </x:c>
      <x:c r="B12" s="7" t="inlineStr">
        <x:is>
          <x:t xml:space="preserve">Keyword highlighting in captions</x:t>
        </x:is>
      </x:c>
      <x:c r="C12" s="7" t="inlineStr">
        <x:is>
          <x:t xml:space="preserve">DHH participants rated highlighted captions easier to read/follow and with lower perceived task load in a keyword-highlighting caption study.</x:t>
        </x:is>
      </x:c>
      <x:c r="D12" s="7" t="inlineStr">
        <x:is>
          <x:t xml:space="preserve">Use sparse key-term highlights; test density and distraction.</x:t>
        </x:is>
      </x:c>
      <x:c r="E12" s="7" t="n">
        <x:v>4</x:v>
      </x:c>
      <x:c r="F12" s="13" t="inlineStr">
        <x:is>
          <x:t xml:space="preserve">https://cair.rit.edu/share/kafle-et-al-2019-assets.pdf</x:t>
        </x:is>
      </x:c>
      <x:c r="G12" s="2" t="n"/>
      <x:c r="H12" s="2" t="n"/>
    </x:row>
    <x:row r="13">
      <x:c r="A13" s="5" t="inlineStr">
        <x:is>
          <x:t xml:space="preserve">S9</x:t>
        </x:is>
      </x:c>
      <x:c r="B13" s="7" t="inlineStr">
        <x:is>
          <x:t xml:space="preserve">At-a-glance language</x:t>
        </x:is>
      </x:c>
      <x:c r="C13" s="7" t="inlineStr">
        <x:is>
          <x:t xml:space="preserve">A 2024 Science Advances paper found at-a-glance language comprehension begins by detecting basic phrase structure rapidly.</x:t>
        </x:is>
      </x:c>
      <x:c r="D13" s="7" t="inlineStr">
        <x:is>
          <x:t xml:space="preserve">Design micro-captions as phrase structures, not isolated word streams.</x:t>
        </x:is>
      </x:c>
      <x:c r="E13" s="7" t="n">
        <x:v>4</x:v>
      </x:c>
      <x:c r="F13" s="13" t="inlineStr">
        <x:is>
          <x:t xml:space="preserve">https://www.science.org/doi/10.1126/sciadv.adr9951</x:t>
        </x:is>
      </x:c>
      <x:c r="G13" s="2" t="n"/>
      <x:c r="H13" s="2" t="n"/>
    </x:row>
    <x:row r="14">
      <x:c r="A14" s="5" t="inlineStr">
        <x:is>
          <x:t xml:space="preserve">S10</x:t>
        </x:is>
      </x:c>
      <x:c r="B14" s="7" t="inlineStr">
        <x:is>
          <x:t xml:space="preserve">Foveal/peripheral vision</x:t>
        </x:is>
      </x:c>
      <x:c r="C14" s="7" t="inlineStr">
        <x:is>
          <x:t xml:space="preserve">Peripheral and foveal vision serve different purposes; peripheral vision guides attention but fine reading requires foveal/parafoveal sampling.</x:t>
        </x:is>
      </x:c>
      <x:c r="D14" s="7" t="inlineStr">
        <x:is>
          <x:t xml:space="preserve">Put detailed words where viewers can foveate them; use peripheral elements as cues, not sentences.</x:t>
        </x:is>
      </x:c>
      <x:c r="E14" s="7" t="n">
        <x:v>5</x:v>
      </x:c>
      <x:c r="F14" s="13" t="inlineStr">
        <x:is>
          <x:t xml:space="preserve">https://pmc.ncbi.nlm.nih.gov/articles/PMC7645222/</x:t>
        </x:is>
      </x:c>
      <x:c r="G14" s="2" t="n"/>
      <x:c r="H14" s="2" t="n"/>
    </x:row>
    <x:row r="15">
      <x:c r="A15" s="5" t="inlineStr">
        <x:is>
          <x:t xml:space="preserve">S11</x:t>
        </x:is>
      </x:c>
      <x:c r="B15" s="7" t="inlineStr">
        <x:is>
          <x:t xml:space="preserve">Reading perceptual span</x:t>
        </x:is>
      </x:c>
      <x:c r="C15" s="7" t="inlineStr">
        <x:is>
          <x:t xml:space="preserve">Fast readers had a larger perceptual span than slow readers in eye-movement research.</x:t>
        </x:is>
      </x:c>
      <x:c r="D15" s="7" t="inlineStr">
        <x:is>
          <x:t xml:space="preserve">Expect individual differences; micro-caption design should not assume one universal processing capacity.</x:t>
        </x:is>
      </x:c>
      <x:c r="E15" s="7" t="n">
        <x:v>4</x:v>
      </x:c>
      <x:c r="F15" s="13" t="inlineStr">
        <x:is>
          <x:t xml:space="preserve">https://pmc.ncbi.nlm.nih.gov/articles/PMC3075059/</x:t>
        </x:is>
      </x:c>
      <x:c r="G15" s="2" t="n"/>
      <x:c r="H15" s="2" t="n"/>
    </x:row>
    <x:row r="16">
      <x:c r="A16" s="5" t="inlineStr">
        <x:is>
          <x:t xml:space="preserve">S12</x:t>
        </x:is>
      </x:c>
      <x:c r="B16" s="7" t="inlineStr">
        <x:is>
          <x:t xml:space="preserve">Visual working memory</x:t>
        </x:is>
      </x:c>
      <x:c r="C16" s="7" t="inlineStr">
        <x:is>
          <x:t xml:space="preserve">Visual working memory capacity is limited and varies across people; classic work found only about four simple colors/orientations can be retained.</x:t>
        </x:is>
      </x:c>
      <x:c r="D16" s="7" t="inlineStr">
        <x:is>
          <x:t xml:space="preserve">Use semantic chunks and avoid multi-idea overlays.</x:t>
        </x:is>
      </x:c>
      <x:c r="E16" s="7" t="n">
        <x:v>5</x:v>
      </x:c>
      <x:c r="F16" s="13" t="inlineStr">
        <x:is>
          <x:t xml:space="preserve">https://pubmed.ncbi.nlm.nih.gov/23850263/</x:t>
        </x:is>
      </x:c>
      <x:c r="G16" s="2" t="n"/>
      <x:c r="H16" s="2" t="n"/>
    </x:row>
    <x:row r="17">
      <x:c r="A17" s="5" t="inlineStr">
        <x:is>
          <x:t xml:space="preserve">S13</x:t>
        </x:is>
      </x:c>
      <x:c r="B17" s="7" t="inlineStr">
        <x:is>
          <x:t xml:space="preserve">Visual crowding</x:t>
        </x:is>
      </x:c>
      <x:c r="C17" s="7" t="inlineStr">
        <x:is>
          <x:t xml:space="preserve">Crowding is a fundamental peripheral-vision limit affecting object recognition, reading, driving and visual search.</x:t>
        </x:is>
      </x:c>
      <x:c r="D17" s="7" t="inlineStr">
        <x:is>
          <x:t xml:space="preserve">Avoid cluttered backgrounds, UI zones, and overlapping caption layers.</x:t>
        </x:is>
      </x:c>
      <x:c r="E17" s="7" t="n">
        <x:v>5</x:v>
      </x:c>
      <x:c r="F17" s="13" t="inlineStr">
        <x:is>
          <x:t xml:space="preserve">https://www.frontiersin.org/journals/neuroscience/articles/10.3389/fnins.2024.1332701/full</x:t>
        </x:is>
      </x:c>
      <x:c r="G17" s="2" t="n"/>
      <x:c r="H17" s="2" t="n"/>
    </x:row>
    <x:row r="18">
      <x:c r="A18" s="5" t="inlineStr">
        <x:is>
          <x:t xml:space="preserve">S14</x:t>
        </x:is>
      </x:c>
      <x:c r="B18" s="7" t="inlineStr">
        <x:is>
          <x:t xml:space="preserve">Speaker face / mouth</x:t>
        </x:is>
      </x:c>
      <x:c r="C18" s="7" t="inlineStr">
        <x:is>
          <x:t xml:space="preserve">Seeing a speaker’s articulatory movements improves speech understanding, especially under noisy conditions.</x:t>
        </x:is>
      </x:c>
      <x:c r="D18" s="7" t="inlineStr">
        <x:is>
          <x:t xml:space="preserve">Keep mouth and face regions clear in speech-heavy videos.</x:t>
        </x:is>
      </x:c>
      <x:c r="E18" s="7" t="n">
        <x:v>5</x:v>
      </x:c>
      <x:c r="F18" s="13" t="inlineStr">
        <x:is>
          <x:t xml:space="preserve">https://academic.oup.com/cercor/article/17/5/1147/343892</x:t>
        </x:is>
      </x:c>
      <x:c r="G18" s="2" t="n"/>
      <x:c r="H18" s="2" t="n"/>
    </x:row>
    <x:row r="19">
      <x:c r="A19" s="5" t="inlineStr">
        <x:is>
          <x:t xml:space="preserve">S15</x:t>
        </x:is>
      </x:c>
      <x:c r="B19" s="7" t="inlineStr">
        <x:is>
          <x:t xml:space="preserve">Smartphone ergonomics</x:t>
        </x:is>
      </x:c>
      <x:c r="C19" s="7" t="inlineStr">
        <x:is>
          <x:t xml:space="preserve">A 2024 study found mean smartphone viewing distances around 36–37 cm and differences by presbyopia status; close viewing raises legibility constraints.</x:t>
        </x:is>
      </x:c>
      <x:c r="D19" s="7" t="inlineStr">
        <x:is>
          <x:t xml:space="preserve">Design overlays for phone-first viewing, large type, high contrast and low density.</x:t>
        </x:is>
      </x:c>
      <x:c r="E19" s="7" t="n">
        <x:v>4</x:v>
      </x:c>
      <x:c r="F19" s="13" t="inlineStr">
        <x:is>
          <x:t xml:space="preserve">https://pmc.ncbi.nlm.nih.gov/articles/PMC11629835/</x:t>
        </x:is>
      </x:c>
      <x:c r="G19" s="2" t="n"/>
      <x:c r="H19" s="2" t="n"/>
    </x:row>
    <x:row r="20">
      <x:c r="A20" s="5" t="inlineStr">
        <x:is>
          <x:t xml:space="preserve">S16</x:t>
        </x:is>
      </x:c>
      <x:c r="B20" s="7" t="inlineStr">
        <x:is>
          <x:t xml:space="preserve">Bionic Reading</x:t>
        </x:is>
      </x:c>
      <x:c r="C20" s="7" t="inlineStr">
        <x:is>
          <x:t xml:space="preserve">A 2024 Acta Psychologica study found no significant reading-time benefit for Bionic Reading over normal text.</x:t>
        </x:is>
      </x:c>
      <x:c r="D20" s="7" t="inlineStr">
        <x:is>
          <x:t xml:space="preserve">Treat bionic styling as optional anchoring, not the core mechanism.</x:t>
        </x:is>
      </x:c>
      <x:c r="E20" s="7" t="n">
        <x:v>5</x:v>
      </x:c>
      <x:c r="F20" s="13" t="inlineStr">
        <x:is>
          <x:t xml:space="preserve">https://www.sciencedirect.com/science/article/pii/S0001691824001811</x:t>
        </x:is>
      </x:c>
      <x:c r="G20" s="2" t="n"/>
      <x:c r="H20" s="2" t="n"/>
    </x:row>
    <x:row r="21">
      <x:c r="A21" s="5" t="inlineStr">
        <x:is>
          <x:t xml:space="preserve">S17</x:t>
        </x:is>
      </x:c>
      <x:c r="B21" s="7" t="inlineStr">
        <x:is>
          <x:t xml:space="preserve">Bionic Reading eye tracking</x:t>
        </x:is>
      </x:c>
      <x:c r="C21" s="7" t="inlineStr">
        <x:is>
          <x:t xml:space="preserve">A later eye-tracking/usability study reported no reliable advantage and more saccades under bionic formatting in some conditions.</x:t>
        </x:is>
      </x:c>
      <x:c r="D21" s="7" t="inlineStr">
        <x:is>
          <x:t xml:space="preserve">Test BCC against semantic compression alone; avoid heavy bionic formatting.</x:t>
        </x:is>
      </x:c>
      <x:c r="E21" s="7" t="n">
        <x:v>4</x:v>
      </x:c>
      <x:c r="F21" s="13" t="inlineStr">
        <x:is>
          <x:t xml:space="preserve">https://journals.sagepub.com/doi/10.1177/21582440251376158</x:t>
        </x:is>
      </x:c>
      <x:c r="G21" s="2" t="n"/>
      <x:c r="H21" s="2" t="n"/>
    </x:row>
    <x:row r="22">
      <x:c r="A22" s="5" t="inlineStr">
        <x:is>
          <x:t xml:space="preserve">S18</x:t>
        </x:is>
      </x:c>
      <x:c r="B22" s="7" t="inlineStr">
        <x:is>
          <x:t xml:space="preserve">Kinetic typography</x:t>
        </x:is>
      </x:c>
      <x:c r="C22" s="7" t="inlineStr">
        <x:is>
          <x:t xml:space="preserve">Kinetic typography research argues movement helps when it supports sequential/logical presentation but excessive motion can create fatigue and overload.</x:t>
        </x:is>
      </x:c>
      <x:c r="D22" s="7" t="inlineStr">
        <x:is>
          <x:t xml:space="preserve">Animate logic transitions, not every word.</x:t>
        </x:is>
      </x:c>
      <x:c r="E22" s="7" t="n">
        <x:v>4</x:v>
      </x:c>
      <x:c r="F22" s="13" t="inlineStr">
        <x:is>
          <x:t xml:space="preserve">https://www.nature.com/articles/s41599-023-01646-6</x:t>
        </x:is>
      </x:c>
      <x:c r="G22" s="2" t="n"/>
      <x:c r="H22" s="2" t="n"/>
    </x:row>
    <x:row r="23">
      <x:c r="A23" s="5" t="inlineStr">
        <x:is>
          <x:t xml:space="preserve">S19</x:t>
        </x:is>
      </x:c>
      <x:c r="B23" s="7" t="inlineStr">
        <x:is>
          <x:t xml:space="preserve">Affective captions</x:t>
        </x:is>
      </x:c>
      <x:c r="C23" s="7" t="inlineStr">
        <x:is>
          <x:t xml:space="preserve">A 2025 caption system visualized speech styles using punctuation, paint-on, color and boldness while preserving legibility.</x:t>
        </x:is>
      </x:c>
      <x:c r="D23" s="7" t="inlineStr">
        <x:is>
          <x:t xml:space="preserve">Separate semantic overlay from emotional/prosodic overlay; combine carefully.</x:t>
        </x:is>
      </x:c>
      <x:c r="E23" s="7" t="n">
        <x:v>3</x:v>
      </x:c>
      <x:c r="F23" s="13" t="inlineStr">
        <x:is>
          <x:t xml:space="preserve">https://www.sciencedirect.com/science/article/abs/pii/S1071581924001691</x:t>
        </x:is>
      </x:c>
      <x:c r="G23" s="2" t="n"/>
      <x:c r="H23" s="2" t="n"/>
    </x:row>
    <x:row r="24">
      <x:c r="A24" s="5" t="inlineStr">
        <x:is>
          <x:t xml:space="preserve">S20</x:t>
        </x:is>
      </x:c>
      <x:c r="B24" s="7" t="inlineStr">
        <x:is>
          <x:t xml:space="preserve">Affective caption design space</x:t>
        </x:is>
      </x:c>
      <x:c r="C24" s="7" t="inlineStr">
        <x:is>
          <x:t xml:space="preserve">Caption Royale explored affective captions using typographic modulations for DHH viewers.</x:t>
        </x:is>
      </x:c>
      <x:c r="D24" s="7" t="inlineStr">
        <x:is>
          <x:t xml:space="preserve">Use affective cues only when they convey speech style or emotion, not for decoration.</x:t>
        </x:is>
      </x:c>
      <x:c r="E24" s="7" t="n">
        <x:v>3</x:v>
      </x:c>
      <x:c r="F24" s="13" t="inlineStr">
        <x:is>
          <x:t xml:space="preserve">https://par.nsf.gov/biblio/10521039-caption-royale-exploring-design-space-affective-captions-from-perspective-deaf-hard-hearing-individuals</x:t>
        </x:is>
      </x:c>
      <x:c r="G24" s="2" t="n"/>
      <x:c r="H24" s="2" t="n"/>
    </x:row>
    <x:row r="25">
      <x:c r="A25" s="5" t="inlineStr">
        <x:is>
          <x:t xml:space="preserve">S21</x:t>
        </x:is>
      </x:c>
      <x:c r="B25" s="7" t="inlineStr">
        <x:is>
          <x:t xml:space="preserve">Speaker-following subtitles</x:t>
        </x:is>
      </x:c>
      <x:c r="C25" s="7" t="inlineStr">
        <x:is>
          <x:t xml:space="preserve">Speaker-following subtitles produced higher fixation counts on relevant image regions and reduced saccade length in an eye-tracking study.</x:t>
        </x:is>
      </x:c>
      <x:c r="D25" s="7" t="inlineStr">
        <x:is>
          <x:t xml:space="preserve">Test gaze-near, mouth-safe placement instead of fixed bottom captions.</x:t>
        </x:is>
      </x:c>
      <x:c r="E25" s="7" t="n">
        <x:v>4</x:v>
      </x:c>
      <x:c r="F25" s="13" t="inlineStr">
        <x:is>
          <x:t xml:space="preserve">https://dl.acm.org/doi/10.1145/3025453.3025772</x:t>
        </x:is>
      </x:c>
      <x:c r="G25" s="2" t="n"/>
      <x:c r="H25" s="2" t="n"/>
    </x:row>
    <x:row r="26">
      <x:c r="A26" s="5" t="inlineStr">
        <x:is>
          <x:t xml:space="preserve">S22</x:t>
        </x:is>
      </x:c>
      <x:c r="B26" s="7" t="inlineStr">
        <x:is>
          <x:t xml:space="preserve">User-adaptive visualization</x:t>
        </x:is>
      </x:c>
      <x:c r="C26" s="7" t="inlineStr">
        <x:is>
          <x:t xml:space="preserve">A 2025 state-of-the-art report notes that user traits can modulate visualization use and influence accuracy, speed and engagement.</x:t>
        </x:is>
      </x:c>
      <x:c r="D26" s="7" t="inlineStr">
        <x:is>
          <x:t xml:space="preserve">Future overlay systems should adapt density and explicitness to viewer expertise, language, and attention state.</x:t>
        </x:is>
      </x:c>
      <x:c r="E26" s="7" t="n">
        <x:v>3</x:v>
      </x:c>
      <x:c r="F26" s="13" t="inlineStr">
        <x:is>
          <x:t xml:space="preserve">https://onlinelibrary.wiley.com/doi/full/10.1111/cgf.15271</x:t>
        </x:is>
      </x:c>
      <x:c r="G26" s="2" t="n"/>
      <x:c r="H26" s="2" t="n"/>
    </x:row>
    <x:row r="27">
      <x:c r="A27" s="5" t="inlineStr">
        <x:is>
          <x:t xml:space="preserve">S23</x:t>
        </x:is>
      </x:c>
      <x:c r="B27" s="7" t="inlineStr">
        <x:is>
          <x:t xml:space="preserve">Predictive visual attention</x:t>
        </x:is>
      </x:c>
      <x:c r="C27" s="7" t="inlineStr">
        <x:is>
          <x:t xml:space="preserve">A 2025 review frames visual attention as inferential, shaped by prior knowledge, goals, uncertainty, confidence and surprise.</x:t>
        </x:is>
      </x:c>
      <x:c r="D27" s="7" t="inlineStr">
        <x:is>
          <x:t xml:space="preserve">Test predictive semantic priming and curiosity-resolution overlay timing.</x:t>
        </x:is>
      </x:c>
      <x:c r="E27" s="7" t="n">
        <x:v>3</x:v>
      </x:c>
      <x:c r="F27" s="13" t="inlineStr">
        <x:is>
          <x:t xml:space="preserve">https://www.sciencedirect.com/science/article/abs/pii/S014976342500524X</x:t>
        </x:is>
      </x:c>
      <x:c r="G27" s="2" t="n"/>
      <x:c r="H27" s="2" t="n"/>
    </x:row>
    <x:row r="28">
      <x:c r="A28" s="5" t="inlineStr">
        <x:is>
          <x:t xml:space="preserve">S24</x:t>
        </x:is>
      </x:c>
      <x:c r="B28" s="7" t="inlineStr">
        <x:is>
          <x:t xml:space="preserve">Complexity-determined pauses</x:t>
        </x:is>
      </x:c>
      <x:c r="C28" s="7" t="inlineStr">
        <x:is>
          <x:t xml:space="preserve">Research on system pauses in multimedia presentations tested pauses before/after complex sections to manage processing demand.</x:t>
        </x:is>
      </x:c>
      <x:c r="D28" s="7" t="inlineStr">
        <x:is>
          <x:t xml:space="preserve">Add micro-rests before high-complexity overlay beats; test rest placement.</x:t>
        </x:is>
      </x:c>
      <x:c r="E28" s="7" t="n">
        <x:v>3</x:v>
      </x:c>
      <x:c r="F28" s="13" t="inlineStr">
        <x:is>
          <x:t xml:space="preserve">https://ajet.org.au/index.php/AJET/article/view/7267</x:t>
        </x:is>
      </x:c>
      <x:c r="G28" s="2" t="n"/>
      <x:c r="H28" s="2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7919be50b60b4e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2" customWidth="1"/>
    <x:col min="3" max="3" width="46" customWidth="1"/>
    <x:col min="4" max="4" width="58" customWidth="1"/>
    <x:col min="5" max="5" width="48" customWidth="1"/>
  </x:cols>
  <x:sheetData>
    <x:row r="1" ht="28" customHeight="1">
      <x:c r="A1" s="1" t="inlineStr">
        <x:is>
          <x:t xml:space="preserve">Next Steps</x:t>
        </x:is>
      </x:c>
    </x:row>
    <x:row r="2" ht="36" customHeight="1">
      <x:c r="A2" s="3" t="inlineStr">
        <x:is>
          <x:t xml:space="preserve">Concrete next actions to turn the expanded hypotheses into evidence.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>
      <x:c r="A4" s="4" t="inlineStr">
        <x:is>
          <x:t xml:space="preserve">Order</x:t>
        </x:is>
      </x:c>
      <x:c r="B4" s="4" t="inlineStr">
        <x:is>
          <x:t xml:space="preserve">Action</x:t>
        </x:is>
      </x:c>
      <x:c r="C4" s="4" t="inlineStr">
        <x:is>
          <x:t xml:space="preserve">Output</x:t>
        </x:is>
      </x:c>
      <x:c r="D4" s="4" t="inlineStr">
        <x:is>
          <x:t xml:space="preserve">Decision gate</x:t>
        </x:is>
      </x:c>
      <x:c r="E4" s="4" t="inlineStr">
        <x:is>
          <x:t xml:space="preserve">Owner / notes</x:t>
        </x:is>
      </x:c>
      <x:c r="F4" s="4" t="n"/>
      <x:c r="G4" s="4" t="n"/>
      <x:c r="H4" s="4" t="n"/>
    </x:row>
    <x:row r="5">
      <x:c r="A5" s="5" t="n">
        <x:v>1</x:v>
      </x:c>
      <x:c r="B5" s="6" t="inlineStr">
        <x:is>
          <x:t xml:space="preserve">Run E01 core isolation pilot</x:t>
        </x:is>
      </x:c>
      <x:c r="C5" s="7" t="inlineStr">
        <x:is>
          <x:t xml:space="preserve">First result on Semantic Compression vs BCC vs Heavy Bionic</x:t>
        </x:is>
      </x:c>
      <x:c r="D5" s="7" t="inlineStr">
        <x:is>
          <x:t xml:space="preserve">If BCC does not beat semantic compression, bionic anchors become optional styling.</x:t>
        </x:is>
      </x:c>
      <x:c r="E5" s="7" t="inlineStr">
        <x:is>
          <x:t xml:space="preserve">Use the existing MVP prototype pack.</x:t>
        </x:is>
      </x:c>
      <x:c r="F5" s="2" t="n"/>
      <x:c r="G5" s="2" t="n"/>
      <x:c r="H5" s="2" t="n"/>
    </x:row>
    <x:row r="6">
      <x:c r="A6" s="5" t="n">
        <x:v>2</x:v>
      </x:c>
      <x:c r="B6" s="6" t="inlineStr">
        <x:is>
          <x:t xml:space="preserve">Add E03 timing offset to same stimuli</x:t>
        </x:is>
      </x:c>
      <x:c r="C6" s="7" t="inlineStr">
        <x:is>
          <x:t xml:space="preserve">Pre/sync/post cue timing data</x:t>
        </x:is>
      </x:c>
      <x:c r="D6" s="7" t="inlineStr">
        <x:is>
          <x:t xml:space="preserve">If pre-cue wins, build Predictive Semantic Priming into BCC+.</x:t>
        </x:is>
      </x:c>
      <x:c r="E6" s="7" t="inlineStr">
        <x:is>
          <x:t xml:space="preserve">Keep text identical; change timing only.</x:t>
        </x:is>
      </x:c>
      <x:c r="F6" s="2" t="n"/>
      <x:c r="G6" s="2" t="n"/>
      <x:c r="H6" s="2" t="n"/>
    </x:row>
    <x:row r="7">
      <x:c r="A7" s="5" t="n">
        <x:v>3</x:v>
      </x:c>
      <x:c r="B7" s="6" t="inlineStr">
        <x:is>
          <x:t xml:space="preserve">Run E04 placement test on vertical talking-head and demo videos</x:t>
        </x:is>
      </x:c>
      <x:c r="C7" s="7" t="inlineStr">
        <x:is>
          <x:t xml:space="preserve">Placement rulebook for vertical video</x:t>
        </x:is>
      </x:c>
      <x:c r="D7" s="7" t="inlineStr">
        <x:is>
          <x:t xml:space="preserve">If gaze-safe placement beats bottom-fixed, make placement the primary product differentiator.</x:t>
        </x:is>
      </x:c>
      <x:c r="E7" s="7" t="inlineStr">
        <x:is>
          <x:t xml:space="preserve">Can be done manually first.</x:t>
        </x:is>
      </x:c>
      <x:c r="F7" s="2" t="n"/>
      <x:c r="G7" s="2" t="n"/>
      <x:c r="H7" s="2" t="n"/>
    </x:row>
    <x:row r="8">
      <x:c r="A8" s="5" t="n">
        <x:v>4</x:v>
      </x:c>
      <x:c r="B8" s="6" t="inlineStr">
        <x:is>
          <x:t xml:space="preserve">Run E05 visual-load adaptive test</x:t>
        </x:is>
      </x:c>
      <x:c r="C8" s="7" t="inlineStr">
        <x:is>
          <x:t xml:space="preserve">Density rules by frame complexity</x:t>
        </x:is>
      </x:c>
      <x:c r="D8" s="7" t="inlineStr">
        <x:is>
          <x:t xml:space="preserve">If adaptive density wins, build visual load scoring into generator.</x:t>
        </x:is>
      </x:c>
      <x:c r="E8" s="7" t="inlineStr">
        <x:is>
          <x:t xml:space="preserve">Need frame complexity annotations.</x:t>
        </x:is>
      </x:c>
      <x:c r="F8" s="2" t="n"/>
      <x:c r="G8" s="2" t="n"/>
      <x:c r="H8" s="2" t="n"/>
    </x:row>
    <x:row r="9">
      <x:c r="A9" s="5" t="n">
        <x:v>5</x:v>
      </x:c>
      <x:c r="B9" s="6" t="inlineStr">
        <x:is>
          <x:t xml:space="preserve">Build v0 semantic-overlay decision engine</x:t>
        </x:is>
      </x:c>
      <x:c r="C9" s="7" t="inlineStr">
        <x:is>
          <x:t xml:space="preserve">Transcript-to-semantic-beat-to-overlay pipeline</x:t>
        </x:is>
      </x:c>
      <x:c r="D9" s="7" t="inlineStr">
        <x:is>
          <x:t xml:space="preserve">If pilot metrics improve over manual captions, product direction is validated.</x:t>
        </x:is>
      </x:c>
      <x:c r="E9" s="7" t="inlineStr">
        <x:is>
          <x:t xml:space="preserve">Human-in-the-loop review required.</x:t>
        </x:is>
      </x:c>
      <x:c r="F9" s="2" t="n"/>
      <x:c r="G9" s="2" t="n"/>
      <x:c r="H9" s="2" t="n"/>
    </x:row>
    <x:row r="10">
      <x:c r="A10" s="5" t="n">
        <x:v>6</x:v>
      </x:c>
      <x:c r="B10" s="6" t="inlineStr">
        <x:is>
          <x:t xml:space="preserve">Define ethical optimization metric</x:t>
        </x:is>
      </x:c>
      <x:c r="C10" s="7" t="inlineStr">
        <x:is>
          <x:t xml:space="preserve">Meaning per fixation / gist per second reporting</x:t>
        </x:is>
      </x:c>
      <x:c r="D10" s="7" t="inlineStr">
        <x:is>
          <x:t xml:space="preserve">Do not optimize only for watch time.</x:t>
        </x:is>
      </x:c>
      <x:c r="E10" s="7" t="inlineStr">
        <x:is>
          <x:t xml:space="preserve">Use saves, recall and clarification comments.</x:t>
        </x:is>
      </x:c>
      <x:c r="F10" s="2" t="n"/>
      <x:c r="G10" s="2" t="n"/>
      <x:c r="H10" s="2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11620ba5b8d04aaf"/>
  </x:tableParts>
</x:worksheet>
</file>